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rochdalespearsco.sharepoint.com/sites/BusinessSupportServices/HSE/Policy - Procedure/01. Environment/01. Quản lý rác thải/1. Chất thải nguy hại/P2 (Thạnh Phước)/2026/"/>
    </mc:Choice>
  </mc:AlternateContent>
  <xr:revisionPtr revIDLastSave="271" documentId="13_ncr:1_{864DCC1D-AC39-41A2-BFDF-88CFD9A56676}" xr6:coauthVersionLast="47" xr6:coauthVersionMax="47" xr10:uidLastSave="{6D230BE5-FD55-4BA0-96AC-A20978E5D48A}"/>
  <bookViews>
    <workbookView xWindow="-110" yWindow="-110" windowWidth="19420" windowHeight="10300" tabRatio="404" firstSheet="3" activeTab="3" xr2:uid="{00000000-000D-0000-FFFF-FFFF00000000}"/>
  </bookViews>
  <sheets>
    <sheet name="2017" sheetId="1" state="hidden" r:id="rId1"/>
    <sheet name="2018" sheetId="3" state="hidden" r:id="rId2"/>
    <sheet name="2019" sheetId="4" state="hidden" r:id="rId3"/>
    <sheet name="2026" sheetId="5" r:id="rId4"/>
    <sheet name="Sheet2" sheetId="6" state="hidden" r:id="rId5"/>
  </sheets>
  <definedNames>
    <definedName name="_xlnm._FilterDatabase" localSheetId="3" hidden="1">'2026'!$A$4:$DV$36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5" l="1"/>
  <c r="I26" i="5"/>
  <c r="J26" i="5"/>
  <c r="J25" i="5"/>
  <c r="K26" i="5"/>
  <c r="K27" i="5" s="1"/>
  <c r="K25" i="5"/>
  <c r="L26" i="5"/>
  <c r="L27" i="5" s="1"/>
  <c r="L25" i="5"/>
  <c r="M26" i="5"/>
  <c r="M25" i="5"/>
  <c r="N26" i="5"/>
  <c r="F26" i="5"/>
  <c r="H26" i="5"/>
  <c r="G26" i="5"/>
  <c r="E26" i="5"/>
  <c r="DS26" i="5"/>
  <c r="DS27" i="5" s="1"/>
  <c r="DR26" i="5"/>
  <c r="DQ26" i="5"/>
  <c r="DP26" i="5"/>
  <c r="DP27" i="5" s="1"/>
  <c r="DP28" i="5" s="1"/>
  <c r="DU22" i="5"/>
  <c r="DU20" i="5"/>
  <c r="DU21" i="5"/>
  <c r="DU19" i="5"/>
  <c r="DT26" i="5"/>
  <c r="DO26" i="5"/>
  <c r="DO27" i="5" s="1"/>
  <c r="I27" i="5" l="1"/>
  <c r="I28" i="5" s="1"/>
  <c r="J27" i="5"/>
  <c r="J28" i="5" s="1"/>
  <c r="K28" i="5"/>
  <c r="L28" i="5"/>
  <c r="M27" i="5"/>
  <c r="M28" i="5" s="1"/>
  <c r="F27" i="5"/>
  <c r="F28" i="5" s="1"/>
  <c r="G27" i="5"/>
  <c r="G28" i="5" s="1"/>
  <c r="H27" i="5"/>
  <c r="H28" i="5" s="1"/>
  <c r="E27" i="5"/>
  <c r="E28" i="5" s="1"/>
  <c r="DS28" i="5"/>
  <c r="DR27" i="5"/>
  <c r="DR28" i="5" s="1"/>
  <c r="DQ27" i="5"/>
  <c r="DQ28" i="5" s="1"/>
  <c r="DT27" i="5"/>
  <c r="DT28" i="5" s="1"/>
  <c r="DO28" i="5"/>
  <c r="DN26" i="5"/>
  <c r="DL26" i="5"/>
  <c r="DK26" i="5"/>
  <c r="DI26" i="5"/>
  <c r="DN27" i="5" l="1"/>
  <c r="DN28" i="5" s="1"/>
  <c r="DL27" i="5"/>
  <c r="DL28" i="5" s="1"/>
  <c r="DK27" i="5"/>
  <c r="DK28" i="5" s="1"/>
  <c r="DI27" i="5"/>
  <c r="DI28" i="5" s="1"/>
  <c r="N25" i="5" l="1"/>
  <c r="N27" i="5" l="1"/>
  <c r="N28" i="5" s="1"/>
  <c r="DU16" i="5"/>
  <c r="DV16" i="5" s="1"/>
  <c r="DM26" i="5"/>
  <c r="DH26" i="5"/>
  <c r="DH27" i="5" s="1"/>
  <c r="DH28" i="5" s="1"/>
  <c r="DM27" i="5" l="1"/>
  <c r="DM28" i="5" s="1"/>
  <c r="DU6" i="5" l="1"/>
  <c r="DU7" i="5"/>
  <c r="DU9" i="5"/>
  <c r="DU10" i="5"/>
  <c r="DU11" i="5"/>
  <c r="DU12" i="5"/>
  <c r="DU13" i="5"/>
  <c r="DU14" i="5"/>
  <c r="DU17" i="5"/>
  <c r="DV19" i="5"/>
  <c r="DU23" i="5"/>
  <c r="BP20" i="4" l="1"/>
  <c r="BQ20" i="4"/>
  <c r="BR20" i="4"/>
  <c r="BS20" i="4"/>
  <c r="BU20" i="4"/>
  <c r="BV20" i="4"/>
  <c r="BW20" i="4"/>
  <c r="BK20" i="4"/>
  <c r="BL20" i="4"/>
  <c r="BM20" i="4"/>
  <c r="BN20" i="4"/>
  <c r="BO20" i="4"/>
  <c r="BT20" i="4"/>
  <c r="BT21" i="4" s="1"/>
  <c r="BT22" i="4" s="1"/>
  <c r="BS19" i="4" l="1"/>
  <c r="BT19" i="4"/>
  <c r="BU19" i="4"/>
  <c r="BV19" i="4"/>
  <c r="BW19" i="4"/>
  <c r="BV21" i="4"/>
  <c r="BW21" i="4"/>
  <c r="BW22" i="4" s="1"/>
  <c r="BU21" i="4"/>
  <c r="BU22" i="4" s="1"/>
  <c r="BR19" i="4"/>
  <c r="BR21" i="4"/>
  <c r="BR22" i="4" s="1"/>
  <c r="BS21" i="4" l="1"/>
  <c r="BS22" i="4" s="1"/>
  <c r="BV22" i="4"/>
  <c r="BS23" i="4" l="1"/>
  <c r="BJ6" i="4"/>
  <c r="BI19" i="4" l="1"/>
  <c r="BH20" i="4" l="1"/>
  <c r="BH19" i="4"/>
  <c r="BG19" i="4"/>
  <c r="BH21" i="4" l="1"/>
  <c r="BH22" i="4" s="1"/>
  <c r="BF6" i="4"/>
  <c r="BA20" i="4" l="1"/>
  <c r="AZ20" i="4"/>
  <c r="AY20" i="4"/>
  <c r="AW20" i="4"/>
  <c r="AW21" i="4" s="1"/>
  <c r="AV20" i="4"/>
  <c r="BA19" i="4"/>
  <c r="AZ19" i="4"/>
  <c r="AY19" i="4"/>
  <c r="AW19" i="4"/>
  <c r="AV19" i="4"/>
  <c r="AV21" i="4" l="1"/>
  <c r="AV22" i="4" s="1"/>
  <c r="BC6" i="4"/>
  <c r="BB6" i="4" l="1"/>
  <c r="AU6" i="4" l="1"/>
  <c r="AU20" i="4" l="1"/>
  <c r="AU19" i="4"/>
  <c r="AX6" i="4"/>
  <c r="AX19" i="4" l="1"/>
  <c r="AX20" i="4"/>
  <c r="AX21" i="4" s="1"/>
  <c r="AU21" i="4"/>
  <c r="AU22" i="4" s="1"/>
  <c r="N6" i="4"/>
  <c r="N19" i="4" s="1"/>
  <c r="O6" i="4"/>
  <c r="P6" i="4"/>
  <c r="P20" i="4" s="1"/>
  <c r="Q6" i="4"/>
  <c r="Q19" i="4" s="1"/>
  <c r="R6" i="4"/>
  <c r="R19" i="4" s="1"/>
  <c r="W6" i="4"/>
  <c r="W19" i="4" s="1"/>
  <c r="X6" i="4"/>
  <c r="X20" i="4" s="1"/>
  <c r="Y6" i="4"/>
  <c r="Y19" i="4" s="1"/>
  <c r="Z6" i="4"/>
  <c r="Z19" i="4" s="1"/>
  <c r="AA6" i="4"/>
  <c r="AA19" i="4" s="1"/>
  <c r="AB6" i="4"/>
  <c r="AB19" i="4" s="1"/>
  <c r="O13" i="4"/>
  <c r="M19" i="4"/>
  <c r="S19" i="4"/>
  <c r="T19" i="4"/>
  <c r="U19" i="4"/>
  <c r="V19" i="4"/>
  <c r="M20" i="4"/>
  <c r="S20" i="4"/>
  <c r="T20" i="4"/>
  <c r="T21" i="4" s="1"/>
  <c r="T22" i="4" s="1"/>
  <c r="U20" i="4"/>
  <c r="U21" i="4" s="1"/>
  <c r="V20" i="4"/>
  <c r="V21" i="4" s="1"/>
  <c r="V22" i="4" s="1"/>
  <c r="AF6" i="4"/>
  <c r="AF20" i="4" s="1"/>
  <c r="AC19" i="4"/>
  <c r="AD19" i="4"/>
  <c r="AE19" i="4"/>
  <c r="AE27" i="4" s="1"/>
  <c r="AG19" i="4"/>
  <c r="AC20" i="4"/>
  <c r="AC21" i="4" s="1"/>
  <c r="AD20" i="4"/>
  <c r="AE20" i="4"/>
  <c r="AE21" i="4" s="1"/>
  <c r="AG20" i="4"/>
  <c r="AG21" i="4" s="1"/>
  <c r="AE30" i="4"/>
  <c r="Z20" i="4" l="1"/>
  <c r="Z21" i="4" s="1"/>
  <c r="Z22" i="4" s="1"/>
  <c r="AF19" i="4"/>
  <c r="P19" i="4"/>
  <c r="R20" i="4"/>
  <c r="R21" i="4" s="1"/>
  <c r="R22" i="4" s="1"/>
  <c r="U22" i="4"/>
  <c r="N20" i="4"/>
  <c r="N21" i="4" s="1"/>
  <c r="N22" i="4" s="1"/>
  <c r="P21" i="4"/>
  <c r="P22" i="4" s="1"/>
  <c r="AB20" i="4"/>
  <c r="AB21" i="4" s="1"/>
  <c r="AB22" i="4" s="1"/>
  <c r="O19" i="4"/>
  <c r="X19" i="4"/>
  <c r="S21" i="4"/>
  <c r="S22" i="4" s="1"/>
  <c r="X21" i="4"/>
  <c r="X22" i="4" s="1"/>
  <c r="M21" i="4"/>
  <c r="M22" i="4" s="1"/>
  <c r="AC22" i="4"/>
  <c r="AA20" i="4"/>
  <c r="W20" i="4"/>
  <c r="O20" i="4"/>
  <c r="Y20" i="4"/>
  <c r="Q20" i="4"/>
  <c r="AG22" i="4"/>
  <c r="AD21" i="4"/>
  <c r="AD22" i="4" s="1"/>
  <c r="AF21" i="4"/>
  <c r="AF22" i="4" s="1"/>
  <c r="AE22" i="4"/>
  <c r="F20" i="4"/>
  <c r="G20" i="4"/>
  <c r="H20" i="4"/>
  <c r="I20" i="4"/>
  <c r="AH20" i="4"/>
  <c r="AI20" i="4"/>
  <c r="AK20" i="4"/>
  <c r="AN20" i="4"/>
  <c r="AO20" i="4"/>
  <c r="AP20" i="4"/>
  <c r="AQ20" i="4"/>
  <c r="AR20" i="4"/>
  <c r="AS20" i="4"/>
  <c r="BB20" i="4"/>
  <c r="BC20" i="4"/>
  <c r="BD20" i="4"/>
  <c r="BE20" i="4"/>
  <c r="BF20" i="4"/>
  <c r="BG20" i="4"/>
  <c r="BI20" i="4"/>
  <c r="BJ20" i="4"/>
  <c r="E20" i="4"/>
  <c r="Y21" i="4" l="1"/>
  <c r="Y22" i="4" s="1"/>
  <c r="O21" i="4"/>
  <c r="O22" i="4" s="1"/>
  <c r="M23" i="4" s="1"/>
  <c r="W21" i="4"/>
  <c r="W22" i="4" s="1"/>
  <c r="Q21" i="4"/>
  <c r="Q22" i="4" s="1"/>
  <c r="P23" i="4" s="1"/>
  <c r="AA21" i="4"/>
  <c r="AA22" i="4" s="1"/>
  <c r="AC23" i="4"/>
  <c r="AE31" i="4" s="1"/>
  <c r="E19" i="4"/>
  <c r="AR19" i="4"/>
  <c r="AS19" i="4"/>
  <c r="AT6" i="4"/>
  <c r="AI19" i="4"/>
  <c r="AK19" i="4"/>
  <c r="AN19" i="4"/>
  <c r="AO19" i="4"/>
  <c r="AP19" i="4"/>
  <c r="AQ19" i="4"/>
  <c r="BB19" i="4"/>
  <c r="BC19" i="4"/>
  <c r="BD19" i="4"/>
  <c r="BE19" i="4"/>
  <c r="BF19" i="4"/>
  <c r="BJ19" i="4"/>
  <c r="BK19" i="4"/>
  <c r="BL19" i="4"/>
  <c r="BM19" i="4"/>
  <c r="BN19" i="4"/>
  <c r="BO19" i="4"/>
  <c r="BP19" i="4"/>
  <c r="BQ19" i="4"/>
  <c r="AH19" i="4"/>
  <c r="F19" i="4"/>
  <c r="AT20" i="4" l="1"/>
  <c r="AT19" i="4"/>
  <c r="V23" i="4"/>
  <c r="AH21" i="4"/>
  <c r="I19" i="4" l="1"/>
  <c r="H19" i="4"/>
  <c r="AM6" i="4" l="1"/>
  <c r="AM20" i="4" l="1"/>
  <c r="AM19" i="4"/>
  <c r="AL6" i="4"/>
  <c r="AL20" i="4" l="1"/>
  <c r="AL19" i="4"/>
  <c r="AJ6" i="4"/>
  <c r="AJ20" i="4" l="1"/>
  <c r="AJ19" i="4"/>
  <c r="F21" i="4"/>
  <c r="F22" i="4" s="1"/>
  <c r="G19" i="4" l="1"/>
  <c r="L6" i="4" l="1"/>
  <c r="L20" i="4" l="1"/>
  <c r="L21" i="4" s="1"/>
  <c r="L22" i="4" s="1"/>
  <c r="L19" i="4"/>
  <c r="K6" i="4"/>
  <c r="J6" i="4"/>
  <c r="K20" i="4" l="1"/>
  <c r="K21" i="4" s="1"/>
  <c r="K22" i="4" s="1"/>
  <c r="K19" i="4"/>
  <c r="J20" i="4"/>
  <c r="J21" i="4" s="1"/>
  <c r="J22" i="4" s="1"/>
  <c r="J19" i="4"/>
  <c r="BQ21" i="4"/>
  <c r="BQ22" i="4" s="1"/>
  <c r="BO21" i="4"/>
  <c r="BN21" i="4"/>
  <c r="BM21" i="4"/>
  <c r="BM22" i="4" s="1"/>
  <c r="BK21" i="4"/>
  <c r="BJ21" i="4"/>
  <c r="BI21" i="4"/>
  <c r="BI22" i="4" s="1"/>
  <c r="BE21" i="4"/>
  <c r="BD21" i="4"/>
  <c r="BD22" i="4" s="1"/>
  <c r="BB21" i="4"/>
  <c r="AY21" i="4"/>
  <c r="AX22" i="4"/>
  <c r="AT21" i="4"/>
  <c r="AS21" i="4"/>
  <c r="AS22" i="4" s="1"/>
  <c r="AP21" i="4"/>
  <c r="AO21" i="4"/>
  <c r="AO22" i="4" s="1"/>
  <c r="AM21" i="4"/>
  <c r="AJ21" i="4"/>
  <c r="AI21" i="4"/>
  <c r="AI22" i="4" s="1"/>
  <c r="G21" i="4"/>
  <c r="E21" i="4"/>
  <c r="BX17" i="4"/>
  <c r="BX16" i="4"/>
  <c r="BX13" i="4"/>
  <c r="BX12" i="4"/>
  <c r="BX11" i="4"/>
  <c r="BX10" i="4"/>
  <c r="BX9" i="4"/>
  <c r="BX8" i="4"/>
  <c r="BX7" i="4"/>
  <c r="I21" i="4" l="1"/>
  <c r="I22" i="4" s="1"/>
  <c r="AL21" i="4"/>
  <c r="AL22" i="4" s="1"/>
  <c r="BA21" i="4"/>
  <c r="BA22" i="4" s="1"/>
  <c r="E22" i="4"/>
  <c r="AH22" i="4"/>
  <c r="AN21" i="4"/>
  <c r="AN22" i="4" s="1"/>
  <c r="AW22" i="4"/>
  <c r="BC21" i="4"/>
  <c r="BC22" i="4" s="1"/>
  <c r="BL21" i="4"/>
  <c r="BL22" i="4" s="1"/>
  <c r="BP21" i="4"/>
  <c r="BP22" i="4" s="1"/>
  <c r="AR21" i="4"/>
  <c r="AR22" i="4" s="1"/>
  <c r="BG21" i="4"/>
  <c r="BG22" i="4" s="1"/>
  <c r="AM22" i="4"/>
  <c r="BB22" i="4"/>
  <c r="BK22" i="4"/>
  <c r="BO22" i="4"/>
  <c r="H21" i="4"/>
  <c r="H22" i="4" s="1"/>
  <c r="AK21" i="4"/>
  <c r="AK22" i="4" s="1"/>
  <c r="AQ21" i="4"/>
  <c r="AQ22" i="4" s="1"/>
  <c r="AZ21" i="4"/>
  <c r="AZ22" i="4" s="1"/>
  <c r="BF21" i="4"/>
  <c r="BF22" i="4" s="1"/>
  <c r="G22" i="4"/>
  <c r="AJ22" i="4"/>
  <c r="AP22" i="4"/>
  <c r="AT22" i="4"/>
  <c r="AY22" i="4"/>
  <c r="BE22" i="4"/>
  <c r="BJ22" i="4"/>
  <c r="BN22" i="4"/>
  <c r="BX19" i="4"/>
  <c r="BX20" i="4"/>
  <c r="BX6" i="4"/>
  <c r="BI23" i="4" l="1"/>
  <c r="BN23" i="4"/>
  <c r="AM23" i="4"/>
  <c r="AH23" i="4"/>
  <c r="AU23" i="4"/>
  <c r="BB23" i="4"/>
  <c r="E23" i="4"/>
  <c r="BX21" i="4"/>
  <c r="BX22" i="4" s="1"/>
  <c r="CC16" i="3"/>
  <c r="CD16" i="3"/>
  <c r="CC15" i="3"/>
  <c r="CD15" i="3"/>
  <c r="CD17" i="3" l="1"/>
  <c r="CD18" i="3"/>
  <c r="CC17" i="3"/>
  <c r="CC18" i="3"/>
  <c r="BZ16" i="3"/>
  <c r="CA16" i="3"/>
  <c r="BZ15" i="3"/>
  <c r="CA15" i="3"/>
  <c r="BZ17" i="3" l="1"/>
  <c r="BZ18" i="3" s="1"/>
  <c r="CA17" i="3"/>
  <c r="CA18" i="3" s="1"/>
  <c r="BU16" i="3"/>
  <c r="BU15" i="3"/>
  <c r="BV16" i="3"/>
  <c r="BV15" i="3"/>
  <c r="BV17" i="3" l="1"/>
  <c r="BV18" i="3" s="1"/>
  <c r="BU17" i="3"/>
  <c r="BU18" i="3" s="1"/>
  <c r="BS16" i="3"/>
  <c r="BT16" i="3"/>
  <c r="BS15" i="3"/>
  <c r="BT15" i="3"/>
  <c r="BT17" i="3" l="1"/>
  <c r="BT18" i="3" s="1"/>
  <c r="BS17" i="3"/>
  <c r="BS18" i="3"/>
  <c r="BG16" i="3"/>
  <c r="BG15" i="3"/>
  <c r="BG17" i="3" l="1"/>
  <c r="BG18" i="3"/>
  <c r="BE16" i="3"/>
  <c r="BF16" i="3"/>
  <c r="BE15" i="3"/>
  <c r="BF15" i="3"/>
  <c r="BF17" i="3" l="1"/>
  <c r="BF18" i="3"/>
  <c r="BE17" i="3"/>
  <c r="BE18" i="3" s="1"/>
  <c r="AU16" i="3"/>
  <c r="AV16" i="3"/>
  <c r="AU15" i="3"/>
  <c r="AV15" i="3"/>
  <c r="AV17" i="3" l="1"/>
  <c r="AV18" i="3" s="1"/>
  <c r="AU17" i="3"/>
  <c r="AU18" i="3" s="1"/>
  <c r="AP16" i="3"/>
  <c r="AP15" i="3"/>
  <c r="AP17" i="3" l="1"/>
  <c r="AP18" i="3" s="1"/>
  <c r="AO16" i="3"/>
  <c r="AO17" i="3" s="1"/>
  <c r="AO18" i="3" s="1"/>
  <c r="AO15" i="3"/>
  <c r="AI16" i="3" l="1"/>
  <c r="AI17" i="3" s="1"/>
  <c r="AJ16" i="3"/>
  <c r="AI15" i="3"/>
  <c r="AJ15" i="3"/>
  <c r="AJ17" i="3" l="1"/>
  <c r="AJ18" i="3" s="1"/>
  <c r="AI18" i="3"/>
  <c r="AD16" i="3"/>
  <c r="AE16" i="3"/>
  <c r="AE17" i="3" s="1"/>
  <c r="AE18" i="3" s="1"/>
  <c r="AF16" i="3"/>
  <c r="AG16" i="3"/>
  <c r="AG17" i="3" s="1"/>
  <c r="AD15" i="3"/>
  <c r="AE15" i="3"/>
  <c r="AF15" i="3"/>
  <c r="AG15" i="3"/>
  <c r="AG18" i="3" l="1"/>
  <c r="AF17" i="3"/>
  <c r="AF18" i="3" s="1"/>
  <c r="AD17" i="3"/>
  <c r="AD18" i="3" s="1"/>
  <c r="AA16" i="3"/>
  <c r="AA17" i="3" s="1"/>
  <c r="AB16" i="3"/>
  <c r="AB17" i="3" s="1"/>
  <c r="AB18" i="3" s="1"/>
  <c r="AA15" i="3"/>
  <c r="AB15" i="3"/>
  <c r="AA18" i="3" l="1"/>
  <c r="Y16" i="3"/>
  <c r="Z16" i="3"/>
  <c r="Z17" i="3" s="1"/>
  <c r="Y15" i="3"/>
  <c r="Z15" i="3"/>
  <c r="Y17" i="3" l="1"/>
  <c r="Y18" i="3" s="1"/>
  <c r="Z18" i="3"/>
  <c r="U16" i="3"/>
  <c r="U17" i="3" s="1"/>
  <c r="U18" i="3" s="1"/>
  <c r="U15" i="3"/>
  <c r="T16" i="3" l="1"/>
  <c r="T17" i="3" s="1"/>
  <c r="T18" i="3" s="1"/>
  <c r="T15" i="3"/>
  <c r="N5" i="3" l="1"/>
  <c r="N16" i="3" s="1"/>
  <c r="N17" i="3" s="1"/>
  <c r="O16" i="3"/>
  <c r="O17" i="3" s="1"/>
  <c r="O18" i="3" s="1"/>
  <c r="O15" i="3"/>
  <c r="N15" i="3"/>
  <c r="N18" i="3" l="1"/>
  <c r="M16" i="3"/>
  <c r="M17" i="3" s="1"/>
  <c r="M18" i="3" s="1"/>
  <c r="M15" i="3"/>
  <c r="K16" i="3" l="1"/>
  <c r="K17" i="3" s="1"/>
  <c r="K18" i="3" s="1"/>
  <c r="K15" i="3"/>
  <c r="I16" i="3" l="1"/>
  <c r="I17" i="3" s="1"/>
  <c r="J16" i="3"/>
  <c r="J17" i="3" s="1"/>
  <c r="J18" i="3" s="1"/>
  <c r="I15" i="3"/>
  <c r="J15" i="3"/>
  <c r="I18" i="3" l="1"/>
  <c r="CE16" i="3"/>
  <c r="CF16" i="3"/>
  <c r="CG16" i="3"/>
  <c r="CH16" i="3"/>
  <c r="CI16" i="3"/>
  <c r="CJ16" i="3"/>
  <c r="CK16" i="3"/>
  <c r="CL16" i="3"/>
  <c r="BQ16" i="3"/>
  <c r="BR16" i="3"/>
  <c r="BW16" i="3"/>
  <c r="BX16" i="3"/>
  <c r="BY16" i="3"/>
  <c r="CB16" i="3"/>
  <c r="BJ16" i="3"/>
  <c r="BK16" i="3"/>
  <c r="BL16" i="3"/>
  <c r="BM16" i="3"/>
  <c r="BN16" i="3"/>
  <c r="BO16" i="3"/>
  <c r="BP16" i="3"/>
  <c r="AZ16" i="3"/>
  <c r="BA16" i="3"/>
  <c r="BB16" i="3"/>
  <c r="BC16" i="3"/>
  <c r="BD16" i="3"/>
  <c r="BH16" i="3"/>
  <c r="BI16" i="3"/>
  <c r="AK16" i="3"/>
  <c r="AL16" i="3"/>
  <c r="AM16" i="3"/>
  <c r="AN16" i="3"/>
  <c r="AQ16" i="3"/>
  <c r="AR16" i="3"/>
  <c r="AS16" i="3"/>
  <c r="AT16" i="3"/>
  <c r="AW16" i="3"/>
  <c r="AX16" i="3"/>
  <c r="AY16" i="3"/>
  <c r="V16" i="3"/>
  <c r="W16" i="3"/>
  <c r="X16" i="3"/>
  <c r="AC16" i="3"/>
  <c r="AH16" i="3"/>
  <c r="P16" i="3"/>
  <c r="Q16" i="3"/>
  <c r="R16" i="3"/>
  <c r="S16" i="3"/>
  <c r="L16" i="3"/>
  <c r="H16" i="3"/>
  <c r="H17" i="3" s="1"/>
  <c r="H18" i="3" s="1"/>
  <c r="G16" i="3"/>
  <c r="CB17" i="3" l="1"/>
  <c r="CB18" i="3"/>
  <c r="CM7" i="3"/>
  <c r="G32" i="3"/>
  <c r="CL17" i="3"/>
  <c r="CL18" i="3" s="1"/>
  <c r="CK17" i="3"/>
  <c r="CK18" i="3" s="1"/>
  <c r="CI17" i="3"/>
  <c r="CG17" i="3"/>
  <c r="CG18" i="3" s="1"/>
  <c r="CF17" i="3"/>
  <c r="CE17" i="3"/>
  <c r="BX17" i="3"/>
  <c r="BR17" i="3"/>
  <c r="BQ17" i="3"/>
  <c r="BP17" i="3"/>
  <c r="BO17" i="3"/>
  <c r="BO18" i="3" s="1"/>
  <c r="BM17" i="3"/>
  <c r="BK17" i="3"/>
  <c r="BK18" i="3" s="1"/>
  <c r="BI17" i="3"/>
  <c r="BC17" i="3"/>
  <c r="BB17" i="3"/>
  <c r="BA17" i="3"/>
  <c r="BA18" i="3" s="1"/>
  <c r="AY17" i="3"/>
  <c r="AW17" i="3"/>
  <c r="AW18" i="3" s="1"/>
  <c r="AS17" i="3"/>
  <c r="AQ17" i="3"/>
  <c r="AQ18" i="3" s="1"/>
  <c r="AM17" i="3"/>
  <c r="AL17" i="3"/>
  <c r="AK17" i="3"/>
  <c r="AK18" i="3" s="1"/>
  <c r="AH17" i="3"/>
  <c r="AC17" i="3"/>
  <c r="W17" i="3"/>
  <c r="S17" i="3"/>
  <c r="S18" i="3" s="1"/>
  <c r="Q17" i="3"/>
  <c r="G17" i="3"/>
  <c r="G18" i="3" s="1"/>
  <c r="F16" i="3"/>
  <c r="E16" i="3"/>
  <c r="E17" i="3" s="1"/>
  <c r="CL15" i="3"/>
  <c r="CK15" i="3"/>
  <c r="CJ15" i="3"/>
  <c r="CI15" i="3"/>
  <c r="CH15" i="3"/>
  <c r="CG15" i="3"/>
  <c r="CF15" i="3"/>
  <c r="CE15" i="3"/>
  <c r="CB15" i="3"/>
  <c r="BY15" i="3"/>
  <c r="BX15" i="3"/>
  <c r="BW15" i="3"/>
  <c r="BR15" i="3"/>
  <c r="BQ15" i="3"/>
  <c r="BP15" i="3"/>
  <c r="BO15" i="3"/>
  <c r="BN15" i="3"/>
  <c r="BM15" i="3"/>
  <c r="BL15" i="3"/>
  <c r="BK15" i="3"/>
  <c r="BJ15" i="3"/>
  <c r="BI15" i="3"/>
  <c r="BH15" i="3"/>
  <c r="BD15" i="3"/>
  <c r="BC15" i="3"/>
  <c r="BB15" i="3"/>
  <c r="BA15" i="3"/>
  <c r="AZ15" i="3"/>
  <c r="AY15" i="3"/>
  <c r="AX15" i="3"/>
  <c r="AW15" i="3"/>
  <c r="AT15" i="3"/>
  <c r="AS15" i="3"/>
  <c r="AR15" i="3"/>
  <c r="AQ15" i="3"/>
  <c r="AN15" i="3"/>
  <c r="AM15" i="3"/>
  <c r="AL15" i="3"/>
  <c r="AK15" i="3"/>
  <c r="AH15" i="3"/>
  <c r="AC15" i="3"/>
  <c r="X15" i="3"/>
  <c r="W15" i="3"/>
  <c r="V15" i="3"/>
  <c r="S15" i="3"/>
  <c r="R15" i="3"/>
  <c r="Q15" i="3"/>
  <c r="P15" i="3"/>
  <c r="L15" i="3"/>
  <c r="H15" i="3"/>
  <c r="G15" i="3"/>
  <c r="F15" i="3"/>
  <c r="E15" i="3"/>
  <c r="CM14" i="3"/>
  <c r="CM13" i="3"/>
  <c r="CM12" i="3"/>
  <c r="CM11" i="3"/>
  <c r="CM10" i="3"/>
  <c r="CM9" i="3"/>
  <c r="CM8" i="3"/>
  <c r="CM6" i="3"/>
  <c r="BH17" i="3" l="1"/>
  <c r="BH18" i="3" s="1"/>
  <c r="AC18" i="3"/>
  <c r="AL18" i="3"/>
  <c r="P17" i="3"/>
  <c r="P18" i="3" s="1"/>
  <c r="AR17" i="3"/>
  <c r="AR18" i="3" s="1"/>
  <c r="BL17" i="3"/>
  <c r="BL18" i="3" s="1"/>
  <c r="BW17" i="3"/>
  <c r="BW18" i="3" s="1"/>
  <c r="CH17" i="3"/>
  <c r="CH18" i="3" s="1"/>
  <c r="BB18" i="3"/>
  <c r="BP18" i="3"/>
  <c r="BR18" i="3"/>
  <c r="CF18" i="3"/>
  <c r="V17" i="3"/>
  <c r="V18" i="3" s="1"/>
  <c r="AX17" i="3"/>
  <c r="AX18" i="3" s="1"/>
  <c r="BN17" i="3"/>
  <c r="BN18" i="3" s="1"/>
  <c r="BY17" i="3"/>
  <c r="BY18" i="3" s="1"/>
  <c r="CJ17" i="3"/>
  <c r="CJ18" i="3" s="1"/>
  <c r="AT17" i="3"/>
  <c r="AT18" i="3" s="1"/>
  <c r="CM16" i="3"/>
  <c r="CM17" i="3" s="1"/>
  <c r="CM18" i="3" s="1"/>
  <c r="F17" i="3"/>
  <c r="L17" i="3"/>
  <c r="L18" i="3" s="1"/>
  <c r="R17" i="3"/>
  <c r="R18" i="3" s="1"/>
  <c r="X17" i="3"/>
  <c r="X18" i="3" s="1"/>
  <c r="AN17" i="3"/>
  <c r="AN18" i="3" s="1"/>
  <c r="AZ17" i="3"/>
  <c r="AZ18" i="3" s="1"/>
  <c r="BD17" i="3"/>
  <c r="BD18" i="3" s="1"/>
  <c r="BJ17" i="3"/>
  <c r="BJ18" i="3" s="1"/>
  <c r="E18" i="3"/>
  <c r="Q18" i="3"/>
  <c r="W18" i="3"/>
  <c r="AH18" i="3"/>
  <c r="AM18" i="3"/>
  <c r="AS18" i="3"/>
  <c r="AY18" i="3"/>
  <c r="BC18" i="3"/>
  <c r="BI18" i="3"/>
  <c r="BM18" i="3"/>
  <c r="BQ18" i="3"/>
  <c r="BX18" i="3"/>
  <c r="CE18" i="3"/>
  <c r="CI18" i="3"/>
  <c r="CM5" i="3"/>
  <c r="CM15" i="3"/>
  <c r="BJ15" i="1"/>
  <c r="BJ16" i="1" s="1"/>
  <c r="BK15" i="1"/>
  <c r="BK16" i="1" s="1"/>
  <c r="BK17" i="1" s="1"/>
  <c r="BJ14" i="1"/>
  <c r="BK14" i="1"/>
  <c r="F18" i="3" l="1"/>
  <c r="BJ17" i="1"/>
  <c r="BG15" i="1"/>
  <c r="BG16" i="1" s="1"/>
  <c r="BH15" i="1"/>
  <c r="BH16" i="1" s="1"/>
  <c r="BH17" i="1" s="1"/>
  <c r="BG14" i="1"/>
  <c r="BH14" i="1"/>
  <c r="BE15" i="1"/>
  <c r="BE16" i="1" s="1"/>
  <c r="BF15" i="1"/>
  <c r="BF16" i="1" s="1"/>
  <c r="BF17" i="1" s="1"/>
  <c r="BE14" i="1"/>
  <c r="BF14" i="1"/>
  <c r="BD15" i="1"/>
  <c r="BD16" i="1" s="1"/>
  <c r="BI15" i="1"/>
  <c r="BD14" i="1"/>
  <c r="BI14" i="1"/>
  <c r="BI16" i="1" l="1"/>
  <c r="BI17" i="1" s="1"/>
  <c r="BG17" i="1"/>
  <c r="BE17" i="1"/>
  <c r="BD17" i="1"/>
  <c r="AZ15" i="1"/>
  <c r="AZ16" i="1" s="1"/>
  <c r="BA15" i="1"/>
  <c r="BA16" i="1" s="1"/>
  <c r="BB15" i="1"/>
  <c r="BB16" i="1" s="1"/>
  <c r="AZ14" i="1"/>
  <c r="BA14" i="1"/>
  <c r="BB14" i="1"/>
  <c r="BB17" i="1" l="1"/>
  <c r="BA17" i="1"/>
  <c r="AZ17" i="1"/>
  <c r="AY15" i="1"/>
  <c r="AY16" i="1" s="1"/>
  <c r="BC15" i="1"/>
  <c r="BC16" i="1" s="1"/>
  <c r="BC17" i="1" s="1"/>
  <c r="AY14" i="1"/>
  <c r="BC14" i="1"/>
  <c r="AY17" i="1" l="1"/>
  <c r="AV15" i="1"/>
  <c r="AV16" i="1" s="1"/>
  <c r="AW15" i="1"/>
  <c r="AW16" i="1" s="1"/>
  <c r="AX15" i="1"/>
  <c r="AX16" i="1" s="1"/>
  <c r="AV14" i="1"/>
  <c r="AW14" i="1"/>
  <c r="AX14" i="1"/>
  <c r="AV17" i="1" l="1"/>
  <c r="AW17" i="1"/>
  <c r="AX17" i="1"/>
  <c r="AS15" i="1"/>
  <c r="AS16" i="1" s="1"/>
  <c r="AT15" i="1"/>
  <c r="AT16" i="1" s="1"/>
  <c r="AU15" i="1"/>
  <c r="AU16" i="1" s="1"/>
  <c r="AS14" i="1"/>
  <c r="AT14" i="1"/>
  <c r="AU14" i="1"/>
  <c r="AS17" i="1" l="1"/>
  <c r="AT17" i="1"/>
  <c r="AU17" i="1"/>
  <c r="AQ15" i="1"/>
  <c r="AQ16" i="1" s="1"/>
  <c r="AR15" i="1"/>
  <c r="AR16" i="1" s="1"/>
  <c r="AR17" i="1" s="1"/>
  <c r="AQ14" i="1"/>
  <c r="AR14" i="1"/>
  <c r="AQ17" i="1" l="1"/>
  <c r="AL26" i="1"/>
  <c r="AL24" i="1"/>
  <c r="AL15" i="1" l="1"/>
  <c r="AL16" i="1" s="1"/>
  <c r="AL17" i="1" s="1"/>
  <c r="AL14" i="1"/>
  <c r="AO15" i="1"/>
  <c r="AO16" i="1" s="1"/>
  <c r="AP15" i="1"/>
  <c r="AO14" i="1"/>
  <c r="AP14" i="1"/>
  <c r="AP16" i="1" l="1"/>
  <c r="AP17" i="1" s="1"/>
  <c r="AO17" i="1"/>
  <c r="AK15" i="1"/>
  <c r="AK16" i="1" s="1"/>
  <c r="AM15" i="1"/>
  <c r="AM16" i="1" s="1"/>
  <c r="AM17" i="1" s="1"/>
  <c r="AK14" i="1"/>
  <c r="AM14" i="1"/>
  <c r="AK17" i="1" l="1"/>
  <c r="AJ15" i="1"/>
  <c r="AJ16" i="1" s="1"/>
  <c r="AJ14" i="1"/>
  <c r="AH15" i="1"/>
  <c r="AH16" i="1" s="1"/>
  <c r="AI15" i="1"/>
  <c r="AI16" i="1" s="1"/>
  <c r="AI17" i="1" s="1"/>
  <c r="AH14" i="1"/>
  <c r="AI14" i="1"/>
  <c r="AJ17" i="1" l="1"/>
  <c r="AH17" i="1"/>
  <c r="AF15" i="1"/>
  <c r="AF16" i="1" s="1"/>
  <c r="AG15" i="1"/>
  <c r="AF14" i="1"/>
  <c r="AG14" i="1"/>
  <c r="AG16" i="1" l="1"/>
  <c r="AG17" i="1" s="1"/>
  <c r="AF17" i="1"/>
  <c r="G31" i="1"/>
  <c r="AD5" i="1"/>
  <c r="AD14" i="1" s="1"/>
  <c r="AC15" i="1"/>
  <c r="AD15" i="1"/>
  <c r="AD16" i="1" s="1"/>
  <c r="AE15" i="1"/>
  <c r="AE16" i="1" s="1"/>
  <c r="AC14" i="1"/>
  <c r="AE14" i="1"/>
  <c r="AC16" i="1" l="1"/>
  <c r="AC17" i="1" s="1"/>
  <c r="AD17" i="1"/>
  <c r="AE17" i="1"/>
  <c r="Y15" i="1"/>
  <c r="Z15" i="1"/>
  <c r="AA15" i="1"/>
  <c r="AA16" i="1" s="1"/>
  <c r="Y14" i="1"/>
  <c r="Z14" i="1"/>
  <c r="AA14" i="1"/>
  <c r="Z16" i="1" l="1"/>
  <c r="Z17" i="1" s="1"/>
  <c r="Y16" i="1"/>
  <c r="Y17" i="1" s="1"/>
  <c r="AA17" i="1"/>
  <c r="W15" i="1"/>
  <c r="W16" i="1" s="1"/>
  <c r="W17" i="1" s="1"/>
  <c r="X15" i="1"/>
  <c r="X16" i="1" s="1"/>
  <c r="X17" i="1" s="1"/>
  <c r="AB15" i="1"/>
  <c r="AB16" i="1" s="1"/>
  <c r="AB17" i="1" s="1"/>
  <c r="BL15" i="1"/>
  <c r="T15" i="1"/>
  <c r="U15" i="1"/>
  <c r="V15" i="1"/>
  <c r="S15" i="1"/>
  <c r="R15" i="1"/>
  <c r="X14" i="1"/>
  <c r="AB14" i="1"/>
  <c r="W14" i="1"/>
  <c r="Q15" i="1" l="1"/>
  <c r="P15" i="1"/>
  <c r="K15" i="1"/>
  <c r="J15" i="1"/>
  <c r="E15" i="1"/>
  <c r="F15" i="1"/>
  <c r="G15" i="1"/>
  <c r="H15" i="1"/>
  <c r="V16" i="1" l="1"/>
  <c r="V17" i="1" s="1"/>
  <c r="U16" i="1"/>
  <c r="U14" i="1"/>
  <c r="V14" i="1"/>
  <c r="U17" i="1" l="1"/>
  <c r="T16" i="1"/>
  <c r="R16" i="1"/>
  <c r="R17" i="1" s="1"/>
  <c r="S16" i="1"/>
  <c r="R14" i="1"/>
  <c r="S14" i="1"/>
  <c r="T14" i="1"/>
  <c r="T17" i="1" l="1"/>
  <c r="S17" i="1"/>
  <c r="N15" i="1"/>
  <c r="N16" i="1" s="1"/>
  <c r="N17" i="1" s="1"/>
  <c r="O15" i="1"/>
  <c r="P16" i="1"/>
  <c r="P17" i="1" s="1"/>
  <c r="N14" i="1"/>
  <c r="O14" i="1"/>
  <c r="P14" i="1"/>
  <c r="Q14" i="1"/>
  <c r="Q16" i="1" l="1"/>
  <c r="Q17" i="1" s="1"/>
  <c r="O16" i="1"/>
  <c r="O17" i="1" s="1"/>
  <c r="L15" i="1"/>
  <c r="L16" i="1" s="1"/>
  <c r="M15" i="1"/>
  <c r="M16" i="1" s="1"/>
  <c r="L14" i="1"/>
  <c r="M14" i="1"/>
  <c r="M17" i="1" l="1"/>
  <c r="L17" i="1"/>
  <c r="BL16" i="1"/>
  <c r="BL17" i="1" s="1"/>
  <c r="H16" i="1"/>
  <c r="H17" i="1" s="1"/>
  <c r="E16" i="1"/>
  <c r="BL14" i="1"/>
  <c r="K14" i="1"/>
  <c r="J14" i="1"/>
  <c r="H14" i="1"/>
  <c r="G14" i="1"/>
  <c r="F14" i="1"/>
  <c r="E14" i="1"/>
  <c r="BM13" i="1"/>
  <c r="BM12" i="1"/>
  <c r="BM11" i="1"/>
  <c r="BM10" i="1"/>
  <c r="BM9" i="1"/>
  <c r="BM7" i="1"/>
  <c r="BM6" i="1"/>
  <c r="I5" i="1"/>
  <c r="I15" i="1" s="1"/>
  <c r="K16" i="1" l="1"/>
  <c r="K17" i="1" s="1"/>
  <c r="I16" i="1"/>
  <c r="I17" i="1" s="1"/>
  <c r="BM5" i="1"/>
  <c r="F16" i="1"/>
  <c r="F17" i="1" s="1"/>
  <c r="J16" i="1"/>
  <c r="J17" i="1" s="1"/>
  <c r="E17" i="1"/>
  <c r="I14" i="1"/>
  <c r="G16" i="1"/>
  <c r="G17" i="1" s="1"/>
  <c r="BM8" i="1" l="1"/>
  <c r="AN15" i="1"/>
  <c r="AN14" i="1"/>
  <c r="BM14" i="1" s="1"/>
  <c r="AN16" i="1" l="1"/>
  <c r="BM15" i="1"/>
  <c r="AN17" i="1" l="1"/>
  <c r="BM17" i="1" s="1"/>
  <c r="BM16" i="1"/>
  <c r="DU5" i="5" l="1"/>
  <c r="DU8" i="5" l="1"/>
  <c r="DU15" i="5" l="1"/>
  <c r="DU25" i="5"/>
  <c r="DJ26" i="5"/>
  <c r="DU26" i="5" s="1"/>
  <c r="DU27" i="5" s="1"/>
  <c r="DU28" i="5" s="1"/>
  <c r="DJ27" i="5" l="1"/>
  <c r="DJ28" i="5" s="1"/>
  <c r="DH29" i="5" s="1"/>
  <c r="DU1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Bien, Nguyen Van / HSE Officer</author>
  </authors>
  <commentList>
    <comment ref="AT5" authorId="0" shapeId="0" xr:uid="{00000000-0006-0000-0200-000001000000}">
      <text>
        <r>
          <rPr>
            <b/>
            <sz val="9"/>
            <color indexed="81"/>
            <rFont val="Tahoma"/>
            <family val="2"/>
          </rPr>
          <t>Bien, Nguyen Van / HSE Officer:</t>
        </r>
        <r>
          <rPr>
            <sz val="9"/>
            <color indexed="81"/>
            <rFont val="Tahoma"/>
            <family val="2"/>
          </rPr>
          <t xml:space="preserve">
Chốt tháng 7</t>
        </r>
      </text>
    </comment>
    <comment ref="BA5" authorId="0" shapeId="0" xr:uid="{00000000-0006-0000-0200-000002000000}">
      <text>
        <r>
          <rPr>
            <b/>
            <sz val="9"/>
            <color indexed="81"/>
            <rFont val="Tahoma"/>
            <family val="2"/>
          </rPr>
          <t>Bien, Nguyen Van / HSE Officer:</t>
        </r>
        <r>
          <rPr>
            <sz val="9"/>
            <color indexed="81"/>
            <rFont val="Tahoma"/>
            <family val="2"/>
          </rPr>
          <t xml:space="preserve">
chốt tháng 8
</t>
        </r>
      </text>
    </comment>
    <comment ref="BH5" authorId="0" shapeId="0" xr:uid="{00000000-0006-0000-0200-000003000000}">
      <text>
        <r>
          <rPr>
            <b/>
            <sz val="9"/>
            <color indexed="81"/>
            <rFont val="Tahoma"/>
            <family val="2"/>
          </rPr>
          <t>Bien, Nguyen Van / HSE Officer:</t>
        </r>
        <r>
          <rPr>
            <sz val="9"/>
            <color indexed="81"/>
            <rFont val="Tahoma"/>
            <family val="2"/>
          </rPr>
          <t xml:space="preserve">
Chốt tháng 9
</t>
        </r>
      </text>
    </comment>
    <comment ref="BM5" authorId="0" shapeId="0" xr:uid="{00000000-0006-0000-0200-000004000000}">
      <text>
        <r>
          <rPr>
            <b/>
            <sz val="9"/>
            <color indexed="81"/>
            <rFont val="Tahoma"/>
            <family val="2"/>
          </rPr>
          <t>Bien, Nguyen Van / HSE Officer:</t>
        </r>
        <r>
          <rPr>
            <sz val="9"/>
            <color indexed="81"/>
            <rFont val="Tahoma"/>
            <family val="2"/>
          </rPr>
          <t xml:space="preserve">
Chốt tháng 10</t>
        </r>
      </text>
    </comment>
    <comment ref="BR5" authorId="0" shapeId="0" xr:uid="{00000000-0006-0000-0200-000005000000}">
      <text>
        <r>
          <rPr>
            <b/>
            <sz val="9"/>
            <color indexed="81"/>
            <rFont val="Tahoma"/>
            <family val="2"/>
          </rPr>
          <t>Bien, Nguyen Van / HSE Officer:</t>
        </r>
        <r>
          <rPr>
            <sz val="9"/>
            <color indexed="81"/>
            <rFont val="Tahoma"/>
            <family val="2"/>
          </rPr>
          <t xml:space="preserve">
Chốt tháng 11
</t>
        </r>
      </text>
    </comment>
    <comment ref="BW5" authorId="0" shapeId="0" xr:uid="{00000000-0006-0000-0200-000006000000}">
      <text>
        <r>
          <rPr>
            <b/>
            <sz val="9"/>
            <color indexed="81"/>
            <rFont val="Tahoma"/>
            <family val="2"/>
          </rPr>
          <t>Bien, Nguyen Van / HSE Officer:</t>
        </r>
        <r>
          <rPr>
            <sz val="9"/>
            <color indexed="81"/>
            <rFont val="Tahoma"/>
            <family val="2"/>
          </rPr>
          <t xml:space="preserve">
Chót tháng 12
</t>
        </r>
      </text>
    </comment>
  </commentList>
</comments>
</file>

<file path=xl/sharedStrings.xml><?xml version="1.0" encoding="utf-8"?>
<sst xmlns="http://schemas.openxmlformats.org/spreadsheetml/2006/main" count="517" uniqueCount="258">
  <si>
    <t>THỐNG KÊ CHẤT THẢI NGUY HẠI PHÁT SINH NĂM 2017
Hazardous waste tracking 2017 - Sao Nam</t>
  </si>
  <si>
    <t>No.</t>
  </si>
  <si>
    <t>Theo dõi trả chứng từ</t>
  </si>
  <si>
    <t>x</t>
  </si>
  <si>
    <t>mượn</t>
  </si>
  <si>
    <t>X</t>
  </si>
  <si>
    <t>Tên chất thải
Hazardous names</t>
  </si>
  <si>
    <t>Phí xử lý mới
New processing price from Sept 2016</t>
  </si>
  <si>
    <t>Mã quản lý
Code</t>
  </si>
  <si>
    <t>JAN</t>
  </si>
  <si>
    <t>FEB</t>
  </si>
  <si>
    <t>MARCH</t>
  </si>
  <si>
    <t>APRIL</t>
  </si>
  <si>
    <t>MAY</t>
  </si>
  <si>
    <t>JUNE</t>
  </si>
  <si>
    <t>JULY</t>
  </si>
  <si>
    <t>AUGUST</t>
  </si>
  <si>
    <t>SEPT</t>
  </si>
  <si>
    <t>OCT</t>
  </si>
  <si>
    <t>NOV</t>
  </si>
  <si>
    <t>DEC</t>
  </si>
  <si>
    <t>14/1/2017</t>
  </si>
  <si>
    <t>16/1/2017</t>
  </si>
  <si>
    <t>21/1/2017</t>
  </si>
  <si>
    <t>17/02/2017</t>
  </si>
  <si>
    <t>22/02/2017</t>
  </si>
  <si>
    <t>13/3/2017</t>
  </si>
  <si>
    <t>18/3/2017</t>
  </si>
  <si>
    <t>28/3/2017</t>
  </si>
  <si>
    <t>21/4/2017</t>
  </si>
  <si>
    <t>27/4/2017</t>
  </si>
  <si>
    <t>15/5/2017</t>
  </si>
  <si>
    <t>24/5/2017</t>
  </si>
  <si>
    <t>16/6/2017</t>
  </si>
  <si>
    <t>21/6/2017</t>
  </si>
  <si>
    <t>23/6/2017</t>
  </si>
  <si>
    <t>15/7/2017</t>
  </si>
  <si>
    <t>25/7/2017</t>
  </si>
  <si>
    <t>28/7/2017</t>
  </si>
  <si>
    <t>18/8/2017</t>
  </si>
  <si>
    <t>19/8/2017</t>
  </si>
  <si>
    <t>24/8/2017</t>
  </si>
  <si>
    <t>30/8/2017</t>
  </si>
  <si>
    <t>31/8/2017</t>
  </si>
  <si>
    <t>13/09/2017</t>
  </si>
  <si>
    <t>16/09/2017</t>
  </si>
  <si>
    <t>25/09/2017</t>
  </si>
  <si>
    <t>28/09/2017</t>
  </si>
  <si>
    <t>29/09/2017</t>
  </si>
  <si>
    <t>17/10/2017</t>
  </si>
  <si>
    <t>19/10/2017</t>
  </si>
  <si>
    <t>20/10/2017</t>
  </si>
  <si>
    <t>27/10/2017</t>
  </si>
  <si>
    <t>13/11/2017</t>
  </si>
  <si>
    <t>18/11/2017</t>
  </si>
  <si>
    <t>28/11/2017</t>
  </si>
  <si>
    <t>14/12/2017</t>
  </si>
  <si>
    <t>19/12/2017</t>
  </si>
  <si>
    <t>22/12/2017</t>
  </si>
  <si>
    <t>29/12/2017</t>
  </si>
  <si>
    <t>TOTAL</t>
  </si>
  <si>
    <t>Giẻ lau + màng xốp
Rags, gloves solvent adhesive, glue, paint, waste oil</t>
  </si>
  <si>
    <t>Thùng kim loại dính sơn, keo. Metal drums containing paint, solvent…)</t>
  </si>
  <si>
    <t>Cặn sơn thải
Waste paint residue</t>
  </si>
  <si>
    <t>Xăng dầu nhớt thải
Wasted oil/petrol</t>
  </si>
  <si>
    <t>Bóng đèn huỳnh quang thải
Broken light bulb</t>
  </si>
  <si>
    <t>Dung môi solvent waste</t>
  </si>
  <si>
    <t>Chất tẩy rửa có chứa thành phần nguy hại
Hazardous solvent waste</t>
  </si>
  <si>
    <t>Keo thải</t>
  </si>
  <si>
    <t>080301</t>
  </si>
  <si>
    <t>Rác y tế
Medical waste (bandages, standing infections…)</t>
  </si>
  <si>
    <t>Quantity total</t>
  </si>
  <si>
    <t>Price total</t>
  </si>
  <si>
    <t>VAT (10%)</t>
  </si>
  <si>
    <t>Total include VAT</t>
  </si>
  <si>
    <t>NHÀ NCC THU GOM RÁC THẢI NGUY HẠI
SUBCONTRACTION COLLECTING AND TREATMENT</t>
  </si>
  <si>
    <t>VIET XANH QN</t>
  </si>
  <si>
    <t>THEO DÕI THANH TOÁN</t>
  </si>
  <si>
    <t>HĐ000693-28.02.2017
(05/01-16/01/2017)</t>
  </si>
  <si>
    <t>Chưa thanh toán</t>
  </si>
  <si>
    <t>HĐ000167, ngày 29/6/17, 1215/BXN-MTDT</t>
  </si>
  <si>
    <t>MÔI TRƯỜNG ĐÔ THỊ XUẤT HĐ, CỤ THỂ THEO CHI PHÍ TỪNG THÁNG
(22/02-11/04/2017) HĐ 000163 - ngày 31/05/17, 900/BXN-MTDT</t>
  </si>
  <si>
    <t>HĐ số 0000177, ngày 09/08/2017,  1496/BXN-MTDT</t>
  </si>
  <si>
    <t>1899/BXN-MTDT</t>
  </si>
  <si>
    <t>..</t>
  </si>
  <si>
    <t>THỐNG KÊ CHẤT THẢI NGUY HẠI PHÁT SINH NĂM 2018
Hazardous waste tracking 2018 - Sao Nam</t>
  </si>
  <si>
    <t>đã thanh toán - x</t>
  </si>
  <si>
    <t>16/1/2018</t>
  </si>
  <si>
    <t>18/1/2018</t>
  </si>
  <si>
    <t>22/1/2018</t>
  </si>
  <si>
    <t>23/01/2018</t>
  </si>
  <si>
    <t>27/01/2018</t>
  </si>
  <si>
    <t>15/3/2018</t>
  </si>
  <si>
    <t>16/3/2018</t>
  </si>
  <si>
    <t>21/3/2018</t>
  </si>
  <si>
    <t>29/3/2018</t>
  </si>
  <si>
    <t>31/3/2018</t>
  </si>
  <si>
    <t>18/4/2018</t>
  </si>
  <si>
    <t>26/04/2018</t>
  </si>
  <si>
    <t>28/04/2018</t>
  </si>
  <si>
    <t>17/05/2018</t>
  </si>
  <si>
    <t>24/05/2018</t>
  </si>
  <si>
    <t>30/05/2018</t>
  </si>
  <si>
    <t>19/6/2018</t>
  </si>
  <si>
    <t>23/6/2018</t>
  </si>
  <si>
    <t>27/06/2018</t>
  </si>
  <si>
    <t>30/6/2018</t>
  </si>
  <si>
    <t>14/07/2018</t>
  </si>
  <si>
    <t>21/07/2018</t>
  </si>
  <si>
    <t>25/07/2018</t>
  </si>
  <si>
    <t>28/07/2018</t>
  </si>
  <si>
    <t>16/08/2018</t>
  </si>
  <si>
    <t>18/08/2018</t>
  </si>
  <si>
    <t>21/08/2018</t>
  </si>
  <si>
    <t>24/08/2018</t>
  </si>
  <si>
    <t>31/08/2018</t>
  </si>
  <si>
    <t>15/9/2018</t>
  </si>
  <si>
    <t>21/9/2018</t>
  </si>
  <si>
    <t>28/09/2018</t>
  </si>
  <si>
    <t>16/10/2018</t>
  </si>
  <si>
    <t>23/10/2018</t>
  </si>
  <si>
    <t>26/10/2018</t>
  </si>
  <si>
    <t>31/10/2018</t>
  </si>
  <si>
    <t>16/11/2018</t>
  </si>
  <si>
    <t>22/11/2018</t>
  </si>
  <si>
    <t>27/11/2018</t>
  </si>
  <si>
    <t>17/12/2018</t>
  </si>
  <si>
    <t>22/12/2018</t>
  </si>
  <si>
    <t>27/12/2018</t>
  </si>
  <si>
    <t>31/12/2018</t>
  </si>
  <si>
    <t>080102</t>
  </si>
  <si>
    <t xml:space="preserve">                                                                                                                                                                               </t>
  </si>
  <si>
    <t>THỐNG KÊ CHẤT THẢI NGUY HẠI PHÁT SINH NĂM 2019
Hazardous waste tracking 2019 - Sao Nam</t>
  </si>
  <si>
    <t>Theo dõi trả chứng từ Rác</t>
  </si>
  <si>
    <t>Theo dõi trả chứng từ Phuy</t>
  </si>
  <si>
    <t>Phí xử lý mới
New processing price from Sept 2019</t>
  </si>
  <si>
    <t>JUN</t>
  </si>
  <si>
    <t>17/1/2019</t>
  </si>
  <si>
    <t>19/1/2019</t>
  </si>
  <si>
    <t>23/01/2019</t>
  </si>
  <si>
    <t>28/01/2019</t>
  </si>
  <si>
    <t>29/01/2019</t>
  </si>
  <si>
    <t>23/2/2019</t>
  </si>
  <si>
    <t>25/02/2019</t>
  </si>
  <si>
    <t>27/02/2019</t>
  </si>
  <si>
    <t>15/03/2019</t>
  </si>
  <si>
    <t>20/03/2019</t>
  </si>
  <si>
    <t>25/03/2019</t>
  </si>
  <si>
    <t>30/03/2019</t>
  </si>
  <si>
    <t>13/04/2019</t>
  </si>
  <si>
    <t>16/04/2019</t>
  </si>
  <si>
    <t>19/04/2019</t>
  </si>
  <si>
    <t>24/04/2019</t>
  </si>
  <si>
    <t>29/04/2019</t>
  </si>
  <si>
    <t>18/05/2019</t>
  </si>
  <si>
    <t>23/05/2019</t>
  </si>
  <si>
    <t>28/05/2019</t>
  </si>
  <si>
    <t>01/06/2019</t>
  </si>
  <si>
    <t>18/06/2019</t>
  </si>
  <si>
    <t>25/06/2019</t>
  </si>
  <si>
    <t>15/07/2019</t>
  </si>
  <si>
    <t>18/07/2019</t>
  </si>
  <si>
    <t>19/07/2019</t>
  </si>
  <si>
    <t>23/07/2019</t>
  </si>
  <si>
    <t>24/07/2019</t>
  </si>
  <si>
    <t>31/07/2019</t>
  </si>
  <si>
    <t>1/8/2019</t>
  </si>
  <si>
    <t>14/08/2019</t>
  </si>
  <si>
    <t>16/08/2019</t>
  </si>
  <si>
    <t>22/08/2019</t>
  </si>
  <si>
    <t>29/08/2019</t>
  </si>
  <si>
    <t>31/08/2019</t>
  </si>
  <si>
    <t>13/9/2019</t>
  </si>
  <si>
    <t>17/9/2019</t>
  </si>
  <si>
    <t>21/09/2019</t>
  </si>
  <si>
    <t>26/09/2019</t>
  </si>
  <si>
    <t>27/09/2019</t>
  </si>
  <si>
    <t>17/10/2019</t>
  </si>
  <si>
    <t>28/10/2019</t>
  </si>
  <si>
    <t>30/10/2019</t>
  </si>
  <si>
    <t>13/11/2019</t>
  </si>
  <si>
    <t>16/11/2019</t>
  </si>
  <si>
    <t>23/11/2019</t>
  </si>
  <si>
    <t>30/11/2019</t>
  </si>
  <si>
    <t>12/12/2019</t>
  </si>
  <si>
    <t>21/12/2019</t>
  </si>
  <si>
    <t>24/12/2019</t>
  </si>
  <si>
    <t>Thùng nhựa keo hóa chất dính thành phần nguy hại - đế sắt (thùng 1000 lít)
Plastic drums containing paint, solvent…)</t>
  </si>
  <si>
    <t>Cặn sơn, sơn và véc ni có dung môi hữu cơ hoặc các thành phần nguy hại khác</t>
  </si>
  <si>
    <t>080101</t>
  </si>
  <si>
    <t>Huyền phù nước thải lẫn sơn hoặc véc ni có dung môi hữu cơ hoặc các thành phần nguy hại khác</t>
  </si>
  <si>
    <t>080104</t>
  </si>
  <si>
    <t>Giấy nhám dính sơn và dung môi thải</t>
  </si>
  <si>
    <t>080201</t>
  </si>
  <si>
    <t>TỔNG TIỀN:</t>
  </si>
  <si>
    <t>THỐNG KÊ CHẤT THẢI NGUY HẠI PHÁT SINH NĂM 2024
Hazardous waste tracking 2024 - Rochdale Spears P2</t>
  </si>
  <si>
    <t>v</t>
  </si>
  <si>
    <t>Theo dõi trả chứng từ CTNH</t>
  </si>
  <si>
    <t>Dec</t>
  </si>
  <si>
    <r>
      <t xml:space="preserve">Bao bì cứng thải bằng kim loại bao gồm cả bình chứa áp suất bảo đảm rỗng hoàn toàn. Loại 200L </t>
    </r>
    <r>
      <rPr>
        <i/>
        <sz val="13"/>
        <color theme="8" tint="-0.249977111117893"/>
        <rFont val="Times New Roman"/>
        <family val="1"/>
      </rPr>
      <t>Metal drums containing paint, solvents, lubricants, chemicals, adhesive hazardous components</t>
    </r>
  </si>
  <si>
    <t>18 01 02</t>
  </si>
  <si>
    <r>
      <t xml:space="preserve">Bao bì cứng thải bằng nhựa </t>
    </r>
    <r>
      <rPr>
        <i/>
        <sz val="13"/>
        <color theme="8" tint="-0.249977111117893"/>
        <rFont val="Times New Roman"/>
        <family val="1"/>
      </rPr>
      <t>Plastic tanks</t>
    </r>
  </si>
  <si>
    <t>18 01 03</t>
  </si>
  <si>
    <r>
      <t xml:space="preserve">Các loại dung môi và hỗn hợp dung môi thải khác </t>
    </r>
    <r>
      <rPr>
        <i/>
        <sz val="13"/>
        <color theme="8" tint="-0.249977111117893"/>
        <rFont val="Times New Roman"/>
        <family val="1"/>
      </rPr>
      <t>Slovents waste</t>
    </r>
  </si>
  <si>
    <t>17 08 03</t>
  </si>
  <si>
    <r>
      <t xml:space="preserve">Chất kết dính và chất bịt kín thải có dung môi hữu cơ hoặc các thành phần nguy hại khác </t>
    </r>
    <r>
      <rPr>
        <i/>
        <sz val="13"/>
        <color theme="8" tint="-0.249977111117893"/>
        <rFont val="Times New Roman"/>
        <family val="1"/>
      </rPr>
      <t>Adhesives waste</t>
    </r>
  </si>
  <si>
    <t>08 03 01</t>
  </si>
  <si>
    <r>
      <t>Bùn thải lẫn sơn hoặc véc ni có dung môi hữu cơ hoặc các thành phần nguy hại khác</t>
    </r>
    <r>
      <rPr>
        <i/>
        <sz val="13"/>
        <color theme="8" tint="-0.249977111117893"/>
        <rFont val="Times New Roman"/>
        <family val="1"/>
      </rPr>
      <t xml:space="preserve"> Slugde waste or vecni waste</t>
    </r>
  </si>
  <si>
    <t>08 01 02</t>
  </si>
  <si>
    <r>
      <t>Hộp mực in thải có các thành phần nguy hại</t>
    </r>
    <r>
      <rPr>
        <i/>
        <sz val="13"/>
        <color theme="8" tint="-0.249977111117893"/>
        <rFont val="Times New Roman"/>
        <family val="1"/>
      </rPr>
      <t xml:space="preserve"> Ink cartridge</t>
    </r>
  </si>
  <si>
    <t>08 02 04</t>
  </si>
  <si>
    <r>
      <t>Pin, ắc quy chì thải</t>
    </r>
    <r>
      <rPr>
        <i/>
        <sz val="13"/>
        <color theme="8" tint="-0.249977111117893"/>
        <rFont val="Times New Roman"/>
        <family val="1"/>
      </rPr>
      <t xml:space="preserve"> Batteries, waste lead batteries</t>
    </r>
  </si>
  <si>
    <t>19 06 01</t>
  </si>
  <si>
    <r>
      <t xml:space="preserve">Bóng đèn huỳnh quang và các loại thủy tinh hoạt tính thải </t>
    </r>
    <r>
      <rPr>
        <i/>
        <sz val="13"/>
        <color theme="8" tint="-0.249977111117893"/>
        <rFont val="Times New Roman"/>
        <family val="1"/>
      </rPr>
      <t>Broken light bulb and glass broken</t>
    </r>
  </si>
  <si>
    <t>16 01 06</t>
  </si>
  <si>
    <r>
      <t xml:space="preserve">Chất hấp thụ, vật liệu lọc (bao gồm cả vật liệu lọc dầu chưa nêu tại các mã khác), giẻ lau, vải bảo vệ thải bị nhiễm các thành phần nguy hại </t>
    </r>
    <r>
      <rPr>
        <i/>
        <sz val="13"/>
        <color theme="8" tint="-0.249977111117893"/>
        <rFont val="Times New Roman"/>
        <family val="1"/>
      </rPr>
      <t>Porous membrane absorbs dust paint, rags, gloves solvent adhesive</t>
    </r>
  </si>
  <si>
    <t>18 02 01</t>
  </si>
  <si>
    <r>
      <t xml:space="preserve">Xăng, Dầu nhớt thải </t>
    </r>
    <r>
      <rPr>
        <i/>
        <sz val="13"/>
        <color theme="8" tint="-0.249977111117893"/>
        <rFont val="Times New Roman"/>
        <family val="1"/>
      </rPr>
      <t>Oil, gas waste</t>
    </r>
  </si>
  <si>
    <t>17 02 03</t>
  </si>
  <si>
    <r>
      <t xml:space="preserve">Chất thải lây nhiễm (bao gồm cả chất thải sắc nhọn) </t>
    </r>
    <r>
      <rPr>
        <i/>
        <sz val="13"/>
        <color theme="8" tint="-0.249977111117893"/>
        <rFont val="Times New Roman"/>
        <family val="1"/>
      </rPr>
      <t>Medical waste bandages, standing infections, medications down… (inlcuing shaper waste)</t>
    </r>
  </si>
  <si>
    <t>13 01 01</t>
  </si>
  <si>
    <r>
      <t xml:space="preserve">Hỗn hợp dầu mỡ thải và chất béo độc hại từ quá trình phân tách dầu/nước </t>
    </r>
    <r>
      <rPr>
        <i/>
        <sz val="13"/>
        <color theme="8" tint="-0.249977111117893"/>
        <rFont val="Times New Roman"/>
        <family val="1"/>
      </rPr>
      <t>Waste grease, fatty acid from disposal process of oil/water</t>
    </r>
  </si>
  <si>
    <t>12 06 04</t>
  </si>
  <si>
    <r>
      <t xml:space="preserve">Bùn thải có các thành phần nguy hại từ các quá trình xử lý nước thải công nghiệp khác </t>
    </r>
    <r>
      <rPr>
        <i/>
        <sz val="13"/>
        <color theme="8" tint="-0.249977111117893"/>
        <rFont val="Times New Roman"/>
        <family val="1"/>
      </rPr>
      <t>Slugde from wastewater treatment system</t>
    </r>
  </si>
  <si>
    <t>12 06 06</t>
  </si>
  <si>
    <r>
      <t xml:space="preserve">Mùn cưa, phôi bào, đầu mẩu, gỗ thừa, ván và gỗ dán vụn thải có các thành phần nguy hại </t>
    </r>
    <r>
      <rPr>
        <i/>
        <sz val="13"/>
        <color theme="8" tint="-0.249977111117893"/>
        <rFont val="Times New Roman"/>
        <family val="1"/>
      </rPr>
      <t>Wood infected chemical</t>
    </r>
  </si>
  <si>
    <t>09 01 01</t>
  </si>
  <si>
    <r>
      <t xml:space="preserve">Huyền phù nước thải lẫn sơn hoặc véc ni có dung môi hữu cơ hoặc các thành phần nguy hại khác </t>
    </r>
    <r>
      <rPr>
        <i/>
        <sz val="13"/>
        <color theme="8" tint="-0.249977111117893"/>
        <rFont val="Times New Roman"/>
        <family val="1"/>
      </rPr>
      <t>Chemicals waste</t>
    </r>
  </si>
  <si>
    <t>08 01 04</t>
  </si>
  <si>
    <r>
      <t xml:space="preserve">Da thú có các thành phần nguy hại thải bỏ từ quá trình thuộc da và các quá trình liên quan </t>
    </r>
    <r>
      <rPr>
        <i/>
        <sz val="13"/>
        <color theme="8" tint="-0.249977111117893"/>
        <rFont val="Times New Roman"/>
        <family val="1"/>
      </rPr>
      <t>Leather waste with chemicals</t>
    </r>
  </si>
  <si>
    <t>10 01 02</t>
  </si>
  <si>
    <r>
      <t xml:space="preserve">Vật thể dùng để mài đã qua sử dụng có các thành phần nguy hại (ví dụ đá mài, giấy ráp...) </t>
    </r>
    <r>
      <rPr>
        <i/>
        <sz val="13"/>
        <color theme="8" tint="-0.249977111117893"/>
        <rFont val="Times New Roman"/>
        <family val="1"/>
      </rPr>
      <t>Grinding waste process (Grinding stone, sandpaper…)</t>
    </r>
  </si>
  <si>
    <t>07 03 10</t>
  </si>
  <si>
    <t>Than hoạt tính đã qua sử dụng từ quá trình xử lý khí thải</t>
  </si>
  <si>
    <t>12 01 04</t>
  </si>
  <si>
    <r>
      <t xml:space="preserve">Cặn sơn, sơn và véc ni thải có dung môi hữu cơ hoặc các thành phần nguy hại khác </t>
    </r>
    <r>
      <rPr>
        <i/>
        <sz val="13"/>
        <color theme="8" tint="-0.249977111117893"/>
        <rFont val="Times New Roman"/>
        <family val="1"/>
      </rPr>
      <t>Waste paint residue</t>
    </r>
  </si>
  <si>
    <t>08 01 01</t>
  </si>
  <si>
    <t>VAT (8%)</t>
  </si>
  <si>
    <t>TỔNG TIỀN (có thuế):</t>
  </si>
  <si>
    <t>Bao bì cứng thải bằng kim loại bao gồm cả bình chứa áp suất bảo đảm rỗng hoàn toàn. Loại 200L Metal drums containing paint, solvents, lubricants, chemicals, adhesive hazardous components 18 01 02 Cái</t>
  </si>
  <si>
    <t>35,000 2 Bao bì cứng thải bằng nhựa Plastic tanks 18 01 03 Cái</t>
  </si>
  <si>
    <t>175,000 3 Các loại dung môi và hỗn hợp dung môi thải khác Slovents waste 17 08 03 kg</t>
  </si>
  <si>
    <t>5,500 4 Chất kết dính và chất bịt kín thải có dung môi hữu cơ hoặc các thành phần nguy hại khác 08 03 01 kg</t>
  </si>
  <si>
    <t>Adhesives waste 5 Bùn thải lẫn sơn hoặc véc ni có dung môi hữu cơ hoặc các thành phần nguy hại khác Slugde waste or vecni waste 08 01 02 kg</t>
  </si>
  <si>
    <t>6,700 6 Hộp mực in thải có các thành phần nguy hại Ink cartridge 08 02 04 kg</t>
  </si>
  <si>
    <t>6,700 7 Pin, ắc quy chì thải Batteries, waste lead batteries 19 06 01 kg</t>
  </si>
  <si>
    <t>6,700 8 Bóng đèn huỳnh quang và các loại thủy tinh hoạt tính thải Broken light bulb and glass broken 16 01 06 kg</t>
  </si>
  <si>
    <t>6,700 9 Chất hấp thụ, vật liệu lọc (bao gồm cả vật liệu lọc dầu chưa nêu tại các mã khác), giẻ lau, vải bảo vệ thải bị nhiễm các thành phần nguy hại Porous membrane absorbs dust paint, rags, gloves solvent adhesive</t>
  </si>
  <si>
    <t>18 02 01 kg</t>
  </si>
  <si>
    <t>6,700 10 Xăng, Dầu nhớt thải Oil, gas waste 17 02 03 kg</t>
  </si>
  <si>
    <t>5,500 11 Chất thải lây nhiễm (bao gồm cả chất thải sắc nhọn) Medical waste bandages, standing infections, medications down… (inlcuing shaper waste) 13 01 01 kg</t>
  </si>
  <si>
    <t>6,700 12 Hỗn hợp dầu mỡ thải và chất béo độc hại từ quá trình phân tách dầu/nước Waste grease, fatty acid from disposal process of oil/water 12 06 04 kg</t>
  </si>
  <si>
    <t>5,500 13 Bùn thải có các thành phần nguy hại từ các quá trình xử lý nước thải công nghiệp khác Slugde from wastewater treatment system 12 06 06 kg</t>
  </si>
  <si>
    <t>5,500 14 Mùn cưa, phôi bào, đầu mẩu, gỗ thừa, ván và gỗ dán vụn thải có các thành phần nguy hại Wood infected chemical 09 01 01 kg</t>
  </si>
  <si>
    <t>5,500 15 Huyền phù nước thải lẫn sơn hoặc véc ni có dung môi hữu cơ hoặc các thành phần nguy hại khác Chemicals waste 08 01 04 kg</t>
  </si>
  <si>
    <t>5,500 16 Da thú có các thành phần nguy hại thải bỏ từ quá trình thuộc da và các quá trình liên quan Leather waste with chemicals 10 01 02 kg</t>
  </si>
  <si>
    <t>5,500 17 Vật thể dùng để mài đã qua sử dụng có các thành phần nguy hại (ví dụ đá mài, giấy ráp...) Grinding waste process (Grinding stone, sandpaper…) 07 03 10 kg</t>
  </si>
  <si>
    <t>5,500 18 Cặn sơn, sơn và véc ni thải có dung môi hữu cơ hoặc các thành phần nguy hại khác Waste paint residue 08 01 01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</si>
</sst>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17" x14ac:knownFonts="1">
    <font>
      <sz val="11"/>
      <color theme="1"/>
      <name val="Calibri"/>
      <family val="2"/>
      <scheme val="minor"/>
    </font>
    <font>
      <sz val="11"/>
      <color theme="1"/>
      <name val="Calibri"/>
      <family val="2"/>
      <scheme val="minor"/>
    </font>
    <font>
      <b/>
      <sz val="16"/>
      <color theme="1"/>
      <name val="Times New Roman"/>
      <family val="1"/>
    </font>
    <font>
      <b/>
      <sz val="13"/>
      <color theme="1"/>
      <name val="Times New Roman"/>
      <family val="1"/>
    </font>
    <font>
      <sz val="13"/>
      <color theme="1"/>
      <name val="Times New Roman"/>
      <family val="1"/>
    </font>
    <font>
      <b/>
      <sz val="13"/>
      <color rgb="FFFF0000"/>
      <name val="Times New Roman"/>
      <family val="1"/>
    </font>
    <font>
      <sz val="13"/>
      <color rgb="FFFF0000"/>
      <name val="Times New Roman"/>
      <family val="1"/>
    </font>
    <font>
      <b/>
      <i/>
      <sz val="13"/>
      <color theme="1"/>
      <name val="Times New Roman"/>
      <family val="1"/>
    </font>
    <font>
      <b/>
      <i/>
      <sz val="13"/>
      <color rgb="FFFF0000"/>
      <name val="Times New Roman"/>
      <family val="1"/>
    </font>
    <font>
      <b/>
      <sz val="13"/>
      <color theme="9" tint="-0.249977111117893"/>
      <name val="Times New Roman"/>
      <family val="1"/>
    </font>
    <font>
      <b/>
      <sz val="13"/>
      <color theme="0"/>
      <name val="Times New Roman"/>
      <family val="1"/>
    </font>
    <font>
      <b/>
      <sz val="13"/>
      <color theme="9" tint="0.39997558519241921"/>
      <name val="Times New Roman"/>
      <family val="1"/>
    </font>
    <font>
      <b/>
      <sz val="13"/>
      <name val="Times New Roman"/>
      <family val="1"/>
    </font>
    <font>
      <sz val="13"/>
      <name val="Times New Roman"/>
      <family val="1"/>
    </font>
    <font>
      <sz val="9"/>
      <color indexed="81"/>
      <name val="Tahoma"/>
      <family val="2"/>
    </font>
    <font>
      <b/>
      <sz val="9"/>
      <color indexed="81"/>
      <name val="Tahoma"/>
      <family val="2"/>
    </font>
    <font>
      <i/>
      <sz val="13"/>
      <color theme="8" tint="-0.249977111117893"/>
      <name val="Times New Roman"/>
      <family val="1"/>
    </font>
  </fonts>
  <fills count="18">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7"/>
        <bgColor indexed="64"/>
      </patternFill>
    </fill>
    <fill>
      <patternFill patternType="solid">
        <fgColor theme="8" tint="0.39997558519241921"/>
        <bgColor indexed="64"/>
      </patternFill>
    </fill>
    <fill>
      <patternFill patternType="solid">
        <fgColor rgb="FFFFC000"/>
        <bgColor indexed="64"/>
      </patternFill>
    </fill>
    <fill>
      <patternFill patternType="solid">
        <fgColor theme="7" tint="0.59999389629810485"/>
        <bgColor indexed="64"/>
      </patternFill>
    </fill>
    <fill>
      <patternFill patternType="solid">
        <fgColor rgb="FF1C8094"/>
        <bgColor indexed="64"/>
      </patternFill>
    </fill>
    <fill>
      <patternFill patternType="solid">
        <fgColor rgb="FFC9BADE"/>
        <bgColor indexed="64"/>
      </patternFill>
    </fill>
    <fill>
      <patternFill patternType="solid">
        <fgColor rgb="FFF6AD80"/>
        <bgColor indexed="64"/>
      </patternFill>
    </fill>
    <fill>
      <patternFill patternType="solid">
        <fgColor theme="5" tint="0.79998168889431442"/>
        <bgColor indexed="64"/>
      </patternFill>
    </fill>
    <fill>
      <patternFill patternType="solid">
        <fgColor rgb="FF92D050"/>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43" fontId="1" fillId="0" borderId="0" applyFont="0" applyFill="0" applyBorder="0" applyAlignment="0" applyProtection="0"/>
  </cellStyleXfs>
  <cellXfs count="266">
    <xf numFmtId="0" fontId="0" fillId="0" borderId="0" xfId="0"/>
    <xf numFmtId="0" fontId="3" fillId="0" borderId="0" xfId="0" applyFont="1" applyAlignment="1">
      <alignment horizontal="center"/>
    </xf>
    <xf numFmtId="0" fontId="4" fillId="0" borderId="0" xfId="0" applyFont="1"/>
    <xf numFmtId="0" fontId="3" fillId="0" borderId="0" xfId="0" applyFont="1"/>
    <xf numFmtId="0" fontId="3" fillId="0" borderId="3" xfId="0" applyFont="1" applyBorder="1" applyAlignment="1">
      <alignment horizontal="center" vertical="center"/>
    </xf>
    <xf numFmtId="0" fontId="3" fillId="0" borderId="0" xfId="0" quotePrefix="1" applyFont="1"/>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164" fontId="6" fillId="0" borderId="1" xfId="1" applyNumberFormat="1" applyFont="1" applyBorder="1" applyAlignment="1">
      <alignment horizontal="center" vertical="center" wrapText="1"/>
    </xf>
    <xf numFmtId="0" fontId="4" fillId="0" borderId="5" xfId="0" applyFont="1" applyBorder="1" applyAlignment="1">
      <alignment horizontal="center" vertical="center"/>
    </xf>
    <xf numFmtId="0" fontId="4" fillId="2" borderId="6" xfId="0" applyFont="1" applyFill="1" applyBorder="1" applyAlignment="1">
      <alignment horizontal="center" vertical="center"/>
    </xf>
    <xf numFmtId="0" fontId="4" fillId="2" borderId="1" xfId="0" applyFont="1" applyFill="1" applyBorder="1" applyAlignment="1">
      <alignment horizontal="center" vertical="center"/>
    </xf>
    <xf numFmtId="0" fontId="4" fillId="0" borderId="5" xfId="0" quotePrefix="1"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164" fontId="3" fillId="0" borderId="1" xfId="1" applyNumberFormat="1" applyFont="1" applyBorder="1" applyAlignment="1">
      <alignment horizontal="center" vertical="center" wrapText="1"/>
    </xf>
    <xf numFmtId="0" fontId="3" fillId="0" borderId="5" xfId="0" applyFont="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wrapText="1"/>
    </xf>
    <xf numFmtId="164" fontId="3" fillId="2" borderId="6" xfId="1" applyNumberFormat="1" applyFont="1" applyFill="1" applyBorder="1" applyAlignment="1">
      <alignment horizontal="center" vertical="center"/>
    </xf>
    <xf numFmtId="164" fontId="3" fillId="2" borderId="1" xfId="1" applyNumberFormat="1" applyFont="1" applyFill="1" applyBorder="1" applyAlignment="1">
      <alignment horizontal="center" vertical="center"/>
    </xf>
    <xf numFmtId="164" fontId="3" fillId="2" borderId="8" xfId="1" applyNumberFormat="1" applyFont="1" applyFill="1" applyBorder="1" applyAlignment="1">
      <alignment horizontal="center" vertical="center"/>
    </xf>
    <xf numFmtId="164" fontId="3" fillId="2" borderId="9" xfId="1" applyNumberFormat="1" applyFont="1" applyFill="1" applyBorder="1" applyAlignment="1">
      <alignment horizontal="center" vertical="center"/>
    </xf>
    <xf numFmtId="164" fontId="3" fillId="0" borderId="0" xfId="0" applyNumberFormat="1" applyFont="1"/>
    <xf numFmtId="164" fontId="3" fillId="0" borderId="1" xfId="0" applyNumberFormat="1" applyFont="1" applyBorder="1" applyAlignment="1">
      <alignment horizontal="center" vertical="center"/>
    </xf>
    <xf numFmtId="164" fontId="4" fillId="0" borderId="0" xfId="0" applyNumberFormat="1" applyFont="1"/>
    <xf numFmtId="0" fontId="4" fillId="0" borderId="0" xfId="0" applyFont="1" applyAlignment="1">
      <alignment wrapText="1"/>
    </xf>
    <xf numFmtId="0" fontId="4" fillId="3" borderId="5" xfId="0" applyFont="1" applyFill="1" applyBorder="1" applyAlignment="1">
      <alignment horizontal="center" vertical="center"/>
    </xf>
    <xf numFmtId="0" fontId="3" fillId="3" borderId="1" xfId="0" applyFont="1" applyFill="1" applyBorder="1" applyAlignment="1">
      <alignment horizontal="center" vertical="center"/>
    </xf>
    <xf numFmtId="164" fontId="3" fillId="3" borderId="1" xfId="1" applyNumberFormat="1" applyFont="1" applyFill="1" applyBorder="1" applyAlignment="1">
      <alignment horizontal="center" vertical="center"/>
    </xf>
    <xf numFmtId="164" fontId="3" fillId="3" borderId="9" xfId="1" applyNumberFormat="1"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3" fillId="4" borderId="1" xfId="0" applyFont="1" applyFill="1" applyBorder="1" applyAlignment="1">
      <alignment horizontal="center" vertical="center"/>
    </xf>
    <xf numFmtId="164" fontId="3" fillId="4" borderId="1" xfId="1" applyNumberFormat="1" applyFont="1" applyFill="1" applyBorder="1" applyAlignment="1">
      <alignment horizontal="center" vertical="center"/>
    </xf>
    <xf numFmtId="164" fontId="3" fillId="4" borderId="9" xfId="1" applyNumberFormat="1" applyFont="1" applyFill="1" applyBorder="1" applyAlignment="1">
      <alignment horizontal="center" vertical="center"/>
    </xf>
    <xf numFmtId="0" fontId="4" fillId="5" borderId="5" xfId="0" applyFont="1" applyFill="1" applyBorder="1" applyAlignment="1">
      <alignment horizontal="center" vertical="center"/>
    </xf>
    <xf numFmtId="0" fontId="3" fillId="5" borderId="1" xfId="0" applyFont="1" applyFill="1" applyBorder="1" applyAlignment="1">
      <alignment horizontal="center" vertical="center"/>
    </xf>
    <xf numFmtId="164" fontId="3" fillId="5" borderId="1" xfId="1" applyNumberFormat="1" applyFont="1" applyFill="1" applyBorder="1" applyAlignment="1">
      <alignment horizontal="center" vertical="center"/>
    </xf>
    <xf numFmtId="164" fontId="3" fillId="5" borderId="9" xfId="1" applyNumberFormat="1" applyFont="1" applyFill="1" applyBorder="1" applyAlignment="1">
      <alignment horizontal="center" vertical="center"/>
    </xf>
    <xf numFmtId="0" fontId="4" fillId="6" borderId="5" xfId="0" applyFont="1" applyFill="1" applyBorder="1" applyAlignment="1">
      <alignment horizontal="center" vertical="center"/>
    </xf>
    <xf numFmtId="0" fontId="3" fillId="6" borderId="1" xfId="0" applyFont="1" applyFill="1" applyBorder="1" applyAlignment="1">
      <alignment horizontal="center" vertical="center"/>
    </xf>
    <xf numFmtId="164" fontId="3" fillId="6" borderId="1" xfId="1" applyNumberFormat="1" applyFont="1" applyFill="1" applyBorder="1" applyAlignment="1">
      <alignment horizontal="center" vertical="center"/>
    </xf>
    <xf numFmtId="164" fontId="3" fillId="6" borderId="9" xfId="1" applyNumberFormat="1" applyFont="1" applyFill="1" applyBorder="1" applyAlignment="1">
      <alignment horizontal="center" vertical="center"/>
    </xf>
    <xf numFmtId="14" fontId="3" fillId="5" borderId="11" xfId="0" quotePrefix="1" applyNumberFormat="1" applyFont="1" applyFill="1" applyBorder="1" applyAlignment="1">
      <alignment horizontal="center" vertical="center"/>
    </xf>
    <xf numFmtId="14" fontId="3" fillId="6" borderId="11" xfId="0" quotePrefix="1" applyNumberFormat="1" applyFont="1" applyFill="1" applyBorder="1" applyAlignment="1">
      <alignment horizontal="center" vertical="center"/>
    </xf>
    <xf numFmtId="0" fontId="5" fillId="0" borderId="0" xfId="0" applyFont="1"/>
    <xf numFmtId="164" fontId="4" fillId="0" borderId="0" xfId="1" applyNumberFormat="1" applyFont="1"/>
    <xf numFmtId="14" fontId="3" fillId="7" borderId="11" xfId="0" quotePrefix="1" applyNumberFormat="1" applyFont="1" applyFill="1" applyBorder="1" applyAlignment="1">
      <alignment horizontal="center" vertical="center"/>
    </xf>
    <xf numFmtId="0" fontId="4" fillId="7" borderId="5" xfId="0" applyFont="1" applyFill="1" applyBorder="1" applyAlignment="1">
      <alignment horizontal="center" vertical="center"/>
    </xf>
    <xf numFmtId="164" fontId="3" fillId="7" borderId="1" xfId="1" applyNumberFormat="1" applyFont="1" applyFill="1" applyBorder="1" applyAlignment="1">
      <alignment horizontal="center" vertical="center"/>
    </xf>
    <xf numFmtId="0" fontId="3" fillId="7" borderId="1" xfId="0" applyFont="1" applyFill="1" applyBorder="1" applyAlignment="1">
      <alignment horizontal="center" vertical="center"/>
    </xf>
    <xf numFmtId="164" fontId="3" fillId="7" borderId="9" xfId="1" applyNumberFormat="1" applyFont="1" applyFill="1" applyBorder="1" applyAlignment="1">
      <alignment horizontal="center" vertical="center"/>
    </xf>
    <xf numFmtId="164" fontId="3" fillId="8" borderId="1" xfId="1" applyNumberFormat="1" applyFont="1" applyFill="1" applyBorder="1" applyAlignment="1">
      <alignment horizontal="center" vertical="center"/>
    </xf>
    <xf numFmtId="14" fontId="7" fillId="2" borderId="4" xfId="0" quotePrefix="1" applyNumberFormat="1" applyFont="1" applyFill="1" applyBorder="1" applyAlignment="1">
      <alignment horizontal="center" vertical="center"/>
    </xf>
    <xf numFmtId="0" fontId="8" fillId="2" borderId="1"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 xfId="0" applyFont="1" applyFill="1" applyBorder="1" applyAlignment="1">
      <alignment horizontal="center" vertical="center"/>
    </xf>
    <xf numFmtId="164" fontId="8" fillId="2" borderId="6" xfId="1" applyNumberFormat="1" applyFont="1" applyFill="1" applyBorder="1" applyAlignment="1">
      <alignment horizontal="center" vertical="center"/>
    </xf>
    <xf numFmtId="164" fontId="8" fillId="3" borderId="1" xfId="1" applyNumberFormat="1" applyFont="1" applyFill="1" applyBorder="1" applyAlignment="1">
      <alignment horizontal="center" vertical="center"/>
    </xf>
    <xf numFmtId="164" fontId="8" fillId="2" borderId="1" xfId="1" applyNumberFormat="1" applyFont="1" applyFill="1" applyBorder="1" applyAlignment="1">
      <alignment horizontal="center" vertical="center"/>
    </xf>
    <xf numFmtId="164" fontId="8" fillId="2" borderId="9" xfId="1" applyNumberFormat="1" applyFont="1" applyFill="1" applyBorder="1" applyAlignment="1">
      <alignment horizontal="center" vertical="center"/>
    </xf>
    <xf numFmtId="164" fontId="8" fillId="3" borderId="9" xfId="1" applyNumberFormat="1" applyFont="1" applyFill="1" applyBorder="1" applyAlignment="1">
      <alignment horizontal="center" vertical="center"/>
    </xf>
    <xf numFmtId="0" fontId="9" fillId="0" borderId="1" xfId="0" applyFont="1" applyBorder="1" applyAlignment="1">
      <alignment horizontal="center" vertical="center"/>
    </xf>
    <xf numFmtId="16" fontId="9" fillId="0" borderId="1" xfId="0" quotePrefix="1" applyNumberFormat="1" applyFont="1" applyBorder="1" applyAlignment="1">
      <alignment horizontal="center" vertical="center"/>
    </xf>
    <xf numFmtId="0" fontId="5" fillId="0" borderId="1" xfId="0" applyFont="1" applyBorder="1" applyAlignment="1">
      <alignment wrapText="1"/>
    </xf>
    <xf numFmtId="14" fontId="3" fillId="4" borderId="11" xfId="0" quotePrefix="1" applyNumberFormat="1" applyFont="1" applyFill="1" applyBorder="1" applyAlignment="1">
      <alignment horizontal="center" vertical="center"/>
    </xf>
    <xf numFmtId="14" fontId="3" fillId="9" borderId="11" xfId="0" quotePrefix="1" applyNumberFormat="1" applyFont="1" applyFill="1" applyBorder="1" applyAlignment="1">
      <alignment horizontal="center" vertical="center"/>
    </xf>
    <xf numFmtId="0" fontId="4" fillId="9" borderId="5" xfId="0" applyFont="1" applyFill="1" applyBorder="1" applyAlignment="1">
      <alignment horizontal="center" vertical="center"/>
    </xf>
    <xf numFmtId="0" fontId="3" fillId="9" borderId="1" xfId="0" applyFont="1" applyFill="1" applyBorder="1" applyAlignment="1">
      <alignment horizontal="center" vertical="center"/>
    </xf>
    <xf numFmtId="164" fontId="3" fillId="9" borderId="1" xfId="1" applyNumberFormat="1" applyFont="1" applyFill="1" applyBorder="1" applyAlignment="1">
      <alignment horizontal="center" vertical="center"/>
    </xf>
    <xf numFmtId="164" fontId="3" fillId="9" borderId="9" xfId="1" applyNumberFormat="1" applyFont="1" applyFill="1" applyBorder="1" applyAlignment="1">
      <alignment horizontal="center" vertical="center"/>
    </xf>
    <xf numFmtId="14" fontId="3" fillId="2" borderId="4" xfId="0" quotePrefix="1" applyNumberFormat="1" applyFont="1" applyFill="1" applyBorder="1" applyAlignment="1">
      <alignment horizontal="center" vertical="center"/>
    </xf>
    <xf numFmtId="14" fontId="7" fillId="3" borderId="11" xfId="0" quotePrefix="1" applyNumberFormat="1" applyFont="1" applyFill="1" applyBorder="1" applyAlignment="1">
      <alignment horizontal="center" vertical="center"/>
    </xf>
    <xf numFmtId="14" fontId="3" fillId="3" borderId="11" xfId="0" quotePrefix="1" applyNumberFormat="1" applyFont="1" applyFill="1" applyBorder="1" applyAlignment="1">
      <alignment horizontal="center" vertical="center"/>
    </xf>
    <xf numFmtId="0" fontId="8" fillId="9" borderId="1" xfId="0" applyFont="1" applyFill="1" applyBorder="1" applyAlignment="1">
      <alignment wrapText="1"/>
    </xf>
    <xf numFmtId="0" fontId="10" fillId="10" borderId="3" xfId="0" quotePrefix="1" applyFont="1" applyFill="1" applyBorder="1" applyAlignment="1">
      <alignment horizontal="center" vertical="center" wrapText="1"/>
    </xf>
    <xf numFmtId="0" fontId="10" fillId="10" borderId="3" xfId="0" applyFont="1" applyFill="1" applyBorder="1" applyAlignment="1">
      <alignment horizontal="center" vertical="center"/>
    </xf>
    <xf numFmtId="43" fontId="10" fillId="10" borderId="3" xfId="1" applyFont="1" applyFill="1" applyBorder="1" applyAlignment="1">
      <alignment horizontal="center" vertical="center"/>
    </xf>
    <xf numFmtId="14" fontId="3" fillId="11" borderId="11" xfId="0" quotePrefix="1" applyNumberFormat="1" applyFont="1" applyFill="1" applyBorder="1" applyAlignment="1">
      <alignment horizontal="center" vertical="center"/>
    </xf>
    <xf numFmtId="0" fontId="4" fillId="11" borderId="5" xfId="0" applyFont="1" applyFill="1" applyBorder="1" applyAlignment="1">
      <alignment horizontal="center" vertical="center"/>
    </xf>
    <xf numFmtId="0" fontId="3" fillId="11" borderId="1" xfId="0" applyFont="1" applyFill="1" applyBorder="1" applyAlignment="1">
      <alignment horizontal="center" vertical="center"/>
    </xf>
    <xf numFmtId="164" fontId="3" fillId="11" borderId="1" xfId="1" applyNumberFormat="1" applyFont="1" applyFill="1" applyBorder="1" applyAlignment="1">
      <alignment horizontal="center" vertical="center"/>
    </xf>
    <xf numFmtId="164" fontId="3" fillId="11" borderId="9" xfId="1" applyNumberFormat="1" applyFont="1" applyFill="1" applyBorder="1" applyAlignment="1">
      <alignment horizontal="center" vertical="center"/>
    </xf>
    <xf numFmtId="14" fontId="3" fillId="12" borderId="11" xfId="0" quotePrefix="1" applyNumberFormat="1" applyFont="1" applyFill="1" applyBorder="1" applyAlignment="1">
      <alignment horizontal="center" vertical="center"/>
    </xf>
    <xf numFmtId="0" fontId="4" fillId="12" borderId="5" xfId="0" applyFont="1" applyFill="1" applyBorder="1" applyAlignment="1">
      <alignment horizontal="center" vertical="center"/>
    </xf>
    <xf numFmtId="0" fontId="3" fillId="12" borderId="1" xfId="0" applyFont="1" applyFill="1" applyBorder="1" applyAlignment="1">
      <alignment horizontal="center" vertical="center"/>
    </xf>
    <xf numFmtId="164" fontId="3" fillId="12" borderId="1" xfId="1" applyNumberFormat="1" applyFont="1" applyFill="1" applyBorder="1" applyAlignment="1">
      <alignment horizontal="center" vertical="center"/>
    </xf>
    <xf numFmtId="164" fontId="3" fillId="12" borderId="9" xfId="1" applyNumberFormat="1" applyFont="1" applyFill="1" applyBorder="1" applyAlignment="1">
      <alignment horizontal="center" vertical="center"/>
    </xf>
    <xf numFmtId="0" fontId="5" fillId="0" borderId="2" xfId="0" applyFont="1" applyBorder="1"/>
    <xf numFmtId="0" fontId="5" fillId="0" borderId="3" xfId="0" applyFont="1" applyBorder="1"/>
    <xf numFmtId="0" fontId="5" fillId="0" borderId="1" xfId="0" applyFont="1" applyBorder="1" applyAlignment="1">
      <alignment vertical="center" wrapText="1"/>
    </xf>
    <xf numFmtId="0" fontId="9" fillId="2" borderId="1" xfId="0" applyFont="1" applyFill="1" applyBorder="1" applyAlignment="1">
      <alignment horizontal="center" vertical="center"/>
    </xf>
    <xf numFmtId="14" fontId="3" fillId="13" borderId="11" xfId="0" quotePrefix="1" applyNumberFormat="1" applyFont="1" applyFill="1" applyBorder="1" applyAlignment="1">
      <alignment horizontal="center" vertical="center"/>
    </xf>
    <xf numFmtId="0" fontId="4" fillId="13" borderId="5" xfId="0" applyFont="1" applyFill="1" applyBorder="1" applyAlignment="1">
      <alignment horizontal="center" vertical="center"/>
    </xf>
    <xf numFmtId="0" fontId="3" fillId="13" borderId="1" xfId="0" applyFont="1" applyFill="1" applyBorder="1" applyAlignment="1">
      <alignment horizontal="center" vertical="center"/>
    </xf>
    <xf numFmtId="164" fontId="3" fillId="13" borderId="1" xfId="1" applyNumberFormat="1" applyFont="1" applyFill="1" applyBorder="1" applyAlignment="1">
      <alignment horizontal="center" vertical="center"/>
    </xf>
    <xf numFmtId="164" fontId="3" fillId="13" borderId="9" xfId="1" applyNumberFormat="1" applyFont="1" applyFill="1" applyBorder="1" applyAlignment="1">
      <alignment horizontal="center" vertical="center"/>
    </xf>
    <xf numFmtId="14" fontId="3" fillId="3" borderId="12" xfId="0" quotePrefix="1" applyNumberFormat="1" applyFont="1" applyFill="1" applyBorder="1" applyAlignment="1">
      <alignment horizontal="center" vertical="center"/>
    </xf>
    <xf numFmtId="0" fontId="4" fillId="3" borderId="7" xfId="0" applyFont="1" applyFill="1" applyBorder="1" applyAlignment="1">
      <alignment horizontal="center" vertical="center"/>
    </xf>
    <xf numFmtId="0" fontId="3" fillId="3" borderId="7" xfId="0" applyFont="1" applyFill="1" applyBorder="1" applyAlignment="1">
      <alignment horizontal="center" vertical="center"/>
    </xf>
    <xf numFmtId="164" fontId="3" fillId="3" borderId="7" xfId="1" applyNumberFormat="1" applyFont="1" applyFill="1" applyBorder="1" applyAlignment="1">
      <alignment horizontal="center" vertical="center"/>
    </xf>
    <xf numFmtId="164" fontId="3" fillId="3" borderId="10" xfId="1" applyNumberFormat="1" applyFont="1" applyFill="1" applyBorder="1" applyAlignment="1">
      <alignment horizontal="center" vertical="center"/>
    </xf>
    <xf numFmtId="14" fontId="3" fillId="2" borderId="11" xfId="0" quotePrefix="1" applyNumberFormat="1" applyFont="1" applyFill="1" applyBorder="1" applyAlignment="1">
      <alignment horizontal="center" vertical="center"/>
    </xf>
    <xf numFmtId="0" fontId="4"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9" fillId="14" borderId="1" xfId="0" applyFont="1" applyFill="1" applyBorder="1" applyAlignment="1">
      <alignment horizontal="center" vertical="center"/>
    </xf>
    <xf numFmtId="0" fontId="5" fillId="0" borderId="3" xfId="0" applyFont="1" applyBorder="1" applyAlignment="1">
      <alignment horizontal="center"/>
    </xf>
    <xf numFmtId="0" fontId="3" fillId="0" borderId="1" xfId="0" applyFont="1" applyBorder="1" applyAlignment="1">
      <alignment wrapText="1"/>
    </xf>
    <xf numFmtId="0" fontId="5" fillId="0" borderId="1" xfId="0" applyFont="1" applyBorder="1"/>
    <xf numFmtId="164" fontId="5" fillId="0" borderId="1" xfId="1" applyNumberFormat="1" applyFont="1" applyBorder="1" applyAlignment="1">
      <alignment horizontal="center" vertical="center" wrapText="1"/>
    </xf>
    <xf numFmtId="0" fontId="3" fillId="0" borderId="5" xfId="0" applyFont="1" applyBorder="1" applyAlignment="1">
      <alignment wrapText="1"/>
    </xf>
    <xf numFmtId="0" fontId="4" fillId="4" borderId="1" xfId="0" applyFont="1" applyFill="1" applyBorder="1" applyAlignment="1">
      <alignment horizontal="center" vertical="center"/>
    </xf>
    <xf numFmtId="164" fontId="3" fillId="2" borderId="15" xfId="1" applyNumberFormat="1" applyFont="1" applyFill="1" applyBorder="1" applyAlignment="1">
      <alignment horizontal="center" vertical="center"/>
    </xf>
    <xf numFmtId="164" fontId="3" fillId="3" borderId="16" xfId="1" applyNumberFormat="1" applyFont="1" applyFill="1" applyBorder="1" applyAlignment="1">
      <alignment horizontal="center" vertical="center"/>
    </xf>
    <xf numFmtId="0" fontId="3" fillId="5" borderId="3" xfId="0" applyFont="1" applyFill="1" applyBorder="1" applyAlignment="1">
      <alignment horizontal="center" vertical="center"/>
    </xf>
    <xf numFmtId="164" fontId="3" fillId="2" borderId="3" xfId="1" applyNumberFormat="1" applyFont="1" applyFill="1" applyBorder="1" applyAlignment="1">
      <alignment horizontal="center" vertical="center"/>
    </xf>
    <xf numFmtId="164" fontId="3" fillId="5" borderId="3" xfId="1" applyNumberFormat="1" applyFont="1" applyFill="1" applyBorder="1" applyAlignment="1">
      <alignment horizontal="center" vertical="center"/>
    </xf>
    <xf numFmtId="164" fontId="3" fillId="5" borderId="17" xfId="1" applyNumberFormat="1" applyFont="1" applyFill="1" applyBorder="1" applyAlignment="1">
      <alignment horizontal="center" vertical="center"/>
    </xf>
    <xf numFmtId="0" fontId="3" fillId="2" borderId="15" xfId="0" applyFont="1" applyFill="1" applyBorder="1" applyAlignment="1">
      <alignment horizontal="center" vertical="center"/>
    </xf>
    <xf numFmtId="0" fontId="3" fillId="3" borderId="2" xfId="0" applyFont="1" applyFill="1" applyBorder="1" applyAlignment="1">
      <alignment horizontal="center" vertical="center"/>
    </xf>
    <xf numFmtId="164" fontId="3" fillId="2" borderId="2" xfId="1" applyNumberFormat="1" applyFont="1" applyFill="1" applyBorder="1" applyAlignment="1">
      <alignment horizontal="center" vertical="center"/>
    </xf>
    <xf numFmtId="164" fontId="3" fillId="3" borderId="2" xfId="1" applyNumberFormat="1" applyFont="1" applyFill="1" applyBorder="1" applyAlignment="1">
      <alignment horizontal="center" vertical="center"/>
    </xf>
    <xf numFmtId="0" fontId="9" fillId="15" borderId="1" xfId="0" applyFont="1" applyFill="1" applyBorder="1" applyAlignment="1">
      <alignment horizontal="center" vertical="center"/>
    </xf>
    <xf numFmtId="0" fontId="9" fillId="16" borderId="1" xfId="0" applyFont="1" applyFill="1" applyBorder="1" applyAlignment="1">
      <alignment horizontal="center" vertical="center"/>
    </xf>
    <xf numFmtId="14" fontId="9" fillId="0" borderId="1" xfId="0" applyNumberFormat="1" applyFont="1" applyBorder="1" applyAlignment="1">
      <alignment horizontal="center" vertical="center"/>
    </xf>
    <xf numFmtId="0" fontId="5" fillId="0" borderId="2" xfId="0" applyFont="1" applyBorder="1" applyAlignment="1">
      <alignment horizontal="center" vertical="center"/>
    </xf>
    <xf numFmtId="0" fontId="3" fillId="0" borderId="1" xfId="0" applyFont="1" applyBorder="1" applyAlignment="1">
      <alignment horizontal="right" vertical="center"/>
    </xf>
    <xf numFmtId="0" fontId="3" fillId="0" borderId="3" xfId="0" applyFont="1" applyBorder="1" applyAlignment="1">
      <alignment horizontal="right" vertical="center"/>
    </xf>
    <xf numFmtId="0" fontId="10" fillId="10" borderId="3" xfId="0" applyFont="1" applyFill="1" applyBorder="1" applyAlignment="1">
      <alignment horizontal="right" vertical="center"/>
    </xf>
    <xf numFmtId="43" fontId="10" fillId="10" borderId="3" xfId="1" applyFont="1" applyFill="1" applyBorder="1" applyAlignment="1">
      <alignment horizontal="right" vertical="center"/>
    </xf>
    <xf numFmtId="164" fontId="3" fillId="0" borderId="1" xfId="0" applyNumberFormat="1" applyFont="1" applyBorder="1" applyAlignment="1">
      <alignment horizontal="right" vertical="center"/>
    </xf>
    <xf numFmtId="0" fontId="5" fillId="0" borderId="0" xfId="0" applyFont="1" applyAlignment="1">
      <alignment horizontal="right"/>
    </xf>
    <xf numFmtId="0" fontId="3" fillId="0" borderId="0" xfId="0" applyFont="1" applyAlignment="1">
      <alignment horizontal="right"/>
    </xf>
    <xf numFmtId="0" fontId="9" fillId="17" borderId="1" xfId="0" applyFont="1" applyFill="1" applyBorder="1" applyAlignment="1">
      <alignment horizontal="center" vertical="center"/>
    </xf>
    <xf numFmtId="0" fontId="4" fillId="0" borderId="18" xfId="0" applyFont="1" applyBorder="1"/>
    <xf numFmtId="0" fontId="4" fillId="2" borderId="15" xfId="0" applyFont="1" applyFill="1" applyBorder="1" applyAlignment="1">
      <alignment horizontal="center" vertical="center"/>
    </xf>
    <xf numFmtId="0" fontId="4" fillId="5" borderId="2" xfId="0" applyFont="1" applyFill="1" applyBorder="1" applyAlignment="1">
      <alignment horizontal="center" vertical="center"/>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14" fontId="12" fillId="9" borderId="11" xfId="0" quotePrefix="1" applyNumberFormat="1" applyFont="1" applyFill="1" applyBorder="1" applyAlignment="1">
      <alignment horizontal="center" vertical="center"/>
    </xf>
    <xf numFmtId="0" fontId="13" fillId="9" borderId="5" xfId="0" applyFont="1" applyFill="1" applyBorder="1" applyAlignment="1">
      <alignment horizontal="center" vertical="center"/>
    </xf>
    <xf numFmtId="164" fontId="12" fillId="9" borderId="1" xfId="1" applyNumberFormat="1" applyFont="1" applyFill="1" applyBorder="1" applyAlignment="1">
      <alignment horizontal="center" vertical="center"/>
    </xf>
    <xf numFmtId="164" fontId="12" fillId="9" borderId="9" xfId="1" applyNumberFormat="1" applyFont="1" applyFill="1" applyBorder="1" applyAlignment="1">
      <alignment horizontal="center" vertical="center"/>
    </xf>
    <xf numFmtId="1" fontId="13" fillId="9" borderId="11" xfId="0" quotePrefix="1" applyNumberFormat="1" applyFont="1" applyFill="1" applyBorder="1" applyAlignment="1">
      <alignment horizontal="center" vertical="center"/>
    </xf>
    <xf numFmtId="14" fontId="5" fillId="0" borderId="1" xfId="0" applyNumberFormat="1" applyFont="1" applyBorder="1" applyAlignment="1">
      <alignment horizontal="center" vertical="center"/>
    </xf>
    <xf numFmtId="14" fontId="5" fillId="0" borderId="5" xfId="0" applyNumberFormat="1" applyFont="1" applyBorder="1" applyAlignment="1">
      <alignment horizontal="center" vertical="center"/>
    </xf>
    <xf numFmtId="3" fontId="0" fillId="0" borderId="0" xfId="0" applyNumberFormat="1"/>
    <xf numFmtId="0" fontId="4" fillId="17" borderId="5" xfId="0" applyFont="1" applyFill="1" applyBorder="1" applyAlignment="1">
      <alignment horizontal="center" vertical="center"/>
    </xf>
    <xf numFmtId="3" fontId="3" fillId="0" borderId="1" xfId="0" applyNumberFormat="1" applyFont="1" applyBorder="1" applyAlignment="1">
      <alignment horizontal="center" vertical="center"/>
    </xf>
    <xf numFmtId="3" fontId="3" fillId="0" borderId="1" xfId="0" applyNumberFormat="1" applyFont="1" applyBorder="1" applyAlignment="1">
      <alignment horizontal="left" vertical="center" wrapText="1"/>
    </xf>
    <xf numFmtId="3" fontId="3" fillId="0" borderId="1" xfId="1" applyNumberFormat="1" applyFont="1" applyBorder="1" applyAlignment="1">
      <alignment horizontal="center" vertical="center" wrapText="1"/>
    </xf>
    <xf numFmtId="3" fontId="3" fillId="0" borderId="5" xfId="0" applyNumberFormat="1" applyFont="1" applyBorder="1" applyAlignment="1">
      <alignment horizontal="center" vertical="center"/>
    </xf>
    <xf numFmtId="3" fontId="3" fillId="2" borderId="1" xfId="0" applyNumberFormat="1" applyFont="1" applyFill="1" applyBorder="1" applyAlignment="1">
      <alignment horizontal="center" vertical="center"/>
    </xf>
    <xf numFmtId="3" fontId="3" fillId="3" borderId="1" xfId="0" applyNumberFormat="1" applyFont="1" applyFill="1" applyBorder="1" applyAlignment="1">
      <alignment horizontal="center" vertical="center"/>
    </xf>
    <xf numFmtId="3" fontId="3" fillId="4" borderId="1" xfId="0" applyNumberFormat="1" applyFont="1" applyFill="1" applyBorder="1" applyAlignment="1">
      <alignment horizontal="center" vertical="center"/>
    </xf>
    <xf numFmtId="3" fontId="3" fillId="5" borderId="1" xfId="0" applyNumberFormat="1" applyFont="1" applyFill="1" applyBorder="1" applyAlignment="1">
      <alignment horizontal="center" vertical="center"/>
    </xf>
    <xf numFmtId="3" fontId="3" fillId="6" borderId="1" xfId="0" applyNumberFormat="1" applyFont="1" applyFill="1" applyBorder="1" applyAlignment="1">
      <alignment horizontal="center" vertical="center"/>
    </xf>
    <xf numFmtId="3" fontId="3" fillId="7" borderId="1" xfId="0" applyNumberFormat="1" applyFont="1" applyFill="1" applyBorder="1" applyAlignment="1">
      <alignment horizontal="center" vertical="center"/>
    </xf>
    <xf numFmtId="3" fontId="4" fillId="9" borderId="5" xfId="0" applyNumberFormat="1" applyFont="1" applyFill="1" applyBorder="1" applyAlignment="1">
      <alignment horizontal="center" vertical="center"/>
    </xf>
    <xf numFmtId="3" fontId="4" fillId="11" borderId="5" xfId="0" applyNumberFormat="1" applyFont="1" applyFill="1" applyBorder="1" applyAlignment="1">
      <alignment horizontal="center" vertical="center"/>
    </xf>
    <xf numFmtId="3" fontId="10" fillId="10" borderId="3" xfId="0" applyNumberFormat="1" applyFont="1" applyFill="1" applyBorder="1" applyAlignment="1">
      <alignment horizontal="right" vertical="center"/>
    </xf>
    <xf numFmtId="3" fontId="3" fillId="0" borderId="0" xfId="0" applyNumberFormat="1" applyFont="1"/>
    <xf numFmtId="3" fontId="4" fillId="0" borderId="0" xfId="0" applyNumberFormat="1" applyFont="1"/>
    <xf numFmtId="165" fontId="4" fillId="0" borderId="0" xfId="0" applyNumberFormat="1" applyFont="1"/>
    <xf numFmtId="3" fontId="5" fillId="0" borderId="1" xfId="0" applyNumberFormat="1" applyFont="1" applyBorder="1" applyAlignment="1">
      <alignment horizontal="left" vertical="center" wrapText="1"/>
    </xf>
    <xf numFmtId="164" fontId="3" fillId="12" borderId="21" xfId="1" applyNumberFormat="1" applyFont="1" applyFill="1" applyBorder="1" applyAlignment="1">
      <alignment vertical="center"/>
    </xf>
    <xf numFmtId="0" fontId="4" fillId="8" borderId="5" xfId="0" applyFont="1" applyFill="1" applyBorder="1" applyAlignment="1">
      <alignment horizontal="center" vertical="center"/>
    </xf>
    <xf numFmtId="14" fontId="4" fillId="3" borderId="5" xfId="0" applyNumberFormat="1" applyFont="1" applyFill="1" applyBorder="1" applyAlignment="1">
      <alignment horizontal="center" vertical="center"/>
    </xf>
    <xf numFmtId="164" fontId="3" fillId="3" borderId="8" xfId="1"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5" fillId="0" borderId="5"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3" fillId="0" borderId="2" xfId="0" applyFont="1" applyBorder="1" applyAlignment="1">
      <alignment horizontal="center" vertical="center"/>
    </xf>
    <xf numFmtId="164" fontId="3" fillId="11" borderId="19" xfId="1" applyNumberFormat="1" applyFont="1" applyFill="1" applyBorder="1" applyAlignment="1">
      <alignment vertical="center"/>
    </xf>
    <xf numFmtId="14" fontId="3" fillId="9" borderId="11" xfId="0" quotePrefix="1" applyNumberFormat="1" applyFont="1" applyFill="1" applyBorder="1" applyAlignment="1">
      <alignment horizontal="left" vertical="center" indent="1"/>
    </xf>
    <xf numFmtId="0" fontId="4" fillId="9" borderId="5" xfId="0" applyFont="1" applyFill="1" applyBorder="1" applyAlignment="1">
      <alignment horizontal="left" vertical="center" indent="1"/>
    </xf>
    <xf numFmtId="164" fontId="3" fillId="6" borderId="21" xfId="1" applyNumberFormat="1" applyFont="1" applyFill="1" applyBorder="1" applyAlignment="1">
      <alignment vertical="center"/>
    </xf>
    <xf numFmtId="14" fontId="4" fillId="8" borderId="5" xfId="0" applyNumberFormat="1" applyFont="1" applyFill="1" applyBorder="1" applyAlignment="1">
      <alignment horizontal="center" vertical="center"/>
    </xf>
    <xf numFmtId="43" fontId="4" fillId="0" borderId="0" xfId="0" applyNumberFormat="1" applyFont="1"/>
    <xf numFmtId="14" fontId="3" fillId="12" borderId="1" xfId="0" quotePrefix="1" applyNumberFormat="1" applyFont="1" applyFill="1" applyBorder="1" applyAlignment="1">
      <alignment horizontal="center" vertical="center"/>
    </xf>
    <xf numFmtId="0" fontId="4" fillId="12" borderId="1" xfId="0" applyFont="1" applyFill="1" applyBorder="1" applyAlignment="1">
      <alignment horizontal="center" vertical="center"/>
    </xf>
    <xf numFmtId="14" fontId="3" fillId="3" borderId="1" xfId="0" quotePrefix="1" applyNumberFormat="1" applyFont="1" applyFill="1" applyBorder="1" applyAlignment="1">
      <alignment horizontal="center" vertical="center"/>
    </xf>
    <xf numFmtId="0" fontId="4" fillId="3" borderId="1" xfId="0" applyFont="1" applyFill="1" applyBorder="1" applyAlignment="1">
      <alignment horizontal="center" vertical="center"/>
    </xf>
    <xf numFmtId="164" fontId="3" fillId="3" borderId="21" xfId="1" applyNumberFormat="1" applyFont="1" applyFill="1" applyBorder="1" applyAlignment="1">
      <alignment vertical="center"/>
    </xf>
    <xf numFmtId="164" fontId="4" fillId="11" borderId="5" xfId="0" applyNumberFormat="1" applyFont="1" applyFill="1" applyBorder="1" applyAlignment="1">
      <alignment horizontal="center" vertical="center"/>
    </xf>
    <xf numFmtId="0" fontId="4" fillId="9" borderId="24" xfId="0" applyFont="1" applyFill="1" applyBorder="1" applyAlignment="1">
      <alignment horizontal="center" vertical="center"/>
    </xf>
    <xf numFmtId="0" fontId="4" fillId="8" borderId="24" xfId="0" applyFont="1" applyFill="1" applyBorder="1" applyAlignment="1">
      <alignment horizontal="center" vertical="center"/>
    </xf>
    <xf numFmtId="164" fontId="3" fillId="2" borderId="21" xfId="1" applyNumberFormat="1" applyFont="1" applyFill="1" applyBorder="1" applyAlignment="1">
      <alignment vertical="center"/>
    </xf>
    <xf numFmtId="14" fontId="3" fillId="2" borderId="6" xfId="0" applyNumberFormat="1" applyFont="1" applyFill="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164" fontId="3" fillId="6" borderId="21" xfId="1" applyNumberFormat="1" applyFont="1" applyFill="1" applyBorder="1" applyAlignment="1">
      <alignment horizontal="center" vertical="center"/>
    </xf>
    <xf numFmtId="164" fontId="3" fillId="6" borderId="19" xfId="1" applyNumberFormat="1" applyFont="1" applyFill="1" applyBorder="1" applyAlignment="1">
      <alignment horizontal="center" vertical="center"/>
    </xf>
    <xf numFmtId="164" fontId="3" fillId="6" borderId="20" xfId="1" applyNumberFormat="1" applyFont="1" applyFill="1" applyBorder="1" applyAlignment="1">
      <alignment horizontal="center" vertical="center"/>
    </xf>
    <xf numFmtId="164" fontId="3" fillId="9" borderId="21" xfId="1" applyNumberFormat="1" applyFont="1" applyFill="1" applyBorder="1" applyAlignment="1">
      <alignment horizontal="center" vertical="center"/>
    </xf>
    <xf numFmtId="164" fontId="3" fillId="9" borderId="19" xfId="1" applyNumberFormat="1" applyFont="1" applyFill="1" applyBorder="1" applyAlignment="1">
      <alignment horizontal="center" vertical="center"/>
    </xf>
    <xf numFmtId="164" fontId="3" fillId="11" borderId="19" xfId="1" applyNumberFormat="1" applyFont="1" applyFill="1" applyBorder="1" applyAlignment="1">
      <alignment horizontal="center" vertical="center"/>
    </xf>
    <xf numFmtId="164" fontId="3" fillId="11" borderId="20" xfId="1" applyNumberFormat="1" applyFont="1" applyFill="1" applyBorder="1" applyAlignment="1">
      <alignment horizontal="center" vertical="center"/>
    </xf>
    <xf numFmtId="164" fontId="3" fillId="7" borderId="21" xfId="1" applyNumberFormat="1" applyFont="1" applyFill="1" applyBorder="1" applyAlignment="1">
      <alignment horizontal="center" vertical="center"/>
    </xf>
    <xf numFmtId="164" fontId="3" fillId="7" borderId="19" xfId="1" applyNumberFormat="1" applyFont="1" applyFill="1" applyBorder="1" applyAlignment="1">
      <alignment horizontal="center" vertical="center"/>
    </xf>
    <xf numFmtId="164" fontId="3" fillId="12" borderId="21" xfId="1" applyNumberFormat="1" applyFont="1" applyFill="1" applyBorder="1" applyAlignment="1">
      <alignment horizontal="center" vertical="center"/>
    </xf>
    <xf numFmtId="164" fontId="3" fillId="12" borderId="19" xfId="1" applyNumberFormat="1" applyFont="1" applyFill="1" applyBorder="1" applyAlignment="1">
      <alignment horizontal="center" vertical="center"/>
    </xf>
    <xf numFmtId="164" fontId="3" fillId="12" borderId="20" xfId="1" applyNumberFormat="1" applyFont="1" applyFill="1" applyBorder="1" applyAlignment="1">
      <alignment horizontal="center" vertical="center"/>
    </xf>
    <xf numFmtId="164" fontId="3" fillId="12" borderId="24" xfId="1" applyNumberFormat="1" applyFont="1" applyFill="1" applyBorder="1" applyAlignment="1">
      <alignment horizontal="center" vertical="center"/>
    </xf>
    <xf numFmtId="164" fontId="3" fillId="12" borderId="0" xfId="1" applyNumberFormat="1" applyFont="1" applyFill="1" applyBorder="1" applyAlignment="1">
      <alignment horizontal="center" vertical="center"/>
    </xf>
    <xf numFmtId="164" fontId="3" fillId="12" borderId="25" xfId="1" applyNumberFormat="1" applyFont="1" applyFill="1" applyBorder="1" applyAlignment="1">
      <alignment horizontal="center" vertical="center"/>
    </xf>
    <xf numFmtId="164" fontId="3" fillId="8" borderId="5" xfId="1" applyNumberFormat="1" applyFont="1" applyFill="1" applyBorder="1" applyAlignment="1">
      <alignment horizontal="center" vertical="center"/>
    </xf>
    <xf numFmtId="164" fontId="3" fillId="8" borderId="2" xfId="1" applyNumberFormat="1" applyFont="1" applyFill="1" applyBorder="1" applyAlignment="1">
      <alignment horizontal="center" vertical="center"/>
    </xf>
    <xf numFmtId="164" fontId="3" fillId="8" borderId="3" xfId="1" applyNumberFormat="1" applyFont="1" applyFill="1" applyBorder="1" applyAlignment="1">
      <alignment horizontal="center" vertical="center"/>
    </xf>
    <xf numFmtId="164" fontId="3" fillId="3" borderId="21" xfId="1" applyNumberFormat="1" applyFont="1" applyFill="1" applyBorder="1" applyAlignment="1">
      <alignment horizontal="center" vertical="center"/>
    </xf>
    <xf numFmtId="164" fontId="3" fillId="3" borderId="19" xfId="1" applyNumberFormat="1" applyFont="1" applyFill="1" applyBorder="1" applyAlignment="1">
      <alignment horizontal="center" vertical="center"/>
    </xf>
    <xf numFmtId="164" fontId="3" fillId="5" borderId="21" xfId="1" applyNumberFormat="1" applyFont="1" applyFill="1" applyBorder="1" applyAlignment="1">
      <alignment horizontal="center" vertical="center"/>
    </xf>
    <xf numFmtId="164" fontId="3" fillId="5" borderId="19" xfId="1" applyNumberFormat="1" applyFont="1" applyFill="1" applyBorder="1" applyAlignment="1">
      <alignment horizontal="center" vertical="center"/>
    </xf>
    <xf numFmtId="164" fontId="3" fillId="5" borderId="20" xfId="1" applyNumberFormat="1" applyFont="1" applyFill="1" applyBorder="1" applyAlignment="1">
      <alignment horizontal="center" vertical="center"/>
    </xf>
    <xf numFmtId="164" fontId="3" fillId="4" borderId="23" xfId="1" applyNumberFormat="1" applyFont="1" applyFill="1" applyBorder="1" applyAlignment="1">
      <alignment horizontal="center" vertical="center"/>
    </xf>
    <xf numFmtId="164" fontId="3" fillId="4" borderId="18" xfId="1" applyNumberFormat="1" applyFont="1" applyFill="1" applyBorder="1" applyAlignment="1">
      <alignment horizontal="center" vertical="center"/>
    </xf>
    <xf numFmtId="164" fontId="3" fillId="4" borderId="22" xfId="1" applyNumberFormat="1" applyFont="1" applyFill="1" applyBorder="1" applyAlignment="1">
      <alignment horizontal="center" vertical="center"/>
    </xf>
    <xf numFmtId="14" fontId="5" fillId="2" borderId="15" xfId="0" applyNumberFormat="1" applyFont="1" applyFill="1" applyBorder="1" applyAlignment="1">
      <alignment horizontal="center" vertical="center"/>
    </xf>
    <xf numFmtId="14" fontId="5" fillId="2" borderId="2" xfId="0" applyNumberFormat="1" applyFont="1" applyFill="1" applyBorder="1" applyAlignment="1">
      <alignment horizontal="center" vertical="center"/>
    </xf>
    <xf numFmtId="164" fontId="3" fillId="2" borderId="19" xfId="1" applyNumberFormat="1" applyFont="1" applyFill="1" applyBorder="1" applyAlignment="1">
      <alignment horizontal="center" vertical="center"/>
    </xf>
    <xf numFmtId="0" fontId="5" fillId="3" borderId="5" xfId="0" applyFont="1" applyFill="1" applyBorder="1" applyAlignment="1">
      <alignment horizontal="center" vertical="center"/>
    </xf>
    <xf numFmtId="0" fontId="5" fillId="3" borderId="2" xfId="0" applyFont="1" applyFill="1" applyBorder="1" applyAlignment="1">
      <alignment horizontal="center" vertical="center"/>
    </xf>
    <xf numFmtId="0" fontId="5" fillId="0" borderId="5" xfId="0" applyFont="1" applyBorder="1" applyAlignment="1">
      <alignment horizont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left" wrapText="1"/>
    </xf>
    <xf numFmtId="0" fontId="5" fillId="0" borderId="2" xfId="0" applyFont="1" applyBorder="1" applyAlignment="1">
      <alignment horizontal="left" wrapText="1"/>
    </xf>
    <xf numFmtId="0" fontId="5" fillId="0" borderId="3" xfId="0" applyFont="1" applyBorder="1" applyAlignment="1">
      <alignment horizontal="left" wrapText="1"/>
    </xf>
    <xf numFmtId="0" fontId="4" fillId="0" borderId="5"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164" fontId="4" fillId="0" borderId="4" xfId="1" applyNumberFormat="1" applyFont="1" applyBorder="1" applyAlignment="1">
      <alignment horizontal="center" vertical="center" wrapText="1"/>
    </xf>
    <xf numFmtId="164" fontId="4" fillId="0" borderId="13" xfId="1" applyNumberFormat="1" applyFont="1" applyBorder="1" applyAlignment="1">
      <alignment horizontal="center" vertical="center" wrapText="1"/>
    </xf>
    <xf numFmtId="0" fontId="5" fillId="0" borderId="2" xfId="0" applyFont="1" applyBorder="1" applyAlignment="1">
      <alignment horizontal="center" wrapText="1"/>
    </xf>
    <xf numFmtId="0" fontId="5" fillId="0" borderId="5" xfId="0" applyFont="1" applyBorder="1" applyAlignment="1">
      <alignment horizontal="center"/>
    </xf>
    <xf numFmtId="0" fontId="5" fillId="0" borderId="1"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5"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4" fillId="0" borderId="14" xfId="0" applyFont="1" applyBorder="1" applyAlignment="1">
      <alignment horizontal="center" vertical="center"/>
    </xf>
    <xf numFmtId="0" fontId="4" fillId="0" borderId="4" xfId="0" applyFont="1" applyBorder="1" applyAlignment="1">
      <alignment horizontal="center" vertical="center"/>
    </xf>
    <xf numFmtId="0" fontId="3" fillId="0" borderId="5" xfId="0" applyFont="1" applyBorder="1" applyAlignment="1">
      <alignment horizontal="left" vertical="center" wrapText="1"/>
    </xf>
    <xf numFmtId="0" fontId="3" fillId="0" borderId="2" xfId="0" applyFont="1" applyBorder="1" applyAlignment="1">
      <alignment horizontal="left" vertical="center"/>
    </xf>
    <xf numFmtId="0" fontId="3" fillId="0" borderId="3" xfId="0" applyFont="1" applyBorder="1" applyAlignment="1">
      <alignment horizontal="left" vertical="center"/>
    </xf>
    <xf numFmtId="164" fontId="3" fillId="2" borderId="21" xfId="1" applyNumberFormat="1" applyFont="1" applyFill="1" applyBorder="1" applyAlignment="1">
      <alignment horizontal="center" vertical="center"/>
    </xf>
    <xf numFmtId="164" fontId="3" fillId="2" borderId="20" xfId="1" applyNumberFormat="1" applyFont="1" applyFill="1" applyBorder="1" applyAlignment="1">
      <alignment horizontal="center" vertical="center"/>
    </xf>
    <xf numFmtId="164" fontId="3" fillId="3" borderId="20" xfId="1" applyNumberFormat="1" applyFont="1" applyFill="1" applyBorder="1" applyAlignment="1">
      <alignment horizontal="center" vertical="center"/>
    </xf>
    <xf numFmtId="0" fontId="5" fillId="0" borderId="3" xfId="0" applyFont="1" applyBorder="1" applyAlignment="1">
      <alignment horizontal="center" wrapText="1"/>
    </xf>
    <xf numFmtId="0" fontId="3" fillId="0" borderId="5" xfId="0" applyFont="1" applyBorder="1" applyAlignment="1">
      <alignment horizontal="center" vertical="center"/>
    </xf>
    <xf numFmtId="0" fontId="3" fillId="0" borderId="2" xfId="0" applyFont="1" applyBorder="1" applyAlignment="1">
      <alignment horizontal="center" vertical="center"/>
    </xf>
    <xf numFmtId="164" fontId="3" fillId="4" borderId="5" xfId="1" applyNumberFormat="1" applyFont="1" applyFill="1" applyBorder="1" applyAlignment="1">
      <alignment horizontal="center" vertical="center"/>
    </xf>
    <xf numFmtId="164" fontId="3" fillId="4" borderId="2" xfId="1" applyNumberFormat="1" applyFont="1" applyFill="1" applyBorder="1" applyAlignment="1">
      <alignment horizontal="center" vertical="center"/>
    </xf>
    <xf numFmtId="164" fontId="3" fillId="4" borderId="3" xfId="1" applyNumberFormat="1" applyFont="1" applyFill="1" applyBorder="1" applyAlignment="1">
      <alignment horizontal="center" vertical="center"/>
    </xf>
    <xf numFmtId="164" fontId="3" fillId="7" borderId="20" xfId="1" applyNumberFormat="1" applyFont="1" applyFill="1" applyBorder="1" applyAlignment="1">
      <alignment horizontal="center" vertical="center"/>
    </xf>
    <xf numFmtId="0" fontId="3" fillId="0" borderId="3"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F6AD80"/>
      <color rgb="FFC9BADE"/>
      <color rgb="FF1C80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31"/>
  <sheetViews>
    <sheetView zoomScale="70" zoomScaleNormal="70" workbookViewId="0">
      <pane xSplit="3" ySplit="4" topLeftCell="D5" activePane="bottomRight" state="frozen"/>
      <selection pane="topRight" activeCell="E1" sqref="E1"/>
      <selection pane="bottomLeft" activeCell="A4" sqref="A4"/>
      <selection pane="bottomRight" activeCell="BH10" sqref="BH10"/>
    </sheetView>
  </sheetViews>
  <sheetFormatPr defaultColWidth="9.1796875" defaultRowHeight="16.5" x14ac:dyDescent="0.35"/>
  <cols>
    <col min="1" max="1" width="4.81640625" style="2" bestFit="1" customWidth="1"/>
    <col min="2" max="2" width="31.453125" style="27" customWidth="1"/>
    <col min="3" max="3" width="19" style="27" customWidth="1"/>
    <col min="4" max="4" width="14" style="2" customWidth="1"/>
    <col min="5" max="9" width="15.1796875" style="2" customWidth="1"/>
    <col min="10" max="10" width="14.81640625" style="2" customWidth="1"/>
    <col min="11" max="63" width="15.1796875" style="2" customWidth="1"/>
    <col min="64" max="64" width="14.453125" style="2" bestFit="1" customWidth="1"/>
    <col min="65" max="65" width="24.453125" style="3" customWidth="1"/>
    <col min="66" max="66" width="9.1796875" style="2" customWidth="1"/>
    <col min="67" max="16384" width="9.1796875" style="2"/>
  </cols>
  <sheetData>
    <row r="1" spans="1:66" ht="57.75" customHeight="1" x14ac:dyDescent="0.35">
      <c r="A1" s="242" t="s">
        <v>0</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1"/>
    </row>
    <row r="2" spans="1:66" s="1" customFormat="1" ht="22.5" customHeight="1" x14ac:dyDescent="0.35">
      <c r="A2" s="244" t="s">
        <v>1</v>
      </c>
      <c r="B2" s="247" t="s">
        <v>2</v>
      </c>
      <c r="C2" s="248"/>
      <c r="D2" s="249"/>
      <c r="E2" s="64" t="s">
        <v>3</v>
      </c>
      <c r="F2" s="64" t="s">
        <v>3</v>
      </c>
      <c r="G2" s="64" t="s">
        <v>3</v>
      </c>
      <c r="H2" s="64" t="s">
        <v>3</v>
      </c>
      <c r="I2" s="65" t="s">
        <v>3</v>
      </c>
      <c r="J2" s="64" t="s">
        <v>4</v>
      </c>
      <c r="K2" s="64" t="s">
        <v>3</v>
      </c>
      <c r="L2" s="64" t="s">
        <v>3</v>
      </c>
      <c r="M2" s="64" t="s">
        <v>3</v>
      </c>
      <c r="N2" s="64" t="s">
        <v>3</v>
      </c>
      <c r="O2" s="64" t="s">
        <v>3</v>
      </c>
      <c r="P2" s="64" t="s">
        <v>3</v>
      </c>
      <c r="Q2" s="64" t="s">
        <v>3</v>
      </c>
      <c r="R2" s="64" t="s">
        <v>3</v>
      </c>
      <c r="S2" s="64" t="s">
        <v>3</v>
      </c>
      <c r="T2" s="64" t="s">
        <v>3</v>
      </c>
      <c r="U2" s="64" t="s">
        <v>3</v>
      </c>
      <c r="V2" s="64" t="s">
        <v>5</v>
      </c>
      <c r="W2" s="64" t="s">
        <v>3</v>
      </c>
      <c r="X2" s="64" t="s">
        <v>5</v>
      </c>
      <c r="Y2" s="93" t="s">
        <v>3</v>
      </c>
      <c r="Z2" s="64" t="s">
        <v>3</v>
      </c>
      <c r="AA2" s="64" t="s">
        <v>3</v>
      </c>
      <c r="AB2" s="64" t="s">
        <v>3</v>
      </c>
      <c r="AC2" s="93" t="s">
        <v>3</v>
      </c>
      <c r="AD2" s="64" t="s">
        <v>3</v>
      </c>
      <c r="AE2" s="64" t="s">
        <v>3</v>
      </c>
      <c r="AF2" s="93" t="s">
        <v>3</v>
      </c>
      <c r="AG2" s="64" t="s">
        <v>3</v>
      </c>
      <c r="AH2" s="64" t="s">
        <v>3</v>
      </c>
      <c r="AI2" s="93" t="s">
        <v>3</v>
      </c>
      <c r="AJ2" s="64" t="s">
        <v>3</v>
      </c>
      <c r="AK2" s="64" t="s">
        <v>3</v>
      </c>
      <c r="AL2" s="64" t="s">
        <v>3</v>
      </c>
      <c r="AM2" s="93" t="s">
        <v>3</v>
      </c>
      <c r="AN2" s="64" t="s">
        <v>3</v>
      </c>
      <c r="AO2" s="93" t="s">
        <v>3</v>
      </c>
      <c r="AP2" s="64" t="s">
        <v>3</v>
      </c>
      <c r="AQ2" s="64" t="s">
        <v>3</v>
      </c>
      <c r="AR2" s="93" t="s">
        <v>3</v>
      </c>
      <c r="AS2" s="64" t="s">
        <v>3</v>
      </c>
      <c r="AT2" s="64" t="s">
        <v>3</v>
      </c>
      <c r="AU2" s="64" t="s">
        <v>3</v>
      </c>
      <c r="AV2" s="64" t="s">
        <v>3</v>
      </c>
      <c r="AW2" s="93" t="s">
        <v>3</v>
      </c>
      <c r="AX2" s="64" t="s">
        <v>3</v>
      </c>
      <c r="AY2" s="64" t="s">
        <v>3</v>
      </c>
      <c r="AZ2" s="64" t="s">
        <v>3</v>
      </c>
      <c r="BA2" s="93"/>
      <c r="BB2" s="64" t="s">
        <v>3</v>
      </c>
      <c r="BC2" s="64" t="s">
        <v>3</v>
      </c>
      <c r="BD2" s="64" t="s">
        <v>3</v>
      </c>
      <c r="BE2" s="64"/>
      <c r="BF2" s="93"/>
      <c r="BG2" s="64"/>
      <c r="BH2" s="93"/>
      <c r="BI2" s="64"/>
      <c r="BJ2" s="64"/>
      <c r="BK2" s="106"/>
      <c r="BL2" s="64"/>
      <c r="BM2" s="13"/>
    </row>
    <row r="3" spans="1:66" s="3" customFormat="1" ht="22.5" customHeight="1" x14ac:dyDescent="0.35">
      <c r="A3" s="244"/>
      <c r="B3" s="246" t="s">
        <v>6</v>
      </c>
      <c r="C3" s="246" t="s">
        <v>7</v>
      </c>
      <c r="D3" s="246" t="s">
        <v>8</v>
      </c>
      <c r="E3" s="245" t="s">
        <v>9</v>
      </c>
      <c r="F3" s="245"/>
      <c r="G3" s="245"/>
      <c r="H3" s="245"/>
      <c r="I3" s="245"/>
      <c r="J3" s="245" t="s">
        <v>10</v>
      </c>
      <c r="K3" s="245"/>
      <c r="L3" s="245" t="s">
        <v>11</v>
      </c>
      <c r="M3" s="245"/>
      <c r="N3" s="245"/>
      <c r="O3" s="245"/>
      <c r="P3" s="245" t="s">
        <v>12</v>
      </c>
      <c r="Q3" s="245"/>
      <c r="R3" s="245"/>
      <c r="S3" s="245"/>
      <c r="T3" s="194" t="s">
        <v>13</v>
      </c>
      <c r="U3" s="195"/>
      <c r="V3" s="196"/>
      <c r="W3" s="245" t="s">
        <v>14</v>
      </c>
      <c r="X3" s="245"/>
      <c r="Y3" s="245"/>
      <c r="Z3" s="245"/>
      <c r="AA3" s="245"/>
      <c r="AB3" s="194" t="s">
        <v>15</v>
      </c>
      <c r="AC3" s="195"/>
      <c r="AD3" s="195"/>
      <c r="AE3" s="195"/>
      <c r="AF3" s="195"/>
      <c r="AG3" s="194" t="s">
        <v>16</v>
      </c>
      <c r="AH3" s="195"/>
      <c r="AI3" s="195"/>
      <c r="AJ3" s="195"/>
      <c r="AK3" s="195"/>
      <c r="AL3" s="195"/>
      <c r="AM3" s="195"/>
      <c r="AN3" s="194" t="s">
        <v>17</v>
      </c>
      <c r="AO3" s="195"/>
      <c r="AP3" s="195"/>
      <c r="AQ3" s="195"/>
      <c r="AR3" s="195"/>
      <c r="AS3" s="196"/>
      <c r="AT3" s="194" t="s">
        <v>18</v>
      </c>
      <c r="AU3" s="195"/>
      <c r="AV3" s="195"/>
      <c r="AW3" s="195"/>
      <c r="AX3" s="195"/>
      <c r="AY3" s="195"/>
      <c r="AZ3" s="194" t="s">
        <v>19</v>
      </c>
      <c r="BA3" s="195"/>
      <c r="BB3" s="195"/>
      <c r="BC3" s="195"/>
      <c r="BD3" s="196"/>
      <c r="BE3" s="194" t="s">
        <v>20</v>
      </c>
      <c r="BF3" s="195"/>
      <c r="BG3" s="195"/>
      <c r="BH3" s="195"/>
      <c r="BI3" s="195"/>
      <c r="BJ3" s="195"/>
      <c r="BK3" s="195"/>
      <c r="BL3" s="196"/>
      <c r="BM3" s="4"/>
      <c r="BN3" s="1"/>
    </row>
    <row r="4" spans="1:66" s="3" customFormat="1" ht="48" customHeight="1" x14ac:dyDescent="0.35">
      <c r="A4" s="244"/>
      <c r="B4" s="246"/>
      <c r="C4" s="246"/>
      <c r="D4" s="246"/>
      <c r="E4" s="73">
        <v>42856</v>
      </c>
      <c r="F4" s="73">
        <v>43040</v>
      </c>
      <c r="G4" s="73" t="s">
        <v>21</v>
      </c>
      <c r="H4" s="73" t="s">
        <v>22</v>
      </c>
      <c r="I4" s="55" t="s">
        <v>23</v>
      </c>
      <c r="J4" s="74" t="s">
        <v>24</v>
      </c>
      <c r="K4" s="75" t="s">
        <v>25</v>
      </c>
      <c r="L4" s="67">
        <v>42769</v>
      </c>
      <c r="M4" s="67" t="s">
        <v>26</v>
      </c>
      <c r="N4" s="67" t="s">
        <v>27</v>
      </c>
      <c r="O4" s="67" t="s">
        <v>28</v>
      </c>
      <c r="P4" s="45">
        <v>42798</v>
      </c>
      <c r="Q4" s="45">
        <v>43043</v>
      </c>
      <c r="R4" s="45" t="s">
        <v>29</v>
      </c>
      <c r="S4" s="45" t="s">
        <v>30</v>
      </c>
      <c r="T4" s="46">
        <v>42860</v>
      </c>
      <c r="U4" s="46" t="s">
        <v>31</v>
      </c>
      <c r="V4" s="46" t="s">
        <v>32</v>
      </c>
      <c r="W4" s="49">
        <v>42772</v>
      </c>
      <c r="X4" s="49">
        <v>43075</v>
      </c>
      <c r="Y4" s="49" t="s">
        <v>33</v>
      </c>
      <c r="Z4" s="49" t="s">
        <v>34</v>
      </c>
      <c r="AA4" s="49" t="s">
        <v>35</v>
      </c>
      <c r="AB4" s="68">
        <v>42832</v>
      </c>
      <c r="AC4" s="68">
        <v>42954</v>
      </c>
      <c r="AD4" s="68" t="s">
        <v>36</v>
      </c>
      <c r="AE4" s="68" t="s">
        <v>37</v>
      </c>
      <c r="AF4" s="68" t="s">
        <v>38</v>
      </c>
      <c r="AG4" s="80">
        <v>42774</v>
      </c>
      <c r="AH4" s="80">
        <v>42986</v>
      </c>
      <c r="AI4" s="80" t="s">
        <v>39</v>
      </c>
      <c r="AJ4" s="80" t="s">
        <v>40</v>
      </c>
      <c r="AK4" s="80" t="s">
        <v>41</v>
      </c>
      <c r="AL4" s="80" t="s">
        <v>42</v>
      </c>
      <c r="AM4" s="80" t="s">
        <v>43</v>
      </c>
      <c r="AN4" s="85">
        <v>43078</v>
      </c>
      <c r="AO4" s="85" t="s">
        <v>44</v>
      </c>
      <c r="AP4" s="85" t="s">
        <v>45</v>
      </c>
      <c r="AQ4" s="85" t="s">
        <v>46</v>
      </c>
      <c r="AR4" s="85" t="s">
        <v>47</v>
      </c>
      <c r="AS4" s="85" t="s">
        <v>48</v>
      </c>
      <c r="AT4" s="104">
        <v>42865</v>
      </c>
      <c r="AU4" s="104">
        <v>43018</v>
      </c>
      <c r="AV4" s="104" t="s">
        <v>49</v>
      </c>
      <c r="AW4" s="104" t="s">
        <v>50</v>
      </c>
      <c r="AX4" s="104" t="s">
        <v>51</v>
      </c>
      <c r="AY4" s="104" t="s">
        <v>52</v>
      </c>
      <c r="AZ4" s="94">
        <v>42927</v>
      </c>
      <c r="BA4" s="94">
        <v>42989</v>
      </c>
      <c r="BB4" s="94" t="s">
        <v>53</v>
      </c>
      <c r="BC4" s="94" t="s">
        <v>54</v>
      </c>
      <c r="BD4" s="94" t="s">
        <v>55</v>
      </c>
      <c r="BE4" s="75">
        <v>42747</v>
      </c>
      <c r="BF4" s="75">
        <v>42747</v>
      </c>
      <c r="BG4" s="75">
        <v>42959</v>
      </c>
      <c r="BH4" s="75" t="s">
        <v>56</v>
      </c>
      <c r="BI4" s="75" t="s">
        <v>57</v>
      </c>
      <c r="BJ4" s="75" t="s">
        <v>58</v>
      </c>
      <c r="BK4" s="75" t="s">
        <v>59</v>
      </c>
      <c r="BL4" s="99" t="s">
        <v>59</v>
      </c>
      <c r="BM4" s="77" t="s">
        <v>60</v>
      </c>
      <c r="BN4" s="5"/>
    </row>
    <row r="5" spans="1:66" ht="49.5" x14ac:dyDescent="0.35">
      <c r="A5" s="6">
        <v>1</v>
      </c>
      <c r="B5" s="7" t="s">
        <v>61</v>
      </c>
      <c r="C5" s="8">
        <v>7700</v>
      </c>
      <c r="D5" s="9">
        <v>180201</v>
      </c>
      <c r="E5" s="10">
        <v>1332</v>
      </c>
      <c r="F5" s="11">
        <v>1869</v>
      </c>
      <c r="G5" s="11"/>
      <c r="H5" s="11">
        <v>1686</v>
      </c>
      <c r="I5" s="56">
        <f>1722+2175</f>
        <v>3897</v>
      </c>
      <c r="J5" s="57">
        <v>2777</v>
      </c>
      <c r="K5" s="28">
        <v>2365</v>
      </c>
      <c r="L5" s="32">
        <v>3075</v>
      </c>
      <c r="M5" s="32">
        <v>2340</v>
      </c>
      <c r="N5" s="33">
        <v>2275</v>
      </c>
      <c r="O5" s="32">
        <v>1490</v>
      </c>
      <c r="P5" s="37">
        <v>2440</v>
      </c>
      <c r="Q5" s="37">
        <v>1565</v>
      </c>
      <c r="R5" s="37">
        <v>1905</v>
      </c>
      <c r="S5" s="37">
        <v>1660</v>
      </c>
      <c r="T5" s="41">
        <v>2600</v>
      </c>
      <c r="U5" s="41">
        <v>2470</v>
      </c>
      <c r="V5" s="41">
        <v>2410</v>
      </c>
      <c r="W5" s="50">
        <v>1775</v>
      </c>
      <c r="X5" s="50">
        <v>2050</v>
      </c>
      <c r="Y5" s="50"/>
      <c r="Z5" s="50">
        <v>1810</v>
      </c>
      <c r="AA5" s="50">
        <v>1540</v>
      </c>
      <c r="AB5" s="69">
        <v>2870</v>
      </c>
      <c r="AC5" s="69"/>
      <c r="AD5" s="69">
        <f>1900+200+255</f>
        <v>2355</v>
      </c>
      <c r="AE5" s="69">
        <v>2535</v>
      </c>
      <c r="AF5" s="69"/>
      <c r="AG5" s="81">
        <v>2200</v>
      </c>
      <c r="AH5" s="81">
        <v>1710</v>
      </c>
      <c r="AI5" s="81"/>
      <c r="AJ5" s="81">
        <v>1535</v>
      </c>
      <c r="AK5" s="81">
        <v>1575</v>
      </c>
      <c r="AL5" s="81">
        <v>2255</v>
      </c>
      <c r="AM5" s="81"/>
      <c r="AN5" s="86">
        <v>1710</v>
      </c>
      <c r="AO5" s="86"/>
      <c r="AP5" s="86">
        <v>1610</v>
      </c>
      <c r="AQ5" s="86">
        <v>1355</v>
      </c>
      <c r="AR5" s="86">
        <v>55</v>
      </c>
      <c r="AS5" s="86">
        <v>1850</v>
      </c>
      <c r="AT5" s="105">
        <v>2740</v>
      </c>
      <c r="AU5" s="105">
        <v>1825</v>
      </c>
      <c r="AV5" s="105">
        <v>1790</v>
      </c>
      <c r="AW5" s="105"/>
      <c r="AX5" s="105">
        <v>2038</v>
      </c>
      <c r="AY5" s="105">
        <v>2320</v>
      </c>
      <c r="AZ5" s="95">
        <v>1870</v>
      </c>
      <c r="BA5" s="95"/>
      <c r="BB5" s="95">
        <v>2060</v>
      </c>
      <c r="BC5" s="95">
        <v>3085</v>
      </c>
      <c r="BD5" s="95">
        <v>2248</v>
      </c>
      <c r="BE5" s="28">
        <v>1230</v>
      </c>
      <c r="BF5" s="28"/>
      <c r="BG5" s="28">
        <v>2110</v>
      </c>
      <c r="BH5" s="28"/>
      <c r="BI5" s="28">
        <v>2610</v>
      </c>
      <c r="BJ5" s="28">
        <v>1810</v>
      </c>
      <c r="BK5" s="28"/>
      <c r="BL5" s="100">
        <v>2745</v>
      </c>
      <c r="BM5" s="78">
        <f t="shared" ref="BM5:BM17" si="0">SUM(E5:BL5)</f>
        <v>99427</v>
      </c>
    </row>
    <row r="6" spans="1:66" ht="49.5" x14ac:dyDescent="0.35">
      <c r="A6" s="6">
        <v>2</v>
      </c>
      <c r="B6" s="7" t="s">
        <v>62</v>
      </c>
      <c r="C6" s="8">
        <v>35000</v>
      </c>
      <c r="D6" s="9">
        <v>180102</v>
      </c>
      <c r="E6" s="10"/>
      <c r="F6" s="11"/>
      <c r="G6" s="11"/>
      <c r="H6" s="11"/>
      <c r="I6" s="56">
        <v>155</v>
      </c>
      <c r="J6" s="57"/>
      <c r="K6" s="28"/>
      <c r="L6" s="32"/>
      <c r="M6" s="32"/>
      <c r="N6" s="33"/>
      <c r="O6" s="32"/>
      <c r="P6" s="37"/>
      <c r="Q6" s="37"/>
      <c r="R6" s="37"/>
      <c r="S6" s="37">
        <v>20</v>
      </c>
      <c r="T6" s="41"/>
      <c r="U6" s="41"/>
      <c r="V6" s="41"/>
      <c r="W6" s="50"/>
      <c r="X6" s="50"/>
      <c r="Y6" s="50">
        <v>59</v>
      </c>
      <c r="Z6" s="50"/>
      <c r="AA6" s="50"/>
      <c r="AB6" s="69"/>
      <c r="AC6" s="69">
        <v>72</v>
      </c>
      <c r="AD6" s="69"/>
      <c r="AE6" s="69"/>
      <c r="AF6" s="69">
        <v>75</v>
      </c>
      <c r="AG6" s="81"/>
      <c r="AH6" s="81"/>
      <c r="AI6" s="81">
        <v>50</v>
      </c>
      <c r="AJ6" s="81"/>
      <c r="AK6" s="81">
        <v>100</v>
      </c>
      <c r="AL6" s="81"/>
      <c r="AM6" s="81">
        <v>54</v>
      </c>
      <c r="AN6" s="86">
        <v>150</v>
      </c>
      <c r="AO6" s="86">
        <v>30</v>
      </c>
      <c r="AP6" s="86">
        <v>100</v>
      </c>
      <c r="AQ6" s="86"/>
      <c r="AR6" s="86"/>
      <c r="AS6" s="86"/>
      <c r="AT6" s="105"/>
      <c r="AU6" s="105"/>
      <c r="AV6" s="105">
        <v>100</v>
      </c>
      <c r="AW6" s="105">
        <v>56</v>
      </c>
      <c r="AX6" s="105"/>
      <c r="AY6" s="105"/>
      <c r="AZ6" s="95"/>
      <c r="BA6" s="95">
        <v>56</v>
      </c>
      <c r="BB6" s="95"/>
      <c r="BC6" s="95"/>
      <c r="BD6" s="95"/>
      <c r="BE6" s="28"/>
      <c r="BF6" s="28">
        <v>56</v>
      </c>
      <c r="BG6" s="28"/>
      <c r="BH6" s="28">
        <v>56</v>
      </c>
      <c r="BI6" s="28"/>
      <c r="BJ6" s="28"/>
      <c r="BK6" s="28">
        <v>72</v>
      </c>
      <c r="BL6" s="100"/>
      <c r="BM6" s="78">
        <f t="shared" si="0"/>
        <v>1261</v>
      </c>
    </row>
    <row r="7" spans="1:66" ht="41.25" customHeight="1" x14ac:dyDescent="0.35">
      <c r="A7" s="6">
        <v>3</v>
      </c>
      <c r="B7" s="7" t="s">
        <v>63</v>
      </c>
      <c r="C7" s="8">
        <v>7700</v>
      </c>
      <c r="D7" s="9">
        <v>80102</v>
      </c>
      <c r="E7" s="10">
        <v>200</v>
      </c>
      <c r="F7" s="11">
        <v>200</v>
      </c>
      <c r="G7" s="11">
        <v>600</v>
      </c>
      <c r="H7" s="11">
        <v>200</v>
      </c>
      <c r="I7" s="56">
        <v>200</v>
      </c>
      <c r="J7" s="57">
        <v>400</v>
      </c>
      <c r="K7" s="28">
        <v>400</v>
      </c>
      <c r="L7" s="32">
        <v>400</v>
      </c>
      <c r="M7" s="32">
        <v>400</v>
      </c>
      <c r="N7" s="33">
        <v>400</v>
      </c>
      <c r="O7" s="32">
        <v>400</v>
      </c>
      <c r="P7" s="37">
        <v>400</v>
      </c>
      <c r="Q7" s="37">
        <v>400</v>
      </c>
      <c r="R7" s="37">
        <v>400</v>
      </c>
      <c r="S7" s="37">
        <v>200</v>
      </c>
      <c r="T7" s="41">
        <v>200</v>
      </c>
      <c r="U7" s="41">
        <v>300</v>
      </c>
      <c r="V7" s="41">
        <v>200</v>
      </c>
      <c r="W7" s="50"/>
      <c r="X7" s="50">
        <v>600</v>
      </c>
      <c r="Y7" s="50"/>
      <c r="Z7" s="50"/>
      <c r="AA7" s="50"/>
      <c r="AB7" s="69">
        <v>400</v>
      </c>
      <c r="AC7" s="69"/>
      <c r="AD7" s="69">
        <v>400</v>
      </c>
      <c r="AE7" s="69">
        <v>200</v>
      </c>
      <c r="AF7" s="69"/>
      <c r="AG7" s="81"/>
      <c r="AH7" s="81">
        <v>400</v>
      </c>
      <c r="AI7" s="81"/>
      <c r="AJ7" s="81">
        <v>400</v>
      </c>
      <c r="AK7" s="81">
        <v>200</v>
      </c>
      <c r="AL7" s="81"/>
      <c r="AM7" s="81"/>
      <c r="AN7" s="86">
        <v>100</v>
      </c>
      <c r="AO7" s="86"/>
      <c r="AP7" s="86"/>
      <c r="AQ7" s="86">
        <v>400</v>
      </c>
      <c r="AR7" s="86"/>
      <c r="AS7" s="86"/>
      <c r="AT7" s="105">
        <v>500</v>
      </c>
      <c r="AU7" s="105">
        <v>300</v>
      </c>
      <c r="AV7" s="105"/>
      <c r="AW7" s="105"/>
      <c r="AX7" s="105">
        <v>200</v>
      </c>
      <c r="AY7" s="105">
        <v>200</v>
      </c>
      <c r="AZ7" s="95">
        <v>200</v>
      </c>
      <c r="BA7" s="95"/>
      <c r="BB7" s="95">
        <v>200</v>
      </c>
      <c r="BC7" s="95"/>
      <c r="BD7" s="95">
        <v>200</v>
      </c>
      <c r="BE7" s="28">
        <v>400</v>
      </c>
      <c r="BF7" s="28"/>
      <c r="BG7" s="28">
        <v>200</v>
      </c>
      <c r="BH7" s="28"/>
      <c r="BI7" s="28"/>
      <c r="BJ7" s="28"/>
      <c r="BK7" s="28"/>
      <c r="BL7" s="100"/>
      <c r="BM7" s="78">
        <f t="shared" si="0"/>
        <v>11400</v>
      </c>
    </row>
    <row r="8" spans="1:66" ht="42.75" customHeight="1" x14ac:dyDescent="0.35">
      <c r="A8" s="6">
        <v>4</v>
      </c>
      <c r="B8" s="7" t="s">
        <v>64</v>
      </c>
      <c r="C8" s="8">
        <v>7700</v>
      </c>
      <c r="D8" s="9">
        <v>170204</v>
      </c>
      <c r="E8" s="10"/>
      <c r="F8" s="11"/>
      <c r="G8" s="11"/>
      <c r="H8" s="11"/>
      <c r="I8" s="56"/>
      <c r="J8" s="57"/>
      <c r="K8" s="28"/>
      <c r="L8" s="32"/>
      <c r="M8" s="32"/>
      <c r="N8" s="33"/>
      <c r="O8" s="32"/>
      <c r="P8" s="37"/>
      <c r="Q8" s="37"/>
      <c r="R8" s="37"/>
      <c r="S8" s="37"/>
      <c r="T8" s="41"/>
      <c r="U8" s="41"/>
      <c r="V8" s="41"/>
      <c r="W8" s="50"/>
      <c r="X8" s="50"/>
      <c r="Y8" s="50"/>
      <c r="Z8" s="50"/>
      <c r="AA8" s="50"/>
      <c r="AB8" s="69"/>
      <c r="AC8" s="69"/>
      <c r="AD8" s="69"/>
      <c r="AE8" s="69"/>
      <c r="AF8" s="69"/>
      <c r="AG8" s="81"/>
      <c r="AH8" s="81"/>
      <c r="AI8" s="81"/>
      <c r="AJ8" s="81"/>
      <c r="AK8" s="81"/>
      <c r="AL8" s="81"/>
      <c r="AM8" s="81"/>
      <c r="AN8" s="86"/>
      <c r="AO8" s="86"/>
      <c r="AP8" s="86"/>
      <c r="AQ8" s="86"/>
      <c r="AR8" s="86"/>
      <c r="AS8" s="86"/>
      <c r="AT8" s="105"/>
      <c r="AU8" s="105"/>
      <c r="AV8" s="105"/>
      <c r="AW8" s="105"/>
      <c r="AX8" s="105"/>
      <c r="AY8" s="105"/>
      <c r="AZ8" s="95"/>
      <c r="BA8" s="95"/>
      <c r="BB8" s="95"/>
      <c r="BC8" s="95"/>
      <c r="BD8" s="95"/>
      <c r="BE8" s="28"/>
      <c r="BF8" s="28"/>
      <c r="BG8" s="28"/>
      <c r="BH8" s="28"/>
      <c r="BI8" s="28"/>
      <c r="BJ8" s="28"/>
      <c r="BK8" s="28"/>
      <c r="BL8" s="100"/>
      <c r="BM8" s="78">
        <f t="shared" si="0"/>
        <v>0</v>
      </c>
    </row>
    <row r="9" spans="1:66" ht="42.75" customHeight="1" x14ac:dyDescent="0.35">
      <c r="A9" s="6">
        <v>5</v>
      </c>
      <c r="B9" s="7" t="s">
        <v>65</v>
      </c>
      <c r="C9" s="8">
        <v>7700</v>
      </c>
      <c r="D9" s="9">
        <v>160106</v>
      </c>
      <c r="E9" s="10"/>
      <c r="F9" s="11"/>
      <c r="G9" s="11"/>
      <c r="H9" s="11"/>
      <c r="I9" s="56"/>
      <c r="J9" s="57">
        <v>8</v>
      </c>
      <c r="K9" s="28"/>
      <c r="L9" s="32">
        <v>10</v>
      </c>
      <c r="M9" s="32"/>
      <c r="N9" s="33"/>
      <c r="O9" s="32">
        <v>40</v>
      </c>
      <c r="P9" s="37"/>
      <c r="Q9" s="37">
        <v>15</v>
      </c>
      <c r="R9" s="37">
        <v>20</v>
      </c>
      <c r="S9" s="37"/>
      <c r="T9" s="41"/>
      <c r="U9" s="41"/>
      <c r="V9" s="41"/>
      <c r="W9" s="50"/>
      <c r="X9" s="50">
        <v>30</v>
      </c>
      <c r="Y9" s="50"/>
      <c r="Z9" s="50"/>
      <c r="AA9" s="50"/>
      <c r="AB9" s="69"/>
      <c r="AC9" s="69"/>
      <c r="AD9" s="69">
        <v>10</v>
      </c>
      <c r="AE9" s="69">
        <v>10</v>
      </c>
      <c r="AF9" s="69"/>
      <c r="AG9" s="81"/>
      <c r="AH9" s="81">
        <v>5</v>
      </c>
      <c r="AI9" s="81"/>
      <c r="AJ9" s="81"/>
      <c r="AK9" s="81">
        <v>10</v>
      </c>
      <c r="AL9" s="81"/>
      <c r="AM9" s="81"/>
      <c r="AN9" s="86"/>
      <c r="AO9" s="86"/>
      <c r="AP9" s="86"/>
      <c r="AQ9" s="86">
        <v>10</v>
      </c>
      <c r="AR9" s="86"/>
      <c r="AS9" s="86"/>
      <c r="AT9" s="105"/>
      <c r="AU9" s="105"/>
      <c r="AV9" s="105"/>
      <c r="AW9" s="105"/>
      <c r="AX9" s="105">
        <v>10</v>
      </c>
      <c r="AY9" s="105"/>
      <c r="AZ9" s="95"/>
      <c r="BA9" s="95"/>
      <c r="BB9" s="95"/>
      <c r="BC9" s="95"/>
      <c r="BD9" s="95">
        <v>10</v>
      </c>
      <c r="BE9" s="28"/>
      <c r="BF9" s="28"/>
      <c r="BG9" s="28"/>
      <c r="BH9" s="28"/>
      <c r="BI9" s="28"/>
      <c r="BJ9" s="28">
        <v>10</v>
      </c>
      <c r="BK9" s="28"/>
      <c r="BL9" s="100">
        <v>10</v>
      </c>
      <c r="BM9" s="78">
        <f t="shared" si="0"/>
        <v>208</v>
      </c>
    </row>
    <row r="10" spans="1:66" ht="45" customHeight="1" x14ac:dyDescent="0.35">
      <c r="A10" s="6">
        <v>6</v>
      </c>
      <c r="B10" s="7" t="s">
        <v>66</v>
      </c>
      <c r="C10" s="8">
        <v>7700</v>
      </c>
      <c r="D10" s="9"/>
      <c r="E10" s="10"/>
      <c r="F10" s="11"/>
      <c r="G10" s="11"/>
      <c r="H10" s="11"/>
      <c r="I10" s="56"/>
      <c r="J10" s="57"/>
      <c r="K10" s="28"/>
      <c r="L10" s="32"/>
      <c r="M10" s="32"/>
      <c r="N10" s="33"/>
      <c r="O10" s="32"/>
      <c r="P10" s="37"/>
      <c r="Q10" s="37"/>
      <c r="R10" s="37"/>
      <c r="S10" s="37"/>
      <c r="T10" s="41"/>
      <c r="U10" s="41"/>
      <c r="V10" s="41"/>
      <c r="W10" s="50"/>
      <c r="X10" s="50"/>
      <c r="Y10" s="50"/>
      <c r="Z10" s="50"/>
      <c r="AA10" s="50"/>
      <c r="AB10" s="69"/>
      <c r="AC10" s="69"/>
      <c r="AD10" s="69"/>
      <c r="AE10" s="69"/>
      <c r="AF10" s="69"/>
      <c r="AG10" s="81"/>
      <c r="AH10" s="81"/>
      <c r="AI10" s="81"/>
      <c r="AJ10" s="81"/>
      <c r="AK10" s="81"/>
      <c r="AL10" s="81"/>
      <c r="AM10" s="81"/>
      <c r="AN10" s="86"/>
      <c r="AO10" s="86"/>
      <c r="AP10" s="86"/>
      <c r="AQ10" s="86"/>
      <c r="AR10" s="86"/>
      <c r="AS10" s="86"/>
      <c r="AT10" s="105"/>
      <c r="AU10" s="105"/>
      <c r="AV10" s="105"/>
      <c r="AW10" s="105"/>
      <c r="AX10" s="105"/>
      <c r="AY10" s="105"/>
      <c r="AZ10" s="95"/>
      <c r="BA10" s="95"/>
      <c r="BB10" s="95"/>
      <c r="BC10" s="95"/>
      <c r="BD10" s="95"/>
      <c r="BE10" s="28"/>
      <c r="BF10" s="28"/>
      <c r="BG10" s="28"/>
      <c r="BH10" s="28"/>
      <c r="BI10" s="28"/>
      <c r="BJ10" s="28"/>
      <c r="BK10" s="28"/>
      <c r="BL10" s="100"/>
      <c r="BM10" s="78">
        <f t="shared" si="0"/>
        <v>0</v>
      </c>
    </row>
    <row r="11" spans="1:66" ht="49.5" x14ac:dyDescent="0.35">
      <c r="A11" s="6">
        <v>7</v>
      </c>
      <c r="B11" s="7" t="s">
        <v>67</v>
      </c>
      <c r="C11" s="8">
        <v>5500</v>
      </c>
      <c r="D11" s="9">
        <v>160110</v>
      </c>
      <c r="E11" s="10">
        <v>1400</v>
      </c>
      <c r="F11" s="11">
        <v>600</v>
      </c>
      <c r="G11" s="11">
        <v>600</v>
      </c>
      <c r="H11" s="11">
        <v>1000</v>
      </c>
      <c r="I11" s="56">
        <v>5200</v>
      </c>
      <c r="J11" s="57">
        <v>2000</v>
      </c>
      <c r="K11" s="28">
        <v>2000</v>
      </c>
      <c r="L11" s="32">
        <v>2000</v>
      </c>
      <c r="M11" s="32">
        <v>3000</v>
      </c>
      <c r="N11" s="33">
        <v>1800</v>
      </c>
      <c r="O11" s="32">
        <v>1000</v>
      </c>
      <c r="P11" s="37">
        <v>2000</v>
      </c>
      <c r="Q11" s="37">
        <v>1600</v>
      </c>
      <c r="R11" s="37">
        <v>400</v>
      </c>
      <c r="S11" s="37">
        <v>800</v>
      </c>
      <c r="T11" s="41">
        <v>800</v>
      </c>
      <c r="U11" s="41">
        <v>1200</v>
      </c>
      <c r="V11" s="41">
        <v>800</v>
      </c>
      <c r="W11" s="50"/>
      <c r="X11" s="50">
        <v>2000</v>
      </c>
      <c r="Y11" s="50"/>
      <c r="Z11" s="50">
        <v>600</v>
      </c>
      <c r="AA11" s="50">
        <v>500</v>
      </c>
      <c r="AB11" s="69">
        <v>1400</v>
      </c>
      <c r="AC11" s="69"/>
      <c r="AD11" s="69">
        <v>1400</v>
      </c>
      <c r="AE11" s="69">
        <v>1200</v>
      </c>
      <c r="AF11" s="69"/>
      <c r="AG11" s="81"/>
      <c r="AH11" s="81">
        <v>1400</v>
      </c>
      <c r="AI11" s="81"/>
      <c r="AJ11" s="81">
        <v>1000</v>
      </c>
      <c r="AK11" s="81">
        <v>400</v>
      </c>
      <c r="AL11" s="81"/>
      <c r="AM11" s="81"/>
      <c r="AN11" s="86">
        <v>900</v>
      </c>
      <c r="AO11" s="86"/>
      <c r="AP11" s="86">
        <v>1200</v>
      </c>
      <c r="AQ11" s="86">
        <v>1600</v>
      </c>
      <c r="AR11" s="86"/>
      <c r="AS11" s="86">
        <v>600</v>
      </c>
      <c r="AT11" s="105"/>
      <c r="AU11" s="105">
        <v>1000</v>
      </c>
      <c r="AV11" s="105">
        <v>1000</v>
      </c>
      <c r="AW11" s="105"/>
      <c r="AX11" s="105">
        <v>1000</v>
      </c>
      <c r="AY11" s="105"/>
      <c r="AZ11" s="95">
        <v>1400</v>
      </c>
      <c r="BA11" s="95"/>
      <c r="BB11" s="95">
        <v>1000</v>
      </c>
      <c r="BC11" s="95">
        <v>200</v>
      </c>
      <c r="BD11" s="95">
        <v>1000</v>
      </c>
      <c r="BE11" s="28">
        <v>2200</v>
      </c>
      <c r="BF11" s="28"/>
      <c r="BG11" s="28">
        <v>1200</v>
      </c>
      <c r="BH11" s="28"/>
      <c r="BI11" s="28"/>
      <c r="BJ11" s="28">
        <v>2200</v>
      </c>
      <c r="BK11" s="28"/>
      <c r="BL11" s="100">
        <v>400</v>
      </c>
      <c r="BM11" s="78">
        <f t="shared" si="0"/>
        <v>55000</v>
      </c>
    </row>
    <row r="12" spans="1:66" ht="39" customHeight="1" x14ac:dyDescent="0.35">
      <c r="A12" s="6">
        <v>8</v>
      </c>
      <c r="B12" s="7" t="s">
        <v>68</v>
      </c>
      <c r="C12" s="8">
        <v>7700</v>
      </c>
      <c r="D12" s="12" t="s">
        <v>69</v>
      </c>
      <c r="E12" s="10"/>
      <c r="F12" s="11"/>
      <c r="G12" s="11"/>
      <c r="H12" s="11"/>
      <c r="I12" s="56">
        <v>249</v>
      </c>
      <c r="J12" s="57"/>
      <c r="K12" s="28"/>
      <c r="L12" s="32"/>
      <c r="M12" s="32"/>
      <c r="N12" s="33"/>
      <c r="O12" s="32"/>
      <c r="P12" s="37">
        <v>150</v>
      </c>
      <c r="Q12" s="37"/>
      <c r="R12" s="37"/>
      <c r="S12" s="37">
        <v>100</v>
      </c>
      <c r="T12" s="41"/>
      <c r="U12" s="41"/>
      <c r="V12" s="41"/>
      <c r="W12" s="50"/>
      <c r="X12" s="50">
        <v>200</v>
      </c>
      <c r="Y12" s="50"/>
      <c r="Z12" s="50">
        <v>100</v>
      </c>
      <c r="AA12" s="50">
        <v>200</v>
      </c>
      <c r="AB12" s="69">
        <v>100</v>
      </c>
      <c r="AC12" s="69"/>
      <c r="AD12" s="69">
        <v>100</v>
      </c>
      <c r="AE12" s="69">
        <v>50</v>
      </c>
      <c r="AF12" s="69"/>
      <c r="AG12" s="81">
        <v>155</v>
      </c>
      <c r="AH12" s="81">
        <v>50</v>
      </c>
      <c r="AI12" s="81"/>
      <c r="AJ12" s="81"/>
      <c r="AK12" s="81">
        <v>300</v>
      </c>
      <c r="AL12" s="81"/>
      <c r="AM12" s="81"/>
      <c r="AN12" s="86"/>
      <c r="AO12" s="86"/>
      <c r="AP12" s="86"/>
      <c r="AQ12" s="86"/>
      <c r="AR12" s="86"/>
      <c r="AS12" s="86">
        <v>500</v>
      </c>
      <c r="AT12" s="105"/>
      <c r="AU12" s="105">
        <v>100</v>
      </c>
      <c r="AV12" s="105">
        <v>100</v>
      </c>
      <c r="AW12" s="105"/>
      <c r="AX12" s="105"/>
      <c r="AY12" s="105"/>
      <c r="AZ12" s="95"/>
      <c r="BA12" s="95"/>
      <c r="BB12" s="95"/>
      <c r="BC12" s="95"/>
      <c r="BD12" s="95"/>
      <c r="BE12" s="28"/>
      <c r="BF12" s="28"/>
      <c r="BG12" s="28"/>
      <c r="BH12" s="28"/>
      <c r="BI12" s="28"/>
      <c r="BJ12" s="28">
        <v>100</v>
      </c>
      <c r="BK12" s="28"/>
      <c r="BL12" s="100"/>
      <c r="BM12" s="78">
        <f t="shared" si="0"/>
        <v>2554</v>
      </c>
    </row>
    <row r="13" spans="1:66" ht="50.15" customHeight="1" x14ac:dyDescent="0.35">
      <c r="A13" s="6">
        <v>9</v>
      </c>
      <c r="B13" s="7" t="s">
        <v>70</v>
      </c>
      <c r="C13" s="8">
        <v>7700</v>
      </c>
      <c r="D13" s="9">
        <v>130101</v>
      </c>
      <c r="E13" s="10"/>
      <c r="F13" s="11"/>
      <c r="G13" s="11"/>
      <c r="H13" s="11"/>
      <c r="I13" s="56"/>
      <c r="J13" s="57">
        <v>10</v>
      </c>
      <c r="K13" s="28"/>
      <c r="L13" s="32"/>
      <c r="M13" s="32"/>
      <c r="N13" s="33"/>
      <c r="O13" s="32"/>
      <c r="P13" s="37"/>
      <c r="Q13" s="37">
        <v>10</v>
      </c>
      <c r="R13" s="37"/>
      <c r="S13" s="37"/>
      <c r="T13" s="41"/>
      <c r="U13" s="41"/>
      <c r="V13" s="41"/>
      <c r="W13" s="50"/>
      <c r="X13" s="50"/>
      <c r="Y13" s="50"/>
      <c r="Z13" s="50"/>
      <c r="AA13" s="50"/>
      <c r="AB13" s="69"/>
      <c r="AC13" s="69"/>
      <c r="AD13" s="69">
        <v>5</v>
      </c>
      <c r="AE13" s="69">
        <v>5</v>
      </c>
      <c r="AF13" s="69"/>
      <c r="AG13" s="81"/>
      <c r="AH13" s="81">
        <v>5</v>
      </c>
      <c r="AI13" s="81"/>
      <c r="AJ13" s="81"/>
      <c r="AK13" s="81">
        <v>5</v>
      </c>
      <c r="AL13" s="81"/>
      <c r="AM13" s="81"/>
      <c r="AN13" s="86"/>
      <c r="AO13" s="86"/>
      <c r="AP13" s="86"/>
      <c r="AQ13" s="86">
        <v>5</v>
      </c>
      <c r="AR13" s="86"/>
      <c r="AS13" s="86"/>
      <c r="AT13" s="105"/>
      <c r="AU13" s="105"/>
      <c r="AV13" s="105"/>
      <c r="AW13" s="105"/>
      <c r="AX13" s="105">
        <v>2</v>
      </c>
      <c r="AY13" s="105"/>
      <c r="AZ13" s="95"/>
      <c r="BA13" s="95"/>
      <c r="BB13" s="95"/>
      <c r="BC13" s="95">
        <v>5</v>
      </c>
      <c r="BD13" s="95">
        <v>2</v>
      </c>
      <c r="BE13" s="28"/>
      <c r="BF13" s="28"/>
      <c r="BG13" s="28"/>
      <c r="BH13" s="28"/>
      <c r="BI13" s="28"/>
      <c r="BJ13" s="28">
        <v>5</v>
      </c>
      <c r="BK13" s="28"/>
      <c r="BL13" s="100"/>
      <c r="BM13" s="78">
        <f t="shared" si="0"/>
        <v>59</v>
      </c>
    </row>
    <row r="14" spans="1:66" s="3" customFormat="1" x14ac:dyDescent="0.35">
      <c r="A14" s="13"/>
      <c r="B14" s="14" t="s">
        <v>71</v>
      </c>
      <c r="C14" s="15"/>
      <c r="D14" s="16"/>
      <c r="E14" s="17">
        <f t="shared" ref="E14:AJ14" si="1">SUM(E5:E13)</f>
        <v>2932</v>
      </c>
      <c r="F14" s="18">
        <f t="shared" si="1"/>
        <v>2669</v>
      </c>
      <c r="G14" s="18">
        <f t="shared" si="1"/>
        <v>1200</v>
      </c>
      <c r="H14" s="18">
        <f t="shared" si="1"/>
        <v>2886</v>
      </c>
      <c r="I14" s="56">
        <f t="shared" si="1"/>
        <v>9701</v>
      </c>
      <c r="J14" s="58">
        <f t="shared" si="1"/>
        <v>5195</v>
      </c>
      <c r="K14" s="29">
        <f t="shared" si="1"/>
        <v>4765</v>
      </c>
      <c r="L14" s="34">
        <f t="shared" si="1"/>
        <v>5485</v>
      </c>
      <c r="M14" s="34">
        <f t="shared" si="1"/>
        <v>5740</v>
      </c>
      <c r="N14" s="34">
        <f t="shared" si="1"/>
        <v>4475</v>
      </c>
      <c r="O14" s="34">
        <f t="shared" si="1"/>
        <v>2930</v>
      </c>
      <c r="P14" s="38">
        <f t="shared" si="1"/>
        <v>4990</v>
      </c>
      <c r="Q14" s="38">
        <f t="shared" si="1"/>
        <v>3590</v>
      </c>
      <c r="R14" s="38">
        <f t="shared" si="1"/>
        <v>2725</v>
      </c>
      <c r="S14" s="38">
        <f t="shared" si="1"/>
        <v>2780</v>
      </c>
      <c r="T14" s="42">
        <f t="shared" si="1"/>
        <v>3600</v>
      </c>
      <c r="U14" s="42">
        <f t="shared" si="1"/>
        <v>3970</v>
      </c>
      <c r="V14" s="42">
        <f t="shared" si="1"/>
        <v>3410</v>
      </c>
      <c r="W14" s="52">
        <f t="shared" si="1"/>
        <v>1775</v>
      </c>
      <c r="X14" s="52">
        <f t="shared" si="1"/>
        <v>4880</v>
      </c>
      <c r="Y14" s="52">
        <f t="shared" si="1"/>
        <v>59</v>
      </c>
      <c r="Z14" s="52">
        <f t="shared" si="1"/>
        <v>2510</v>
      </c>
      <c r="AA14" s="52">
        <f t="shared" si="1"/>
        <v>2240</v>
      </c>
      <c r="AB14" s="70">
        <f t="shared" si="1"/>
        <v>4770</v>
      </c>
      <c r="AC14" s="70">
        <f t="shared" si="1"/>
        <v>72</v>
      </c>
      <c r="AD14" s="70">
        <f t="shared" si="1"/>
        <v>4270</v>
      </c>
      <c r="AE14" s="70">
        <f t="shared" si="1"/>
        <v>4000</v>
      </c>
      <c r="AF14" s="70">
        <f t="shared" si="1"/>
        <v>75</v>
      </c>
      <c r="AG14" s="82">
        <f t="shared" si="1"/>
        <v>2355</v>
      </c>
      <c r="AH14" s="82">
        <f t="shared" si="1"/>
        <v>3570</v>
      </c>
      <c r="AI14" s="82">
        <f t="shared" si="1"/>
        <v>50</v>
      </c>
      <c r="AJ14" s="82">
        <f t="shared" si="1"/>
        <v>2935</v>
      </c>
      <c r="AK14" s="82">
        <f t="shared" ref="AK14:BL14" si="2">SUM(AK5:AK13)</f>
        <v>2590</v>
      </c>
      <c r="AL14" s="82">
        <f t="shared" si="2"/>
        <v>2255</v>
      </c>
      <c r="AM14" s="82">
        <f t="shared" si="2"/>
        <v>54</v>
      </c>
      <c r="AN14" s="87">
        <f t="shared" si="2"/>
        <v>2860</v>
      </c>
      <c r="AO14" s="87">
        <f t="shared" si="2"/>
        <v>30</v>
      </c>
      <c r="AP14" s="87">
        <f t="shared" si="2"/>
        <v>2910</v>
      </c>
      <c r="AQ14" s="87">
        <f t="shared" si="2"/>
        <v>3370</v>
      </c>
      <c r="AR14" s="87">
        <f t="shared" si="2"/>
        <v>55</v>
      </c>
      <c r="AS14" s="87">
        <f t="shared" si="2"/>
        <v>2950</v>
      </c>
      <c r="AT14" s="18">
        <f t="shared" si="2"/>
        <v>3240</v>
      </c>
      <c r="AU14" s="18">
        <f t="shared" si="2"/>
        <v>3225</v>
      </c>
      <c r="AV14" s="18">
        <f t="shared" si="2"/>
        <v>2990</v>
      </c>
      <c r="AW14" s="18">
        <f t="shared" si="2"/>
        <v>56</v>
      </c>
      <c r="AX14" s="18">
        <f t="shared" si="2"/>
        <v>3250</v>
      </c>
      <c r="AY14" s="18">
        <f t="shared" si="2"/>
        <v>2520</v>
      </c>
      <c r="AZ14" s="96">
        <f t="shared" si="2"/>
        <v>3470</v>
      </c>
      <c r="BA14" s="96">
        <f t="shared" si="2"/>
        <v>56</v>
      </c>
      <c r="BB14" s="96">
        <f t="shared" si="2"/>
        <v>3260</v>
      </c>
      <c r="BC14" s="96">
        <f t="shared" si="2"/>
        <v>3290</v>
      </c>
      <c r="BD14" s="96">
        <f t="shared" si="2"/>
        <v>3460</v>
      </c>
      <c r="BE14" s="29">
        <f t="shared" si="2"/>
        <v>3830</v>
      </c>
      <c r="BF14" s="29">
        <f t="shared" si="2"/>
        <v>56</v>
      </c>
      <c r="BG14" s="29">
        <f t="shared" si="2"/>
        <v>3510</v>
      </c>
      <c r="BH14" s="29">
        <f t="shared" si="2"/>
        <v>56</v>
      </c>
      <c r="BI14" s="29">
        <f t="shared" si="2"/>
        <v>2610</v>
      </c>
      <c r="BJ14" s="29">
        <f t="shared" si="2"/>
        <v>4125</v>
      </c>
      <c r="BK14" s="29">
        <f t="shared" si="2"/>
        <v>72</v>
      </c>
      <c r="BL14" s="101">
        <f t="shared" si="2"/>
        <v>3155</v>
      </c>
      <c r="BM14" s="78">
        <f t="shared" si="0"/>
        <v>169909</v>
      </c>
    </row>
    <row r="15" spans="1:66" s="3" customFormat="1" x14ac:dyDescent="0.35">
      <c r="A15" s="13"/>
      <c r="B15" s="14" t="s">
        <v>72</v>
      </c>
      <c r="C15" s="19"/>
      <c r="D15" s="16"/>
      <c r="E15" s="20">
        <f t="shared" ref="E15:K15" si="3">E5*$C$5+E6*$C$6+E7*$C$7+E8*$C$8+E9*$C$9+E11*$C$11+E13*$C$13+E12*$C$12</f>
        <v>19496400</v>
      </c>
      <c r="F15" s="20">
        <f t="shared" si="3"/>
        <v>19231300</v>
      </c>
      <c r="G15" s="20">
        <f t="shared" si="3"/>
        <v>7920000</v>
      </c>
      <c r="H15" s="20">
        <f t="shared" si="3"/>
        <v>20022200</v>
      </c>
      <c r="I15" s="59">
        <f t="shared" si="3"/>
        <v>67489200</v>
      </c>
      <c r="J15" s="60">
        <f t="shared" si="3"/>
        <v>35601500</v>
      </c>
      <c r="K15" s="30">
        <f t="shared" si="3"/>
        <v>32290500</v>
      </c>
      <c r="L15" s="35">
        <f>L5*$C$5+L6*$C$6+L7*$C$7+L8*$C$8+L9*$C$9+L11*$C$11+L13*$C$13</f>
        <v>37834500</v>
      </c>
      <c r="M15" s="35">
        <f>M5*$C$5+M6*$C$6+M7*$C$7+M8*$C$8+M9*$C$9+M11*$C$11+M13*$C$13</f>
        <v>37598000</v>
      </c>
      <c r="N15" s="35">
        <f>N5*$C$5+N6*$C$6+N7*$C$7+N8*$C$8+N9*$C$9+N11*$C$11+N13*$C$13</f>
        <v>30497500</v>
      </c>
      <c r="O15" s="35">
        <f>O5*$C$5+O6*$C$6+O7*$C$7+O8*$C$8+O9*$C$9+O11*$C$11+O13*$C$13</f>
        <v>20361000</v>
      </c>
      <c r="P15" s="39">
        <f>P5*$C$5+P6*$C$6+P7*$C$7+P8*$C$8+P9*$C$9+P11*$C$11+P13*$C$13+P12*$C$12</f>
        <v>34023000</v>
      </c>
      <c r="Q15" s="39">
        <f>Q5*$C$5+Q6*$C$6+Q7*$C$7+Q8*$C$8+Q9*$C$9+Q11*$C$11+Q13*$C$13+Q12*$C$12</f>
        <v>24123000</v>
      </c>
      <c r="R15" s="39">
        <f t="shared" ref="R15:BL15" si="4">R5*$C$5+R6*$C$6+R7*$C$7+R8*$C$8+R9*$C$9+R10*$C$10+R11*$C$11+R13*$C$13+R12*$C$12</f>
        <v>20102500</v>
      </c>
      <c r="S15" s="39">
        <f t="shared" si="4"/>
        <v>20192000</v>
      </c>
      <c r="T15" s="54">
        <f t="shared" si="4"/>
        <v>25960000</v>
      </c>
      <c r="U15" s="54">
        <f t="shared" si="4"/>
        <v>27929000</v>
      </c>
      <c r="V15" s="54">
        <f t="shared" si="4"/>
        <v>24497000</v>
      </c>
      <c r="W15" s="51">
        <f t="shared" si="4"/>
        <v>13667500</v>
      </c>
      <c r="X15" s="51">
        <f t="shared" si="4"/>
        <v>33176000</v>
      </c>
      <c r="Y15" s="51">
        <f t="shared" si="4"/>
        <v>2065000</v>
      </c>
      <c r="Z15" s="51">
        <f t="shared" si="4"/>
        <v>18007000</v>
      </c>
      <c r="AA15" s="51">
        <f t="shared" si="4"/>
        <v>16148000</v>
      </c>
      <c r="AB15" s="71">
        <f t="shared" si="4"/>
        <v>33649000</v>
      </c>
      <c r="AC15" s="71">
        <f t="shared" si="4"/>
        <v>2520000</v>
      </c>
      <c r="AD15" s="71">
        <f t="shared" si="4"/>
        <v>29799000</v>
      </c>
      <c r="AE15" s="71">
        <f t="shared" si="4"/>
        <v>28160000</v>
      </c>
      <c r="AF15" s="71">
        <f t="shared" si="4"/>
        <v>2625000</v>
      </c>
      <c r="AG15" s="83">
        <f t="shared" si="4"/>
        <v>18133500</v>
      </c>
      <c r="AH15" s="83">
        <f t="shared" si="4"/>
        <v>24409000</v>
      </c>
      <c r="AI15" s="83">
        <f t="shared" si="4"/>
        <v>1750000</v>
      </c>
      <c r="AJ15" s="83">
        <f t="shared" si="4"/>
        <v>20399500</v>
      </c>
      <c r="AK15" s="83">
        <f t="shared" si="4"/>
        <v>21793000</v>
      </c>
      <c r="AL15" s="83">
        <f t="shared" si="4"/>
        <v>17363500</v>
      </c>
      <c r="AM15" s="83">
        <f t="shared" si="4"/>
        <v>1890000</v>
      </c>
      <c r="AN15" s="88">
        <f t="shared" si="4"/>
        <v>24137000</v>
      </c>
      <c r="AO15" s="88">
        <f t="shared" si="4"/>
        <v>1050000</v>
      </c>
      <c r="AP15" s="88">
        <f t="shared" si="4"/>
        <v>22497000</v>
      </c>
      <c r="AQ15" s="88">
        <f t="shared" si="4"/>
        <v>22429000</v>
      </c>
      <c r="AR15" s="88">
        <f t="shared" si="4"/>
        <v>423500</v>
      </c>
      <c r="AS15" s="88">
        <f t="shared" si="4"/>
        <v>21395000</v>
      </c>
      <c r="AT15" s="21">
        <f t="shared" si="4"/>
        <v>24948000</v>
      </c>
      <c r="AU15" s="21">
        <f t="shared" si="4"/>
        <v>22632500</v>
      </c>
      <c r="AV15" s="21">
        <f t="shared" si="4"/>
        <v>23553000</v>
      </c>
      <c r="AW15" s="21">
        <f t="shared" si="4"/>
        <v>1960000</v>
      </c>
      <c r="AX15" s="21">
        <f t="shared" si="4"/>
        <v>22825000</v>
      </c>
      <c r="AY15" s="21">
        <f t="shared" si="4"/>
        <v>19404000</v>
      </c>
      <c r="AZ15" s="97">
        <f t="shared" si="4"/>
        <v>23639000</v>
      </c>
      <c r="BA15" s="97">
        <f t="shared" si="4"/>
        <v>1960000</v>
      </c>
      <c r="BB15" s="97">
        <f t="shared" si="4"/>
        <v>22902000</v>
      </c>
      <c r="BC15" s="97">
        <f t="shared" si="4"/>
        <v>24893000</v>
      </c>
      <c r="BD15" s="97">
        <f t="shared" si="4"/>
        <v>24442000</v>
      </c>
      <c r="BE15" s="30">
        <f t="shared" si="4"/>
        <v>24651000</v>
      </c>
      <c r="BF15" s="30">
        <f t="shared" si="4"/>
        <v>1960000</v>
      </c>
      <c r="BG15" s="30">
        <f t="shared" si="4"/>
        <v>24387000</v>
      </c>
      <c r="BH15" s="30">
        <f t="shared" si="4"/>
        <v>1960000</v>
      </c>
      <c r="BI15" s="30">
        <f t="shared" si="4"/>
        <v>20097000</v>
      </c>
      <c r="BJ15" s="30">
        <f t="shared" si="4"/>
        <v>26922500</v>
      </c>
      <c r="BK15" s="30">
        <f t="shared" si="4"/>
        <v>2520000</v>
      </c>
      <c r="BL15" s="30">
        <f t="shared" si="4"/>
        <v>23413500</v>
      </c>
      <c r="BM15" s="79">
        <f t="shared" si="0"/>
        <v>1221724600</v>
      </c>
    </row>
    <row r="16" spans="1:66" s="3" customFormat="1" x14ac:dyDescent="0.35">
      <c r="A16" s="13"/>
      <c r="B16" s="14" t="s">
        <v>73</v>
      </c>
      <c r="C16" s="19"/>
      <c r="D16" s="16"/>
      <c r="E16" s="20">
        <f t="shared" ref="E16:BL16" si="5">+E15*10%</f>
        <v>1949640</v>
      </c>
      <c r="F16" s="21">
        <f t="shared" si="5"/>
        <v>1923130</v>
      </c>
      <c r="G16" s="21">
        <f t="shared" si="5"/>
        <v>792000</v>
      </c>
      <c r="H16" s="21">
        <f t="shared" si="5"/>
        <v>2002220</v>
      </c>
      <c r="I16" s="61">
        <f t="shared" si="5"/>
        <v>6748920</v>
      </c>
      <c r="J16" s="60">
        <f t="shared" si="5"/>
        <v>3560150</v>
      </c>
      <c r="K16" s="30">
        <f t="shared" si="5"/>
        <v>3229050</v>
      </c>
      <c r="L16" s="35">
        <f t="shared" si="5"/>
        <v>3783450</v>
      </c>
      <c r="M16" s="35">
        <f t="shared" si="5"/>
        <v>3759800</v>
      </c>
      <c r="N16" s="35">
        <f t="shared" si="5"/>
        <v>3049750</v>
      </c>
      <c r="O16" s="35">
        <f t="shared" si="5"/>
        <v>2036100</v>
      </c>
      <c r="P16" s="39">
        <f t="shared" si="5"/>
        <v>3402300</v>
      </c>
      <c r="Q16" s="39">
        <f t="shared" si="5"/>
        <v>2412300</v>
      </c>
      <c r="R16" s="39">
        <f t="shared" si="5"/>
        <v>2010250</v>
      </c>
      <c r="S16" s="39">
        <f t="shared" si="5"/>
        <v>2019200</v>
      </c>
      <c r="T16" s="43">
        <f t="shared" si="5"/>
        <v>2596000</v>
      </c>
      <c r="U16" s="43">
        <f t="shared" si="5"/>
        <v>2792900</v>
      </c>
      <c r="V16" s="43">
        <f t="shared" si="5"/>
        <v>2449700</v>
      </c>
      <c r="W16" s="51">
        <f t="shared" si="5"/>
        <v>1366750</v>
      </c>
      <c r="X16" s="51">
        <f t="shared" si="5"/>
        <v>3317600</v>
      </c>
      <c r="Y16" s="51">
        <f t="shared" si="5"/>
        <v>206500</v>
      </c>
      <c r="Z16" s="51">
        <f t="shared" si="5"/>
        <v>1800700</v>
      </c>
      <c r="AA16" s="51">
        <f t="shared" si="5"/>
        <v>1614800</v>
      </c>
      <c r="AB16" s="71">
        <f t="shared" si="5"/>
        <v>3364900</v>
      </c>
      <c r="AC16" s="71">
        <f t="shared" si="5"/>
        <v>252000</v>
      </c>
      <c r="AD16" s="71">
        <f t="shared" si="5"/>
        <v>2979900</v>
      </c>
      <c r="AE16" s="71">
        <f t="shared" si="5"/>
        <v>2816000</v>
      </c>
      <c r="AF16" s="71">
        <f t="shared" si="5"/>
        <v>262500</v>
      </c>
      <c r="AG16" s="83">
        <f t="shared" si="5"/>
        <v>1813350</v>
      </c>
      <c r="AH16" s="83">
        <f t="shared" si="5"/>
        <v>2440900</v>
      </c>
      <c r="AI16" s="83">
        <f t="shared" si="5"/>
        <v>175000</v>
      </c>
      <c r="AJ16" s="83">
        <f t="shared" si="5"/>
        <v>2039950</v>
      </c>
      <c r="AK16" s="83">
        <f t="shared" si="5"/>
        <v>2179300</v>
      </c>
      <c r="AL16" s="83">
        <f t="shared" si="5"/>
        <v>1736350</v>
      </c>
      <c r="AM16" s="83">
        <f t="shared" si="5"/>
        <v>189000</v>
      </c>
      <c r="AN16" s="88">
        <f t="shared" si="5"/>
        <v>2413700</v>
      </c>
      <c r="AO16" s="88">
        <f t="shared" si="5"/>
        <v>105000</v>
      </c>
      <c r="AP16" s="88">
        <f t="shared" si="5"/>
        <v>2249700</v>
      </c>
      <c r="AQ16" s="88">
        <f t="shared" si="5"/>
        <v>2242900</v>
      </c>
      <c r="AR16" s="88">
        <f t="shared" si="5"/>
        <v>42350</v>
      </c>
      <c r="AS16" s="88">
        <f t="shared" si="5"/>
        <v>2139500</v>
      </c>
      <c r="AT16" s="21">
        <f t="shared" si="5"/>
        <v>2494800</v>
      </c>
      <c r="AU16" s="21">
        <f t="shared" si="5"/>
        <v>2263250</v>
      </c>
      <c r="AV16" s="21">
        <f t="shared" si="5"/>
        <v>2355300</v>
      </c>
      <c r="AW16" s="21">
        <f t="shared" si="5"/>
        <v>196000</v>
      </c>
      <c r="AX16" s="21">
        <f t="shared" si="5"/>
        <v>2282500</v>
      </c>
      <c r="AY16" s="21">
        <f t="shared" si="5"/>
        <v>1940400</v>
      </c>
      <c r="AZ16" s="97">
        <f t="shared" si="5"/>
        <v>2363900</v>
      </c>
      <c r="BA16" s="97">
        <f t="shared" si="5"/>
        <v>196000</v>
      </c>
      <c r="BB16" s="97">
        <f t="shared" si="5"/>
        <v>2290200</v>
      </c>
      <c r="BC16" s="97">
        <f t="shared" si="5"/>
        <v>2489300</v>
      </c>
      <c r="BD16" s="97">
        <f t="shared" si="5"/>
        <v>2444200</v>
      </c>
      <c r="BE16" s="30">
        <f t="shared" si="5"/>
        <v>2465100</v>
      </c>
      <c r="BF16" s="30">
        <f t="shared" si="5"/>
        <v>196000</v>
      </c>
      <c r="BG16" s="30">
        <f t="shared" si="5"/>
        <v>2438700</v>
      </c>
      <c r="BH16" s="30">
        <f t="shared" si="5"/>
        <v>196000</v>
      </c>
      <c r="BI16" s="30">
        <f t="shared" si="5"/>
        <v>2009700</v>
      </c>
      <c r="BJ16" s="30">
        <f t="shared" si="5"/>
        <v>2692250</v>
      </c>
      <c r="BK16" s="30">
        <f t="shared" si="5"/>
        <v>252000</v>
      </c>
      <c r="BL16" s="102">
        <f t="shared" si="5"/>
        <v>2341350</v>
      </c>
      <c r="BM16" s="79">
        <f t="shared" si="0"/>
        <v>122172460</v>
      </c>
    </row>
    <row r="17" spans="1:66" s="3" customFormat="1" ht="17" thickBot="1" x14ac:dyDescent="0.4">
      <c r="A17" s="13"/>
      <c r="B17" s="14" t="s">
        <v>74</v>
      </c>
      <c r="C17" s="19"/>
      <c r="D17" s="16"/>
      <c r="E17" s="22">
        <f t="shared" ref="E17:BL17" si="6">+E15+E16</f>
        <v>21446040</v>
      </c>
      <c r="F17" s="23">
        <f t="shared" si="6"/>
        <v>21154430</v>
      </c>
      <c r="G17" s="23">
        <f t="shared" si="6"/>
        <v>8712000</v>
      </c>
      <c r="H17" s="23">
        <f t="shared" si="6"/>
        <v>22024420</v>
      </c>
      <c r="I17" s="62">
        <f t="shared" si="6"/>
        <v>74238120</v>
      </c>
      <c r="J17" s="63">
        <f t="shared" si="6"/>
        <v>39161650</v>
      </c>
      <c r="K17" s="31">
        <f t="shared" si="6"/>
        <v>35519550</v>
      </c>
      <c r="L17" s="36">
        <f t="shared" si="6"/>
        <v>41617950</v>
      </c>
      <c r="M17" s="36">
        <f t="shared" si="6"/>
        <v>41357800</v>
      </c>
      <c r="N17" s="36">
        <f t="shared" si="6"/>
        <v>33547250</v>
      </c>
      <c r="O17" s="36">
        <f t="shared" si="6"/>
        <v>22397100</v>
      </c>
      <c r="P17" s="40">
        <f t="shared" si="6"/>
        <v>37425300</v>
      </c>
      <c r="Q17" s="40">
        <f t="shared" si="6"/>
        <v>26535300</v>
      </c>
      <c r="R17" s="40">
        <f t="shared" si="6"/>
        <v>22112750</v>
      </c>
      <c r="S17" s="40">
        <f t="shared" si="6"/>
        <v>22211200</v>
      </c>
      <c r="T17" s="44">
        <f t="shared" si="6"/>
        <v>28556000</v>
      </c>
      <c r="U17" s="44">
        <f t="shared" si="6"/>
        <v>30721900</v>
      </c>
      <c r="V17" s="44">
        <f t="shared" si="6"/>
        <v>26946700</v>
      </c>
      <c r="W17" s="53">
        <f t="shared" si="6"/>
        <v>15034250</v>
      </c>
      <c r="X17" s="53">
        <f t="shared" si="6"/>
        <v>36493600</v>
      </c>
      <c r="Y17" s="53">
        <f t="shared" si="6"/>
        <v>2271500</v>
      </c>
      <c r="Z17" s="53">
        <f t="shared" si="6"/>
        <v>19807700</v>
      </c>
      <c r="AA17" s="53">
        <f t="shared" si="6"/>
        <v>17762800</v>
      </c>
      <c r="AB17" s="72">
        <f t="shared" si="6"/>
        <v>37013900</v>
      </c>
      <c r="AC17" s="72">
        <f t="shared" si="6"/>
        <v>2772000</v>
      </c>
      <c r="AD17" s="72">
        <f t="shared" si="6"/>
        <v>32778900</v>
      </c>
      <c r="AE17" s="72">
        <f t="shared" si="6"/>
        <v>30976000</v>
      </c>
      <c r="AF17" s="72">
        <f t="shared" si="6"/>
        <v>2887500</v>
      </c>
      <c r="AG17" s="84">
        <f t="shared" si="6"/>
        <v>19946850</v>
      </c>
      <c r="AH17" s="84">
        <f t="shared" si="6"/>
        <v>26849900</v>
      </c>
      <c r="AI17" s="84">
        <f t="shared" si="6"/>
        <v>1925000</v>
      </c>
      <c r="AJ17" s="84">
        <f t="shared" si="6"/>
        <v>22439450</v>
      </c>
      <c r="AK17" s="84">
        <f t="shared" si="6"/>
        <v>23972300</v>
      </c>
      <c r="AL17" s="84">
        <f t="shared" si="6"/>
        <v>19099850</v>
      </c>
      <c r="AM17" s="84">
        <f t="shared" si="6"/>
        <v>2079000</v>
      </c>
      <c r="AN17" s="89">
        <f t="shared" si="6"/>
        <v>26550700</v>
      </c>
      <c r="AO17" s="89">
        <f t="shared" si="6"/>
        <v>1155000</v>
      </c>
      <c r="AP17" s="89">
        <f t="shared" si="6"/>
        <v>24746700</v>
      </c>
      <c r="AQ17" s="89">
        <f t="shared" si="6"/>
        <v>24671900</v>
      </c>
      <c r="AR17" s="89">
        <f t="shared" si="6"/>
        <v>465850</v>
      </c>
      <c r="AS17" s="89">
        <f t="shared" si="6"/>
        <v>23534500</v>
      </c>
      <c r="AT17" s="23">
        <f t="shared" si="6"/>
        <v>27442800</v>
      </c>
      <c r="AU17" s="23">
        <f t="shared" si="6"/>
        <v>24895750</v>
      </c>
      <c r="AV17" s="23">
        <f t="shared" si="6"/>
        <v>25908300</v>
      </c>
      <c r="AW17" s="23">
        <f t="shared" si="6"/>
        <v>2156000</v>
      </c>
      <c r="AX17" s="23">
        <f t="shared" si="6"/>
        <v>25107500</v>
      </c>
      <c r="AY17" s="23">
        <f t="shared" si="6"/>
        <v>21344400</v>
      </c>
      <c r="AZ17" s="98">
        <f t="shared" si="6"/>
        <v>26002900</v>
      </c>
      <c r="BA17" s="98">
        <f t="shared" si="6"/>
        <v>2156000</v>
      </c>
      <c r="BB17" s="98">
        <f t="shared" si="6"/>
        <v>25192200</v>
      </c>
      <c r="BC17" s="98">
        <f t="shared" si="6"/>
        <v>27382300</v>
      </c>
      <c r="BD17" s="98">
        <f t="shared" si="6"/>
        <v>26886200</v>
      </c>
      <c r="BE17" s="31">
        <f t="shared" si="6"/>
        <v>27116100</v>
      </c>
      <c r="BF17" s="31">
        <f t="shared" si="6"/>
        <v>2156000</v>
      </c>
      <c r="BG17" s="31">
        <f t="shared" si="6"/>
        <v>26825700</v>
      </c>
      <c r="BH17" s="31">
        <f t="shared" si="6"/>
        <v>2156000</v>
      </c>
      <c r="BI17" s="31">
        <f t="shared" si="6"/>
        <v>22106700</v>
      </c>
      <c r="BJ17" s="31">
        <f t="shared" si="6"/>
        <v>29614750</v>
      </c>
      <c r="BK17" s="31">
        <f t="shared" si="6"/>
        <v>2772000</v>
      </c>
      <c r="BL17" s="103">
        <f t="shared" si="6"/>
        <v>25754850</v>
      </c>
      <c r="BM17" s="79">
        <f t="shared" si="0"/>
        <v>1343897060</v>
      </c>
      <c r="BN17" s="24"/>
    </row>
    <row r="18" spans="1:66" ht="41.25" customHeight="1" x14ac:dyDescent="0.35">
      <c r="A18" s="234" t="s">
        <v>75</v>
      </c>
      <c r="B18" s="235"/>
      <c r="C18" s="235"/>
      <c r="D18" s="236"/>
      <c r="E18" s="237" t="s">
        <v>76</v>
      </c>
      <c r="F18" s="237"/>
      <c r="G18" s="237"/>
      <c r="H18" s="237"/>
      <c r="I18" s="237"/>
      <c r="J18" s="237"/>
      <c r="K18" s="237"/>
      <c r="L18" s="237"/>
      <c r="M18" s="237"/>
      <c r="N18" s="237"/>
      <c r="O18" s="237"/>
      <c r="P18" s="237"/>
      <c r="Q18" s="237"/>
      <c r="R18" s="237"/>
      <c r="S18" s="237"/>
      <c r="T18" s="238"/>
      <c r="U18" s="238"/>
      <c r="V18" s="238"/>
      <c r="W18" s="238"/>
      <c r="X18" s="238"/>
      <c r="Y18" s="238"/>
      <c r="Z18" s="237"/>
      <c r="AA18" s="237"/>
      <c r="AB18" s="237"/>
      <c r="AC18" s="237"/>
      <c r="AD18" s="237"/>
      <c r="AE18" s="237"/>
      <c r="AF18" s="237"/>
      <c r="AG18" s="237"/>
      <c r="AH18" s="237"/>
      <c r="AI18" s="237"/>
      <c r="AJ18" s="237"/>
      <c r="AK18" s="237"/>
      <c r="AL18" s="237"/>
      <c r="AM18" s="237"/>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7"/>
      <c r="BK18" s="237"/>
      <c r="BL18" s="237"/>
      <c r="BM18" s="25"/>
      <c r="BN18" s="26"/>
    </row>
    <row r="19" spans="1:66" s="47" customFormat="1" ht="35.25" customHeight="1" x14ac:dyDescent="0.35">
      <c r="A19" s="231" t="s">
        <v>77</v>
      </c>
      <c r="B19" s="232"/>
      <c r="C19" s="232"/>
      <c r="D19" s="233"/>
      <c r="E19" s="228" t="s">
        <v>78</v>
      </c>
      <c r="F19" s="229"/>
      <c r="G19" s="229"/>
      <c r="H19" s="230"/>
      <c r="I19" s="76" t="s">
        <v>79</v>
      </c>
      <c r="J19" s="66" t="s">
        <v>80</v>
      </c>
      <c r="K19" s="228" t="s">
        <v>81</v>
      </c>
      <c r="L19" s="229"/>
      <c r="M19" s="229"/>
      <c r="N19" s="229"/>
      <c r="O19" s="229"/>
      <c r="P19" s="229"/>
      <c r="Q19" s="230"/>
      <c r="R19" s="228" t="s">
        <v>80</v>
      </c>
      <c r="S19" s="239"/>
      <c r="T19" s="240" t="s">
        <v>82</v>
      </c>
      <c r="U19" s="229"/>
      <c r="V19" s="229"/>
      <c r="W19" s="229"/>
      <c r="X19" s="229"/>
      <c r="Y19" s="92" t="s">
        <v>79</v>
      </c>
      <c r="Z19" s="240" t="s">
        <v>83</v>
      </c>
      <c r="AA19" s="229"/>
      <c r="AB19" s="229"/>
      <c r="AC19" s="92" t="s">
        <v>79</v>
      </c>
      <c r="AD19" s="241" t="s">
        <v>83</v>
      </c>
      <c r="AE19" s="241"/>
      <c r="AF19" s="92" t="s">
        <v>79</v>
      </c>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1"/>
    </row>
    <row r="20" spans="1:66" x14ac:dyDescent="0.35">
      <c r="BM20" s="3">
        <v>169909</v>
      </c>
    </row>
    <row r="21" spans="1:66" x14ac:dyDescent="0.35">
      <c r="G21" s="2" t="s">
        <v>84</v>
      </c>
    </row>
    <row r="23" spans="1:66" x14ac:dyDescent="0.35">
      <c r="Q23" s="48"/>
    </row>
    <row r="24" spans="1:66" x14ac:dyDescent="0.35">
      <c r="O24" s="26"/>
      <c r="AL24" s="2">
        <f>280*35000</f>
        <v>9800000</v>
      </c>
    </row>
    <row r="26" spans="1:66" x14ac:dyDescent="0.35">
      <c r="AL26" s="2">
        <f>280*5500</f>
        <v>1540000</v>
      </c>
    </row>
    <row r="31" spans="1:66" x14ac:dyDescent="0.35">
      <c r="G31" s="2">
        <f>1300000*0.3</f>
        <v>390000</v>
      </c>
    </row>
  </sheetData>
  <mergeCells count="27">
    <mergeCell ref="A1:BM1"/>
    <mergeCell ref="A2:A4"/>
    <mergeCell ref="J3:K3"/>
    <mergeCell ref="L3:O3"/>
    <mergeCell ref="E3:I3"/>
    <mergeCell ref="P3:S3"/>
    <mergeCell ref="T3:V3"/>
    <mergeCell ref="D3:D4"/>
    <mergeCell ref="C3:C4"/>
    <mergeCell ref="B3:B4"/>
    <mergeCell ref="B2:D2"/>
    <mergeCell ref="W3:AA3"/>
    <mergeCell ref="AB3:AF3"/>
    <mergeCell ref="AG3:AM3"/>
    <mergeCell ref="AN3:AS3"/>
    <mergeCell ref="AT3:AY3"/>
    <mergeCell ref="AZ3:BD3"/>
    <mergeCell ref="BE3:BL3"/>
    <mergeCell ref="K19:Q19"/>
    <mergeCell ref="A19:D19"/>
    <mergeCell ref="A18:D18"/>
    <mergeCell ref="E18:BL18"/>
    <mergeCell ref="E19:H19"/>
    <mergeCell ref="R19:S19"/>
    <mergeCell ref="T19:X19"/>
    <mergeCell ref="Z19:AB19"/>
    <mergeCell ref="AD19:AE19"/>
  </mergeCells>
  <pageMargins left="0.7" right="0.7" top="0.75" bottom="0.75" header="0.3" footer="0.3"/>
  <pageSetup scale="5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N32"/>
  <sheetViews>
    <sheetView zoomScale="70" zoomScaleNormal="70" workbookViewId="0">
      <pane xSplit="3" ySplit="4" topLeftCell="BT6" activePane="bottomRight" state="frozen"/>
      <selection pane="topRight" activeCell="E1" sqref="E1"/>
      <selection pane="bottomLeft" activeCell="A4" sqref="A4"/>
      <selection pane="bottomRight" activeCell="B6" sqref="A6:XFD6"/>
    </sheetView>
  </sheetViews>
  <sheetFormatPr defaultColWidth="9.1796875" defaultRowHeight="16.5" x14ac:dyDescent="0.35"/>
  <cols>
    <col min="1" max="1" width="4.81640625" style="2" bestFit="1" customWidth="1"/>
    <col min="2" max="2" width="32.54296875" style="27" customWidth="1"/>
    <col min="3" max="3" width="19" style="27" customWidth="1"/>
    <col min="4" max="4" width="14" style="2" customWidth="1"/>
    <col min="5" max="11" width="15.1796875" style="2" customWidth="1"/>
    <col min="12" max="15" width="14.81640625" style="2" customWidth="1"/>
    <col min="16" max="38" width="15.1796875" style="2" customWidth="1"/>
    <col min="39" max="39" width="16.453125" style="2" customWidth="1"/>
    <col min="40" max="41" width="15.1796875" style="2" customWidth="1"/>
    <col min="42" max="42" width="16.81640625" style="2" customWidth="1"/>
    <col min="43" max="90" width="15.1796875" style="2" customWidth="1"/>
    <col min="91" max="91" width="24.453125" style="134" customWidth="1"/>
    <col min="92" max="92" width="9.1796875" style="2" customWidth="1"/>
    <col min="93" max="16384" width="9.1796875" style="2"/>
  </cols>
  <sheetData>
    <row r="1" spans="1:92" ht="57.75" customHeight="1" x14ac:dyDescent="0.35">
      <c r="A1" s="242" t="s">
        <v>85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1"/>
    </row>
    <row r="2" spans="1:92" s="1" customFormat="1" ht="22.5" customHeight="1" x14ac:dyDescent="0.35">
      <c r="A2" s="244" t="s">
        <v>1</v>
      </c>
      <c r="B2" s="247" t="s">
        <v>2</v>
      </c>
      <c r="C2" s="248"/>
      <c r="D2" s="249"/>
      <c r="E2" s="64" t="s">
        <v>3</v>
      </c>
      <c r="F2" s="64" t="s">
        <v>3</v>
      </c>
      <c r="G2" s="64" t="s">
        <v>3</v>
      </c>
      <c r="H2" s="107" t="s">
        <v>3</v>
      </c>
      <c r="I2" s="64" t="s">
        <v>3</v>
      </c>
      <c r="J2" s="64" t="s">
        <v>3</v>
      </c>
      <c r="K2" s="64" t="s">
        <v>3</v>
      </c>
      <c r="L2" s="107" t="s">
        <v>3</v>
      </c>
      <c r="M2" s="13" t="s">
        <v>3</v>
      </c>
      <c r="N2" s="13" t="s">
        <v>3</v>
      </c>
      <c r="O2" s="13" t="s">
        <v>3</v>
      </c>
      <c r="P2" s="64" t="s">
        <v>3</v>
      </c>
      <c r="Q2" s="107" t="s">
        <v>3</v>
      </c>
      <c r="R2" s="64" t="s">
        <v>3</v>
      </c>
      <c r="S2" s="64" t="s">
        <v>3</v>
      </c>
      <c r="T2" s="64" t="s">
        <v>3</v>
      </c>
      <c r="U2" s="107" t="s">
        <v>3</v>
      </c>
      <c r="V2" s="64" t="s">
        <v>3</v>
      </c>
      <c r="W2" s="124" t="s">
        <v>3</v>
      </c>
      <c r="X2" s="64" t="s">
        <v>3</v>
      </c>
      <c r="Y2" s="124" t="s">
        <v>3</v>
      </c>
      <c r="Z2" s="64" t="s">
        <v>3</v>
      </c>
      <c r="AA2" s="64" t="s">
        <v>3</v>
      </c>
      <c r="AB2" s="64" t="s">
        <v>3</v>
      </c>
      <c r="AC2" s="64" t="s">
        <v>3</v>
      </c>
      <c r="AD2" s="107" t="s">
        <v>3</v>
      </c>
      <c r="AE2" s="64" t="s">
        <v>3</v>
      </c>
      <c r="AF2" s="64" t="s">
        <v>3</v>
      </c>
      <c r="AG2" s="107" t="s">
        <v>3</v>
      </c>
      <c r="AH2" s="64" t="s">
        <v>3</v>
      </c>
      <c r="AI2" s="107" t="s">
        <v>3</v>
      </c>
      <c r="AJ2" s="64" t="s">
        <v>3</v>
      </c>
      <c r="AK2" s="64" t="s">
        <v>3</v>
      </c>
      <c r="AL2" s="125" t="s">
        <v>3</v>
      </c>
      <c r="AM2" s="107" t="s">
        <v>86</v>
      </c>
      <c r="AN2" s="64" t="s">
        <v>3</v>
      </c>
      <c r="AO2" s="64" t="s">
        <v>3</v>
      </c>
      <c r="AP2" s="107" t="s">
        <v>86</v>
      </c>
      <c r="AQ2" s="64" t="s">
        <v>3</v>
      </c>
      <c r="AR2" s="64" t="s">
        <v>3</v>
      </c>
      <c r="AS2" s="107" t="s">
        <v>3</v>
      </c>
      <c r="AT2" s="64" t="s">
        <v>3</v>
      </c>
      <c r="AU2" s="64" t="s">
        <v>3</v>
      </c>
      <c r="AV2" s="107" t="s">
        <v>3</v>
      </c>
      <c r="AW2" s="64" t="s">
        <v>3</v>
      </c>
      <c r="AX2" s="64" t="s">
        <v>3</v>
      </c>
      <c r="AY2" s="64" t="s">
        <v>3</v>
      </c>
      <c r="AZ2" s="107" t="s">
        <v>3</v>
      </c>
      <c r="BA2" s="64" t="s">
        <v>3</v>
      </c>
      <c r="BB2" s="107" t="s">
        <v>3</v>
      </c>
      <c r="BC2" s="64" t="s">
        <v>3</v>
      </c>
      <c r="BD2" s="107" t="s">
        <v>3</v>
      </c>
      <c r="BE2" s="64" t="s">
        <v>3</v>
      </c>
      <c r="BF2" s="64" t="s">
        <v>3</v>
      </c>
      <c r="BG2" s="64" t="s">
        <v>3</v>
      </c>
      <c r="BH2" s="107" t="s">
        <v>3</v>
      </c>
      <c r="BI2" s="64" t="s">
        <v>3</v>
      </c>
      <c r="BJ2" s="64" t="s">
        <v>3</v>
      </c>
      <c r="BK2" s="107" t="s">
        <v>3</v>
      </c>
      <c r="BL2" s="64" t="s">
        <v>3</v>
      </c>
      <c r="BM2" s="64" t="s">
        <v>3</v>
      </c>
      <c r="BN2" s="126" t="s">
        <v>3</v>
      </c>
      <c r="BO2" s="107" t="s">
        <v>3</v>
      </c>
      <c r="BP2" s="64" t="s">
        <v>3</v>
      </c>
      <c r="BQ2" s="64" t="s">
        <v>3</v>
      </c>
      <c r="BR2" s="107" t="s">
        <v>3</v>
      </c>
      <c r="BS2" s="64" t="s">
        <v>3</v>
      </c>
      <c r="BT2" s="64" t="s">
        <v>3</v>
      </c>
      <c r="BU2" s="107" t="s">
        <v>3</v>
      </c>
      <c r="BV2" s="64" t="s">
        <v>3</v>
      </c>
      <c r="BW2" s="107" t="s">
        <v>3</v>
      </c>
      <c r="BX2" s="64" t="s">
        <v>3</v>
      </c>
      <c r="BY2" s="64" t="s">
        <v>3</v>
      </c>
      <c r="BZ2" s="64" t="s">
        <v>3</v>
      </c>
      <c r="CA2" s="107" t="s">
        <v>3</v>
      </c>
      <c r="CB2" s="64" t="s">
        <v>3</v>
      </c>
      <c r="CC2" s="135"/>
      <c r="CD2" s="107" t="s">
        <v>3</v>
      </c>
      <c r="CE2" s="107" t="s">
        <v>3</v>
      </c>
      <c r="CF2" s="64" t="s">
        <v>3</v>
      </c>
      <c r="CG2" s="64" t="s">
        <v>3</v>
      </c>
      <c r="CH2" s="64" t="s">
        <v>3</v>
      </c>
      <c r="CI2" s="107" t="s">
        <v>3</v>
      </c>
      <c r="CJ2" s="64" t="s">
        <v>3</v>
      </c>
      <c r="CK2" s="64"/>
      <c r="CL2" s="135"/>
      <c r="CM2" s="128"/>
    </row>
    <row r="3" spans="1:92" s="3" customFormat="1" ht="22.5" customHeight="1" x14ac:dyDescent="0.35">
      <c r="A3" s="244"/>
      <c r="B3" s="246" t="s">
        <v>6</v>
      </c>
      <c r="C3" s="246" t="s">
        <v>7</v>
      </c>
      <c r="D3" s="246" t="s">
        <v>8</v>
      </c>
      <c r="E3" s="245" t="s">
        <v>9</v>
      </c>
      <c r="F3" s="245"/>
      <c r="G3" s="245"/>
      <c r="H3" s="245"/>
      <c r="I3" s="245"/>
      <c r="J3" s="245"/>
      <c r="K3" s="245"/>
      <c r="L3" s="244" t="s">
        <v>10</v>
      </c>
      <c r="M3" s="244"/>
      <c r="N3" s="244"/>
      <c r="O3" s="244"/>
      <c r="P3" s="194" t="s">
        <v>11</v>
      </c>
      <c r="Q3" s="195"/>
      <c r="R3" s="195"/>
      <c r="S3" s="195"/>
      <c r="T3" s="195"/>
      <c r="U3" s="196"/>
      <c r="V3" s="245" t="s">
        <v>12</v>
      </c>
      <c r="W3" s="245"/>
      <c r="X3" s="245"/>
      <c r="Y3" s="245"/>
      <c r="Z3" s="245"/>
      <c r="AA3" s="245"/>
      <c r="AB3" s="245"/>
      <c r="AC3" s="194" t="s">
        <v>13</v>
      </c>
      <c r="AD3" s="195"/>
      <c r="AE3" s="195"/>
      <c r="AF3" s="195"/>
      <c r="AG3" s="195"/>
      <c r="AH3" s="195"/>
      <c r="AI3" s="195"/>
      <c r="AJ3" s="195"/>
      <c r="AK3" s="245"/>
      <c r="AL3" s="245"/>
      <c r="AM3" s="245"/>
      <c r="AN3" s="245"/>
      <c r="AO3" s="245"/>
      <c r="AP3" s="245"/>
      <c r="AQ3" s="245"/>
      <c r="AR3" s="194" t="s">
        <v>15</v>
      </c>
      <c r="AS3" s="195"/>
      <c r="AT3" s="195"/>
      <c r="AU3" s="195"/>
      <c r="AV3" s="195"/>
      <c r="AW3" s="195"/>
      <c r="AX3" s="195"/>
      <c r="AY3" s="194" t="s">
        <v>16</v>
      </c>
      <c r="AZ3" s="195"/>
      <c r="BA3" s="195"/>
      <c r="BB3" s="195"/>
      <c r="BC3" s="195"/>
      <c r="BD3" s="195"/>
      <c r="BE3" s="195"/>
      <c r="BF3" s="195"/>
      <c r="BG3" s="195"/>
      <c r="BH3" s="194" t="s">
        <v>17</v>
      </c>
      <c r="BI3" s="195"/>
      <c r="BJ3" s="195"/>
      <c r="BK3" s="195"/>
      <c r="BL3" s="195"/>
      <c r="BM3" s="196"/>
      <c r="BN3" s="194" t="s">
        <v>18</v>
      </c>
      <c r="BO3" s="195"/>
      <c r="BP3" s="195"/>
      <c r="BQ3" s="195"/>
      <c r="BR3" s="195"/>
      <c r="BS3" s="195"/>
      <c r="BT3" s="195"/>
      <c r="BU3" s="127"/>
      <c r="BV3" s="127"/>
      <c r="BW3" s="194" t="s">
        <v>19</v>
      </c>
      <c r="BX3" s="195"/>
      <c r="BY3" s="195"/>
      <c r="BZ3" s="195"/>
      <c r="CA3" s="195"/>
      <c r="CB3" s="195"/>
      <c r="CC3" s="195"/>
      <c r="CD3" s="195"/>
      <c r="CE3" s="194" t="s">
        <v>20</v>
      </c>
      <c r="CF3" s="195"/>
      <c r="CG3" s="195"/>
      <c r="CH3" s="195"/>
      <c r="CI3" s="195"/>
      <c r="CJ3" s="195"/>
      <c r="CK3" s="195"/>
      <c r="CL3" s="196"/>
      <c r="CM3" s="129"/>
      <c r="CN3" s="1"/>
    </row>
    <row r="4" spans="1:92" s="3" customFormat="1" ht="48" customHeight="1" x14ac:dyDescent="0.35">
      <c r="A4" s="244"/>
      <c r="B4" s="246"/>
      <c r="C4" s="246"/>
      <c r="D4" s="246"/>
      <c r="E4" s="73">
        <v>43374</v>
      </c>
      <c r="F4" s="73">
        <v>43405</v>
      </c>
      <c r="G4" s="73" t="s">
        <v>87</v>
      </c>
      <c r="H4" s="73" t="s">
        <v>88</v>
      </c>
      <c r="I4" s="73" t="s">
        <v>89</v>
      </c>
      <c r="J4" s="73" t="s">
        <v>90</v>
      </c>
      <c r="K4" s="73" t="s">
        <v>91</v>
      </c>
      <c r="L4" s="75">
        <v>43253</v>
      </c>
      <c r="M4" s="75">
        <v>43253</v>
      </c>
      <c r="N4" s="75">
        <v>43345</v>
      </c>
      <c r="O4" s="75">
        <v>43375</v>
      </c>
      <c r="P4" s="67">
        <v>43346</v>
      </c>
      <c r="Q4" s="67" t="s">
        <v>92</v>
      </c>
      <c r="R4" s="67" t="s">
        <v>93</v>
      </c>
      <c r="S4" s="67" t="s">
        <v>94</v>
      </c>
      <c r="T4" s="67" t="s">
        <v>95</v>
      </c>
      <c r="U4" s="67" t="s">
        <v>96</v>
      </c>
      <c r="V4" s="45">
        <v>43194</v>
      </c>
      <c r="W4" s="45">
        <v>43408</v>
      </c>
      <c r="X4" s="45">
        <v>43408</v>
      </c>
      <c r="Y4" s="45" t="s">
        <v>97</v>
      </c>
      <c r="Z4" s="45" t="s">
        <v>97</v>
      </c>
      <c r="AA4" s="45" t="s">
        <v>98</v>
      </c>
      <c r="AB4" s="45" t="s">
        <v>99</v>
      </c>
      <c r="AC4" s="46">
        <v>43225</v>
      </c>
      <c r="AD4" s="46">
        <v>43225</v>
      </c>
      <c r="AE4" s="46">
        <v>43409</v>
      </c>
      <c r="AF4" s="46" t="s">
        <v>100</v>
      </c>
      <c r="AG4" s="46" t="s">
        <v>100</v>
      </c>
      <c r="AH4" s="46" t="s">
        <v>101</v>
      </c>
      <c r="AI4" s="46" t="s">
        <v>102</v>
      </c>
      <c r="AJ4" s="46" t="s">
        <v>102</v>
      </c>
      <c r="AK4" s="49">
        <v>43226</v>
      </c>
      <c r="AL4" s="49">
        <v>43440</v>
      </c>
      <c r="AM4" s="49">
        <v>43440</v>
      </c>
      <c r="AN4" s="49" t="s">
        <v>103</v>
      </c>
      <c r="AO4" s="49" t="s">
        <v>104</v>
      </c>
      <c r="AP4" s="49" t="s">
        <v>105</v>
      </c>
      <c r="AQ4" s="49" t="s">
        <v>106</v>
      </c>
      <c r="AR4" s="68">
        <v>43258</v>
      </c>
      <c r="AS4" s="68">
        <v>43411</v>
      </c>
      <c r="AT4" s="68" t="s">
        <v>107</v>
      </c>
      <c r="AU4" s="68" t="s">
        <v>108</v>
      </c>
      <c r="AV4" s="68" t="s">
        <v>108</v>
      </c>
      <c r="AW4" s="68" t="s">
        <v>109</v>
      </c>
      <c r="AX4" s="68" t="s">
        <v>110</v>
      </c>
      <c r="AY4" s="80">
        <v>43198</v>
      </c>
      <c r="AZ4" s="80">
        <v>43259</v>
      </c>
      <c r="BA4" s="80">
        <v>43381</v>
      </c>
      <c r="BB4" s="80">
        <v>43381</v>
      </c>
      <c r="BC4" s="80" t="s">
        <v>111</v>
      </c>
      <c r="BD4" s="80" t="s">
        <v>112</v>
      </c>
      <c r="BE4" s="80" t="s">
        <v>113</v>
      </c>
      <c r="BF4" s="80" t="s">
        <v>114</v>
      </c>
      <c r="BG4" s="80" t="s">
        <v>115</v>
      </c>
      <c r="BH4" s="85">
        <v>43260</v>
      </c>
      <c r="BI4" s="85">
        <v>43321</v>
      </c>
      <c r="BJ4" s="85" t="s">
        <v>116</v>
      </c>
      <c r="BK4" s="85" t="s">
        <v>117</v>
      </c>
      <c r="BL4" s="85" t="s">
        <v>117</v>
      </c>
      <c r="BM4" s="85" t="s">
        <v>118</v>
      </c>
      <c r="BN4" s="104">
        <v>43169</v>
      </c>
      <c r="BO4" s="104">
        <v>43353</v>
      </c>
      <c r="BP4" s="104">
        <v>43383</v>
      </c>
      <c r="BQ4" s="104" t="s">
        <v>119</v>
      </c>
      <c r="BR4" s="104" t="s">
        <v>120</v>
      </c>
      <c r="BS4" s="104" t="s">
        <v>120</v>
      </c>
      <c r="BT4" s="104" t="s">
        <v>121</v>
      </c>
      <c r="BU4" s="104" t="s">
        <v>122</v>
      </c>
      <c r="BV4" s="104" t="s">
        <v>122</v>
      </c>
      <c r="BW4" s="94">
        <v>43111</v>
      </c>
      <c r="BX4" s="94">
        <v>43262</v>
      </c>
      <c r="BY4" s="94">
        <v>43445</v>
      </c>
      <c r="BZ4" s="94" t="s">
        <v>123</v>
      </c>
      <c r="CA4" s="94" t="s">
        <v>123</v>
      </c>
      <c r="CB4" s="94" t="s">
        <v>124</v>
      </c>
      <c r="CC4" s="94" t="s">
        <v>125</v>
      </c>
      <c r="CD4" s="94" t="s">
        <v>125</v>
      </c>
      <c r="CE4" s="75">
        <v>43263</v>
      </c>
      <c r="CF4" s="75">
        <v>43263</v>
      </c>
      <c r="CG4" s="75">
        <v>43416</v>
      </c>
      <c r="CH4" s="75" t="s">
        <v>126</v>
      </c>
      <c r="CI4" s="75" t="s">
        <v>127</v>
      </c>
      <c r="CJ4" s="75" t="s">
        <v>127</v>
      </c>
      <c r="CK4" s="75" t="s">
        <v>128</v>
      </c>
      <c r="CL4" s="99" t="s">
        <v>129</v>
      </c>
      <c r="CM4" s="77" t="s">
        <v>60</v>
      </c>
      <c r="CN4" s="5"/>
    </row>
    <row r="5" spans="1:92" ht="49.5" x14ac:dyDescent="0.35">
      <c r="A5" s="6">
        <v>1</v>
      </c>
      <c r="B5" s="7" t="s">
        <v>61</v>
      </c>
      <c r="C5" s="111">
        <v>7700</v>
      </c>
      <c r="D5" s="9">
        <v>180201</v>
      </c>
      <c r="E5" s="10">
        <v>1390</v>
      </c>
      <c r="F5" s="11">
        <v>1815</v>
      </c>
      <c r="G5" s="11">
        <v>2265</v>
      </c>
      <c r="H5" s="11"/>
      <c r="I5" s="11">
        <v>3210</v>
      </c>
      <c r="J5" s="11">
        <v>1880</v>
      </c>
      <c r="K5" s="11">
        <v>1325</v>
      </c>
      <c r="L5" s="28"/>
      <c r="M5" s="28">
        <v>1980</v>
      </c>
      <c r="N5" s="28">
        <f>1520+1365</f>
        <v>2885</v>
      </c>
      <c r="O5" s="28">
        <v>1500</v>
      </c>
      <c r="P5" s="32">
        <v>2055</v>
      </c>
      <c r="Q5" s="32"/>
      <c r="R5" s="113">
        <v>1985</v>
      </c>
      <c r="S5" s="113">
        <v>1555</v>
      </c>
      <c r="T5" s="32">
        <v>2075</v>
      </c>
      <c r="U5" s="32"/>
      <c r="V5" s="37">
        <v>2385</v>
      </c>
      <c r="W5" s="37"/>
      <c r="X5" s="37">
        <v>1900</v>
      </c>
      <c r="Y5" s="37"/>
      <c r="Z5" s="37">
        <v>2065</v>
      </c>
      <c r="AA5" s="37">
        <v>2290</v>
      </c>
      <c r="AB5" s="37">
        <v>1210</v>
      </c>
      <c r="AC5" s="41">
        <v>1800</v>
      </c>
      <c r="AD5" s="41"/>
      <c r="AE5" s="41">
        <v>2115</v>
      </c>
      <c r="AF5" s="41">
        <v>1800</v>
      </c>
      <c r="AG5" s="41"/>
      <c r="AH5" s="41">
        <v>2200</v>
      </c>
      <c r="AI5" s="41"/>
      <c r="AJ5" s="41">
        <v>1705</v>
      </c>
      <c r="AK5" s="50">
        <v>1875</v>
      </c>
      <c r="AL5" s="50">
        <v>1630</v>
      </c>
      <c r="AM5" s="50"/>
      <c r="AN5" s="50">
        <v>2310</v>
      </c>
      <c r="AO5" s="50">
        <v>1770</v>
      </c>
      <c r="AP5" s="50"/>
      <c r="AQ5" s="50">
        <v>2020</v>
      </c>
      <c r="AR5" s="69">
        <v>1955</v>
      </c>
      <c r="AS5" s="69"/>
      <c r="AT5" s="69">
        <v>1700</v>
      </c>
      <c r="AU5" s="69">
        <v>1910</v>
      </c>
      <c r="AV5" s="69"/>
      <c r="AW5" s="69">
        <v>1870</v>
      </c>
      <c r="AX5" s="69">
        <v>2120</v>
      </c>
      <c r="AY5" s="81">
        <v>1230</v>
      </c>
      <c r="AZ5" s="81"/>
      <c r="BA5" s="81">
        <v>2190</v>
      </c>
      <c r="BB5" s="81"/>
      <c r="BC5" s="81">
        <v>2040</v>
      </c>
      <c r="BD5" s="81"/>
      <c r="BE5" s="81">
        <v>1820</v>
      </c>
      <c r="BF5" s="81">
        <v>1580</v>
      </c>
      <c r="BG5" s="81">
        <v>2810</v>
      </c>
      <c r="BH5" s="86"/>
      <c r="BI5" s="86">
        <v>1540</v>
      </c>
      <c r="BJ5" s="86">
        <v>1550</v>
      </c>
      <c r="BK5" s="86"/>
      <c r="BL5" s="86">
        <v>1465</v>
      </c>
      <c r="BM5" s="86">
        <v>2130</v>
      </c>
      <c r="BN5" s="105">
        <v>2400</v>
      </c>
      <c r="BO5" s="105"/>
      <c r="BP5" s="105">
        <v>1900</v>
      </c>
      <c r="BQ5" s="105">
        <v>1910</v>
      </c>
      <c r="BR5" s="105"/>
      <c r="BS5" s="105">
        <v>1515</v>
      </c>
      <c r="BT5" s="105">
        <v>2015</v>
      </c>
      <c r="BU5" s="105"/>
      <c r="BV5" s="105">
        <v>1860</v>
      </c>
      <c r="BW5" s="95"/>
      <c r="BX5" s="95">
        <v>1710</v>
      </c>
      <c r="BY5" s="95">
        <v>1860</v>
      </c>
      <c r="BZ5" s="95">
        <v>1740</v>
      </c>
      <c r="CA5" s="95"/>
      <c r="CB5" s="95">
        <v>1630</v>
      </c>
      <c r="CC5" s="95">
        <v>1630</v>
      </c>
      <c r="CD5" s="95"/>
      <c r="CE5" s="28"/>
      <c r="CF5" s="28">
        <v>1130</v>
      </c>
      <c r="CG5" s="28">
        <v>1950</v>
      </c>
      <c r="CH5" s="28">
        <v>1270</v>
      </c>
      <c r="CI5" s="28"/>
      <c r="CJ5" s="28">
        <v>1330</v>
      </c>
      <c r="CK5" s="28">
        <v>1995</v>
      </c>
      <c r="CL5" s="100">
        <v>1220</v>
      </c>
      <c r="CM5" s="130">
        <f t="shared" ref="CM5:CM16" si="0">SUM(E5:CL5)</f>
        <v>111970</v>
      </c>
    </row>
    <row r="6" spans="1:92" ht="49.5" x14ac:dyDescent="0.35">
      <c r="A6" s="250">
        <v>2</v>
      </c>
      <c r="B6" s="7" t="s">
        <v>62</v>
      </c>
      <c r="C6" s="111">
        <v>35000</v>
      </c>
      <c r="D6" s="9">
        <v>180102</v>
      </c>
      <c r="E6" s="10"/>
      <c r="F6" s="11"/>
      <c r="G6" s="11"/>
      <c r="H6" s="11">
        <v>59</v>
      </c>
      <c r="I6" s="11"/>
      <c r="J6" s="11"/>
      <c r="K6" s="11"/>
      <c r="L6" s="28">
        <v>49</v>
      </c>
      <c r="M6" s="28"/>
      <c r="N6" s="28"/>
      <c r="O6" s="28"/>
      <c r="P6" s="32"/>
      <c r="Q6" s="32">
        <v>54</v>
      </c>
      <c r="R6" s="113"/>
      <c r="S6" s="113"/>
      <c r="T6" s="32"/>
      <c r="U6" s="32">
        <v>54</v>
      </c>
      <c r="V6" s="37"/>
      <c r="W6" s="37">
        <v>54</v>
      </c>
      <c r="X6" s="37"/>
      <c r="Y6" s="37">
        <v>108</v>
      </c>
      <c r="Z6" s="37"/>
      <c r="AA6" s="37"/>
      <c r="AB6" s="37"/>
      <c r="AC6" s="41"/>
      <c r="AD6" s="41">
        <v>58</v>
      </c>
      <c r="AE6" s="41"/>
      <c r="AF6" s="41"/>
      <c r="AG6" s="41">
        <v>49</v>
      </c>
      <c r="AH6" s="41"/>
      <c r="AI6" s="41">
        <v>58</v>
      </c>
      <c r="AJ6" s="41"/>
      <c r="AK6" s="50"/>
      <c r="AL6" s="50"/>
      <c r="AM6" s="50">
        <v>57</v>
      </c>
      <c r="AN6" s="50"/>
      <c r="AO6" s="50"/>
      <c r="AP6" s="50">
        <v>56</v>
      </c>
      <c r="AQ6" s="50"/>
      <c r="AR6" s="69"/>
      <c r="AS6" s="69">
        <v>58</v>
      </c>
      <c r="AT6" s="69"/>
      <c r="AU6" s="69"/>
      <c r="AV6" s="69">
        <v>47</v>
      </c>
      <c r="AW6" s="69"/>
      <c r="AX6" s="69"/>
      <c r="AY6" s="81"/>
      <c r="AZ6" s="81">
        <v>58</v>
      </c>
      <c r="BA6" s="81"/>
      <c r="BB6" s="81"/>
      <c r="BC6" s="81"/>
      <c r="BD6" s="81">
        <v>55</v>
      </c>
      <c r="BE6" s="81"/>
      <c r="BF6" s="81"/>
      <c r="BG6" s="81"/>
      <c r="BH6" s="86">
        <v>58</v>
      </c>
      <c r="BI6" s="86"/>
      <c r="BJ6" s="86"/>
      <c r="BK6" s="86">
        <v>58</v>
      </c>
      <c r="BL6" s="86"/>
      <c r="BM6" s="86"/>
      <c r="BN6" s="105"/>
      <c r="BO6" s="105">
        <v>58</v>
      </c>
      <c r="BP6" s="105"/>
      <c r="BQ6" s="105"/>
      <c r="BR6" s="105">
        <v>33</v>
      </c>
      <c r="BS6" s="105"/>
      <c r="BT6" s="105"/>
      <c r="BU6" s="105">
        <v>58</v>
      </c>
      <c r="BV6" s="105"/>
      <c r="BW6" s="95">
        <v>40</v>
      </c>
      <c r="BX6" s="95"/>
      <c r="BY6" s="95"/>
      <c r="BZ6" s="95"/>
      <c r="CA6" s="95">
        <v>56</v>
      </c>
      <c r="CB6" s="95"/>
      <c r="CC6" s="95"/>
      <c r="CD6" s="95">
        <v>58</v>
      </c>
      <c r="CE6" s="28">
        <v>47</v>
      </c>
      <c r="CF6" s="28"/>
      <c r="CG6" s="28"/>
      <c r="CH6" s="28"/>
      <c r="CI6" s="28">
        <v>68</v>
      </c>
      <c r="CJ6" s="28"/>
      <c r="CK6" s="28"/>
      <c r="CL6" s="100"/>
      <c r="CM6" s="130">
        <f t="shared" si="0"/>
        <v>1408</v>
      </c>
    </row>
    <row r="7" spans="1:92" ht="49.5" x14ac:dyDescent="0.35">
      <c r="A7" s="251"/>
      <c r="B7" s="7" t="s">
        <v>62</v>
      </c>
      <c r="C7" s="111">
        <v>175000</v>
      </c>
      <c r="D7" s="9">
        <v>180103</v>
      </c>
      <c r="E7" s="10"/>
      <c r="F7" s="11"/>
      <c r="G7" s="11">
        <v>100</v>
      </c>
      <c r="H7" s="11"/>
      <c r="I7" s="11"/>
      <c r="J7" s="11"/>
      <c r="K7" s="11"/>
      <c r="L7" s="28"/>
      <c r="M7" s="28"/>
      <c r="N7" s="28"/>
      <c r="O7" s="28"/>
      <c r="P7" s="32"/>
      <c r="Q7" s="32"/>
      <c r="R7" s="113"/>
      <c r="S7" s="113"/>
      <c r="T7" s="32"/>
      <c r="U7" s="32"/>
      <c r="V7" s="37"/>
      <c r="W7" s="37"/>
      <c r="X7" s="37"/>
      <c r="Y7" s="37"/>
      <c r="Z7" s="37"/>
      <c r="AA7" s="37"/>
      <c r="AB7" s="37"/>
      <c r="AC7" s="41"/>
      <c r="AD7" s="41"/>
      <c r="AE7" s="41"/>
      <c r="AF7" s="41"/>
      <c r="AG7" s="41"/>
      <c r="AH7" s="41"/>
      <c r="AI7" s="41"/>
      <c r="AJ7" s="41"/>
      <c r="AK7" s="50"/>
      <c r="AL7" s="50"/>
      <c r="AM7" s="50"/>
      <c r="AN7" s="50"/>
      <c r="AO7" s="50"/>
      <c r="AP7" s="50"/>
      <c r="AQ7" s="50"/>
      <c r="AR7" s="69"/>
      <c r="AS7" s="69"/>
      <c r="AT7" s="69"/>
      <c r="AU7" s="69"/>
      <c r="AV7" s="69"/>
      <c r="AW7" s="69"/>
      <c r="AX7" s="69"/>
      <c r="AY7" s="81"/>
      <c r="AZ7" s="81"/>
      <c r="BA7" s="81"/>
      <c r="BB7" s="81">
        <v>8</v>
      </c>
      <c r="BC7" s="81"/>
      <c r="BD7" s="81"/>
      <c r="BE7" s="81"/>
      <c r="BF7" s="81"/>
      <c r="BG7" s="81"/>
      <c r="BH7" s="86"/>
      <c r="BI7" s="86"/>
      <c r="BJ7" s="86"/>
      <c r="BK7" s="86"/>
      <c r="BL7" s="86"/>
      <c r="BM7" s="86"/>
      <c r="BN7" s="105"/>
      <c r="BO7" s="105"/>
      <c r="BP7" s="105"/>
      <c r="BQ7" s="105"/>
      <c r="BR7" s="105">
        <v>4</v>
      </c>
      <c r="BS7" s="105"/>
      <c r="BT7" s="105"/>
      <c r="BU7" s="105"/>
      <c r="BV7" s="105"/>
      <c r="BW7" s="95"/>
      <c r="BX7" s="95"/>
      <c r="BY7" s="95"/>
      <c r="BZ7" s="95"/>
      <c r="CA7" s="95"/>
      <c r="CB7" s="95"/>
      <c r="CC7" s="95"/>
      <c r="CD7" s="95"/>
      <c r="CE7" s="28"/>
      <c r="CF7" s="28"/>
      <c r="CG7" s="28"/>
      <c r="CH7" s="28"/>
      <c r="CI7" s="28"/>
      <c r="CJ7" s="28"/>
      <c r="CK7" s="28"/>
      <c r="CL7" s="100"/>
      <c r="CM7" s="130">
        <f t="shared" si="0"/>
        <v>112</v>
      </c>
    </row>
    <row r="8" spans="1:92" ht="33" x14ac:dyDescent="0.35">
      <c r="A8" s="6">
        <v>3</v>
      </c>
      <c r="B8" s="7" t="s">
        <v>63</v>
      </c>
      <c r="C8" s="111">
        <v>7700</v>
      </c>
      <c r="D8" s="12" t="s">
        <v>130</v>
      </c>
      <c r="E8" s="10"/>
      <c r="F8" s="11"/>
      <c r="G8" s="11"/>
      <c r="H8" s="11"/>
      <c r="I8" s="11"/>
      <c r="J8" s="11"/>
      <c r="K8" s="11"/>
      <c r="L8" s="28"/>
      <c r="M8" s="28"/>
      <c r="N8" s="28"/>
      <c r="O8" s="28"/>
      <c r="P8" s="32"/>
      <c r="Q8" s="32"/>
      <c r="R8" s="113"/>
      <c r="S8" s="113"/>
      <c r="T8" s="32"/>
      <c r="U8" s="32"/>
      <c r="V8" s="37"/>
      <c r="W8" s="37"/>
      <c r="X8" s="37"/>
      <c r="Y8" s="37"/>
      <c r="Z8" s="37"/>
      <c r="AA8" s="37"/>
      <c r="AB8" s="37"/>
      <c r="AC8" s="41"/>
      <c r="AD8" s="41"/>
      <c r="AE8" s="41"/>
      <c r="AF8" s="41"/>
      <c r="AG8" s="41"/>
      <c r="AH8" s="41"/>
      <c r="AI8" s="41"/>
      <c r="AJ8" s="41"/>
      <c r="AK8" s="50"/>
      <c r="AL8" s="50"/>
      <c r="AM8" s="50"/>
      <c r="AN8" s="50"/>
      <c r="AO8" s="50"/>
      <c r="AP8" s="50"/>
      <c r="AQ8" s="50"/>
      <c r="AR8" s="69"/>
      <c r="AS8" s="69"/>
      <c r="AT8" s="69"/>
      <c r="AU8" s="69"/>
      <c r="AV8" s="69"/>
      <c r="AW8" s="69"/>
      <c r="AX8" s="69"/>
      <c r="AY8" s="81"/>
      <c r="AZ8" s="81"/>
      <c r="BA8" s="81"/>
      <c r="BB8" s="81"/>
      <c r="BC8" s="81"/>
      <c r="BD8" s="81"/>
      <c r="BE8" s="81"/>
      <c r="BF8" s="81"/>
      <c r="BG8" s="81"/>
      <c r="BH8" s="86"/>
      <c r="BI8" s="86"/>
      <c r="BJ8" s="86"/>
      <c r="BK8" s="86"/>
      <c r="BL8" s="86"/>
      <c r="BM8" s="86"/>
      <c r="BN8" s="105"/>
      <c r="BO8" s="105"/>
      <c r="BP8" s="105"/>
      <c r="BQ8" s="105"/>
      <c r="BR8" s="105"/>
      <c r="BS8" s="105"/>
      <c r="BT8" s="105"/>
      <c r="BU8" s="105"/>
      <c r="BV8" s="105"/>
      <c r="BW8" s="95"/>
      <c r="BX8" s="95"/>
      <c r="BY8" s="95"/>
      <c r="BZ8" s="95"/>
      <c r="CA8" s="95"/>
      <c r="CB8" s="95">
        <v>200</v>
      </c>
      <c r="CC8" s="95">
        <v>200</v>
      </c>
      <c r="CD8" s="95"/>
      <c r="CE8" s="28"/>
      <c r="CF8" s="28">
        <v>200</v>
      </c>
      <c r="CG8" s="28">
        <v>200</v>
      </c>
      <c r="CH8" s="28">
        <v>200</v>
      </c>
      <c r="CI8" s="28"/>
      <c r="CJ8" s="28">
        <v>100</v>
      </c>
      <c r="CK8" s="28">
        <v>200</v>
      </c>
      <c r="CL8" s="100">
        <v>200</v>
      </c>
      <c r="CM8" s="130">
        <f t="shared" si="0"/>
        <v>1500</v>
      </c>
    </row>
    <row r="9" spans="1:92" ht="33" x14ac:dyDescent="0.35">
      <c r="A9" s="6">
        <v>4</v>
      </c>
      <c r="B9" s="7" t="s">
        <v>64</v>
      </c>
      <c r="C9" s="111">
        <v>7700</v>
      </c>
      <c r="D9" s="9">
        <v>170204</v>
      </c>
      <c r="E9" s="10"/>
      <c r="F9" s="11"/>
      <c r="G9" s="11"/>
      <c r="H9" s="11"/>
      <c r="I9" s="11"/>
      <c r="J9" s="11"/>
      <c r="K9" s="11"/>
      <c r="L9" s="28"/>
      <c r="M9" s="28"/>
      <c r="N9" s="28"/>
      <c r="O9" s="28"/>
      <c r="P9" s="32"/>
      <c r="Q9" s="32"/>
      <c r="R9" s="113"/>
      <c r="S9" s="113"/>
      <c r="T9" s="32"/>
      <c r="U9" s="32"/>
      <c r="V9" s="37"/>
      <c r="W9" s="37"/>
      <c r="X9" s="37"/>
      <c r="Y9" s="37"/>
      <c r="Z9" s="37"/>
      <c r="AA9" s="37"/>
      <c r="AB9" s="37"/>
      <c r="AC9" s="41"/>
      <c r="AD9" s="41"/>
      <c r="AE9" s="41"/>
      <c r="AF9" s="41"/>
      <c r="AG9" s="41"/>
      <c r="AH9" s="41"/>
      <c r="AI9" s="41"/>
      <c r="AJ9" s="41"/>
      <c r="AK9" s="50"/>
      <c r="AL9" s="50"/>
      <c r="AM9" s="50"/>
      <c r="AN9" s="50"/>
      <c r="AO9" s="50"/>
      <c r="AP9" s="50"/>
      <c r="AQ9" s="50"/>
      <c r="AR9" s="69"/>
      <c r="AS9" s="69"/>
      <c r="AT9" s="69"/>
      <c r="AU9" s="69"/>
      <c r="AV9" s="69"/>
      <c r="AW9" s="69"/>
      <c r="AX9" s="69"/>
      <c r="AY9" s="81"/>
      <c r="AZ9" s="81"/>
      <c r="BA9" s="81"/>
      <c r="BB9" s="81"/>
      <c r="BC9" s="81"/>
      <c r="BD9" s="81"/>
      <c r="BE9" s="81"/>
      <c r="BF9" s="81"/>
      <c r="BG9" s="81"/>
      <c r="BH9" s="86"/>
      <c r="BI9" s="86"/>
      <c r="BJ9" s="86"/>
      <c r="BK9" s="86"/>
      <c r="BL9" s="86"/>
      <c r="BM9" s="86"/>
      <c r="BN9" s="105"/>
      <c r="BO9" s="105"/>
      <c r="BP9" s="105"/>
      <c r="BQ9" s="105"/>
      <c r="BR9" s="105"/>
      <c r="BS9" s="105"/>
      <c r="BT9" s="105"/>
      <c r="BU9" s="105"/>
      <c r="BV9" s="105"/>
      <c r="BW9" s="95"/>
      <c r="BX9" s="95"/>
      <c r="BY9" s="95"/>
      <c r="BZ9" s="95"/>
      <c r="CA9" s="95"/>
      <c r="CB9" s="95"/>
      <c r="CC9" s="95"/>
      <c r="CD9" s="95"/>
      <c r="CE9" s="28"/>
      <c r="CF9" s="28"/>
      <c r="CG9" s="28"/>
      <c r="CH9" s="28"/>
      <c r="CI9" s="28"/>
      <c r="CJ9" s="28"/>
      <c r="CK9" s="28"/>
      <c r="CL9" s="100"/>
      <c r="CM9" s="130">
        <f t="shared" si="0"/>
        <v>0</v>
      </c>
    </row>
    <row r="10" spans="1:92" ht="33" x14ac:dyDescent="0.35">
      <c r="A10" s="6">
        <v>5</v>
      </c>
      <c r="B10" s="7" t="s">
        <v>65</v>
      </c>
      <c r="C10" s="111">
        <v>7700</v>
      </c>
      <c r="D10" s="9">
        <v>160106</v>
      </c>
      <c r="E10" s="10"/>
      <c r="F10" s="11">
        <v>10</v>
      </c>
      <c r="G10" s="11"/>
      <c r="H10" s="11"/>
      <c r="I10" s="11"/>
      <c r="J10" s="11">
        <v>10</v>
      </c>
      <c r="K10" s="11"/>
      <c r="L10" s="28"/>
      <c r="M10" s="28"/>
      <c r="N10" s="28"/>
      <c r="O10" s="28"/>
      <c r="P10" s="32"/>
      <c r="Q10" s="32"/>
      <c r="R10" s="113"/>
      <c r="S10" s="113">
        <v>10</v>
      </c>
      <c r="T10" s="32"/>
      <c r="U10" s="32"/>
      <c r="V10" s="37"/>
      <c r="W10" s="37"/>
      <c r="X10" s="37"/>
      <c r="Y10" s="37"/>
      <c r="Z10" s="37">
        <v>10</v>
      </c>
      <c r="AA10" s="37"/>
      <c r="AB10" s="37"/>
      <c r="AC10" s="41"/>
      <c r="AD10" s="41"/>
      <c r="AE10" s="41"/>
      <c r="AF10" s="41"/>
      <c r="AG10" s="41"/>
      <c r="AH10" s="41"/>
      <c r="AI10" s="41"/>
      <c r="AJ10" s="41">
        <v>10</v>
      </c>
      <c r="AK10" s="50"/>
      <c r="AL10" s="50"/>
      <c r="AM10" s="50"/>
      <c r="AN10" s="50"/>
      <c r="AO10" s="50"/>
      <c r="AP10" s="50"/>
      <c r="AQ10" s="50"/>
      <c r="AR10" s="69"/>
      <c r="AS10" s="69"/>
      <c r="AT10" s="69"/>
      <c r="AU10" s="69"/>
      <c r="AV10" s="69"/>
      <c r="AW10" s="69"/>
      <c r="AX10" s="69"/>
      <c r="AY10" s="81"/>
      <c r="AZ10" s="81"/>
      <c r="BA10" s="81"/>
      <c r="BB10" s="81"/>
      <c r="BC10" s="81"/>
      <c r="BD10" s="81"/>
      <c r="BE10" s="81"/>
      <c r="BF10" s="81"/>
      <c r="BG10" s="81"/>
      <c r="BH10" s="86"/>
      <c r="BI10" s="86"/>
      <c r="BJ10" s="86"/>
      <c r="BK10" s="86"/>
      <c r="BL10" s="86">
        <v>10</v>
      </c>
      <c r="BM10" s="86"/>
      <c r="BN10" s="105">
        <v>25</v>
      </c>
      <c r="BO10" s="105"/>
      <c r="BP10" s="105"/>
      <c r="BQ10" s="105"/>
      <c r="BR10" s="105"/>
      <c r="BS10" s="105"/>
      <c r="BT10" s="105"/>
      <c r="BU10" s="105"/>
      <c r="BV10" s="105">
        <v>15</v>
      </c>
      <c r="BW10" s="95"/>
      <c r="BX10" s="95">
        <v>30</v>
      </c>
      <c r="BY10" s="95"/>
      <c r="BZ10" s="95"/>
      <c r="CA10" s="95"/>
      <c r="CB10" s="95"/>
      <c r="CC10" s="95"/>
      <c r="CD10" s="95"/>
      <c r="CE10" s="28"/>
      <c r="CF10" s="28"/>
      <c r="CG10" s="28"/>
      <c r="CH10" s="28"/>
      <c r="CI10" s="28"/>
      <c r="CJ10" s="28"/>
      <c r="CK10" s="28"/>
      <c r="CL10" s="100"/>
      <c r="CM10" s="130">
        <f t="shared" si="0"/>
        <v>130</v>
      </c>
    </row>
    <row r="11" spans="1:92" ht="31.5" customHeight="1" x14ac:dyDescent="0.35">
      <c r="A11" s="6">
        <v>6</v>
      </c>
      <c r="B11" s="7" t="s">
        <v>66</v>
      </c>
      <c r="C11" s="111">
        <v>7700</v>
      </c>
      <c r="D11" s="9"/>
      <c r="E11" s="10"/>
      <c r="F11" s="11"/>
      <c r="G11" s="11"/>
      <c r="H11" s="11"/>
      <c r="I11" s="11"/>
      <c r="J11" s="11"/>
      <c r="K11" s="11"/>
      <c r="L11" s="28"/>
      <c r="M11" s="28"/>
      <c r="N11" s="28"/>
      <c r="O11" s="28"/>
      <c r="P11" s="32"/>
      <c r="Q11" s="32"/>
      <c r="R11" s="113"/>
      <c r="S11" s="113"/>
      <c r="T11" s="32"/>
      <c r="U11" s="32"/>
      <c r="V11" s="37"/>
      <c r="W11" s="37"/>
      <c r="X11" s="37"/>
      <c r="Y11" s="37"/>
      <c r="Z11" s="37"/>
      <c r="AA11" s="37"/>
      <c r="AB11" s="37"/>
      <c r="AC11" s="41"/>
      <c r="AD11" s="41"/>
      <c r="AE11" s="41"/>
      <c r="AF11" s="41"/>
      <c r="AG11" s="41"/>
      <c r="AH11" s="41"/>
      <c r="AI11" s="41"/>
      <c r="AJ11" s="41"/>
      <c r="AK11" s="50"/>
      <c r="AL11" s="50"/>
      <c r="AM11" s="50"/>
      <c r="AN11" s="50"/>
      <c r="AO11" s="50"/>
      <c r="AP11" s="50"/>
      <c r="AQ11" s="50"/>
      <c r="AR11" s="69"/>
      <c r="AS11" s="69"/>
      <c r="AT11" s="69"/>
      <c r="AU11" s="69"/>
      <c r="AV11" s="69"/>
      <c r="AW11" s="69"/>
      <c r="AX11" s="69"/>
      <c r="AY11" s="81"/>
      <c r="AZ11" s="81"/>
      <c r="BA11" s="81"/>
      <c r="BB11" s="81"/>
      <c r="BC11" s="81"/>
      <c r="BD11" s="81"/>
      <c r="BE11" s="81"/>
      <c r="BF11" s="81"/>
      <c r="BG11" s="81"/>
      <c r="BH11" s="86"/>
      <c r="BI11" s="86"/>
      <c r="BJ11" s="86"/>
      <c r="BK11" s="86"/>
      <c r="BL11" s="86"/>
      <c r="BM11" s="86"/>
      <c r="BN11" s="105"/>
      <c r="BO11" s="105"/>
      <c r="BP11" s="105"/>
      <c r="BQ11" s="105"/>
      <c r="BR11" s="105"/>
      <c r="BS11" s="105"/>
      <c r="BT11" s="105"/>
      <c r="BU11" s="105"/>
      <c r="BV11" s="105"/>
      <c r="BW11" s="95"/>
      <c r="BX11" s="95"/>
      <c r="BY11" s="95"/>
      <c r="BZ11" s="95"/>
      <c r="CA11" s="95"/>
      <c r="CB11" s="95"/>
      <c r="CC11" s="95"/>
      <c r="CD11" s="95"/>
      <c r="CE11" s="28"/>
      <c r="CF11" s="28"/>
      <c r="CG11" s="28"/>
      <c r="CH11" s="28"/>
      <c r="CI11" s="28"/>
      <c r="CJ11" s="28"/>
      <c r="CK11" s="28"/>
      <c r="CL11" s="100"/>
      <c r="CM11" s="130">
        <f t="shared" si="0"/>
        <v>0</v>
      </c>
    </row>
    <row r="12" spans="1:92" ht="49.5" x14ac:dyDescent="0.35">
      <c r="A12" s="6">
        <v>7</v>
      </c>
      <c r="B12" s="7" t="s">
        <v>67</v>
      </c>
      <c r="C12" s="111">
        <v>5500</v>
      </c>
      <c r="D12" s="9">
        <v>160110</v>
      </c>
      <c r="E12" s="10"/>
      <c r="F12" s="11">
        <v>1600</v>
      </c>
      <c r="G12" s="11">
        <v>1000</v>
      </c>
      <c r="H12" s="11"/>
      <c r="I12" s="11"/>
      <c r="J12" s="11">
        <v>1200</v>
      </c>
      <c r="K12" s="11">
        <v>1000</v>
      </c>
      <c r="L12" s="28"/>
      <c r="M12" s="28">
        <v>1000</v>
      </c>
      <c r="N12" s="28">
        <v>1000</v>
      </c>
      <c r="O12" s="28">
        <v>200</v>
      </c>
      <c r="P12" s="32">
        <v>500</v>
      </c>
      <c r="Q12" s="32"/>
      <c r="R12" s="113">
        <v>1000</v>
      </c>
      <c r="S12" s="113">
        <v>600</v>
      </c>
      <c r="T12" s="32">
        <v>1000</v>
      </c>
      <c r="U12" s="32"/>
      <c r="V12" s="37">
        <v>1000</v>
      </c>
      <c r="W12" s="37"/>
      <c r="X12" s="37">
        <v>1000</v>
      </c>
      <c r="Y12" s="37"/>
      <c r="Z12" s="37">
        <v>800</v>
      </c>
      <c r="AA12" s="37">
        <v>600</v>
      </c>
      <c r="AB12" s="37"/>
      <c r="AC12" s="41">
        <v>1200</v>
      </c>
      <c r="AD12" s="41"/>
      <c r="AE12" s="41">
        <v>800</v>
      </c>
      <c r="AF12" s="41">
        <v>1000</v>
      </c>
      <c r="AG12" s="41"/>
      <c r="AH12" s="41">
        <v>800</v>
      </c>
      <c r="AI12" s="41"/>
      <c r="AJ12" s="41">
        <v>1200</v>
      </c>
      <c r="AK12" s="50">
        <v>600</v>
      </c>
      <c r="AL12" s="50">
        <v>1400</v>
      </c>
      <c r="AM12" s="50"/>
      <c r="AN12" s="50">
        <v>800</v>
      </c>
      <c r="AO12" s="50">
        <v>1000</v>
      </c>
      <c r="AP12" s="50"/>
      <c r="AQ12" s="50">
        <v>800</v>
      </c>
      <c r="AR12" s="69">
        <v>800</v>
      </c>
      <c r="AS12" s="69"/>
      <c r="AT12" s="69">
        <v>1600</v>
      </c>
      <c r="AU12" s="69">
        <v>1200</v>
      </c>
      <c r="AV12" s="69"/>
      <c r="AW12" s="69">
        <v>600</v>
      </c>
      <c r="AX12" s="69">
        <v>1000</v>
      </c>
      <c r="AY12" s="81">
        <v>600</v>
      </c>
      <c r="AZ12" s="81"/>
      <c r="BA12" s="81">
        <v>1000</v>
      </c>
      <c r="BB12" s="81"/>
      <c r="BC12" s="81">
        <v>600</v>
      </c>
      <c r="BD12" s="81"/>
      <c r="BE12" s="81">
        <v>1000</v>
      </c>
      <c r="BF12" s="81">
        <v>600</v>
      </c>
      <c r="BG12" s="81">
        <v>1200</v>
      </c>
      <c r="BH12" s="86"/>
      <c r="BI12" s="86">
        <v>800</v>
      </c>
      <c r="BJ12" s="86">
        <v>1600</v>
      </c>
      <c r="BK12" s="86"/>
      <c r="BL12" s="86">
        <v>1400</v>
      </c>
      <c r="BM12" s="86">
        <v>1000</v>
      </c>
      <c r="BN12" s="105">
        <v>600</v>
      </c>
      <c r="BO12" s="105"/>
      <c r="BP12" s="105">
        <v>1200</v>
      </c>
      <c r="BQ12" s="105">
        <v>2000</v>
      </c>
      <c r="BR12" s="105"/>
      <c r="BS12" s="105">
        <v>1600</v>
      </c>
      <c r="BT12" s="105">
        <v>600</v>
      </c>
      <c r="BU12" s="105"/>
      <c r="BV12" s="105">
        <v>1200</v>
      </c>
      <c r="BW12" s="95"/>
      <c r="BX12" s="95">
        <v>1200</v>
      </c>
      <c r="BY12" s="95">
        <v>1200</v>
      </c>
      <c r="BZ12" s="95">
        <v>800</v>
      </c>
      <c r="CA12" s="95"/>
      <c r="CB12" s="95">
        <v>1400</v>
      </c>
      <c r="CC12" s="95">
        <v>600</v>
      </c>
      <c r="CD12" s="95"/>
      <c r="CE12" s="28"/>
      <c r="CF12" s="28">
        <v>1800</v>
      </c>
      <c r="CG12" s="28">
        <v>2000</v>
      </c>
      <c r="CH12" s="28">
        <v>1400</v>
      </c>
      <c r="CI12" s="28"/>
      <c r="CJ12" s="28">
        <v>1400</v>
      </c>
      <c r="CK12" s="28">
        <v>1200</v>
      </c>
      <c r="CL12" s="100">
        <v>1200</v>
      </c>
      <c r="CM12" s="130">
        <f t="shared" si="0"/>
        <v>59500</v>
      </c>
    </row>
    <row r="13" spans="1:92" ht="34.5" customHeight="1" x14ac:dyDescent="0.35">
      <c r="A13" s="6">
        <v>8</v>
      </c>
      <c r="B13" s="7" t="s">
        <v>68</v>
      </c>
      <c r="C13" s="111">
        <v>7700</v>
      </c>
      <c r="D13" s="12" t="s">
        <v>69</v>
      </c>
      <c r="E13" s="10"/>
      <c r="F13" s="11"/>
      <c r="G13" s="11"/>
      <c r="H13" s="11"/>
      <c r="I13" s="11"/>
      <c r="J13" s="11"/>
      <c r="K13" s="11"/>
      <c r="L13" s="28"/>
      <c r="M13" s="28"/>
      <c r="N13" s="28">
        <v>30</v>
      </c>
      <c r="O13" s="28"/>
      <c r="P13" s="32"/>
      <c r="Q13" s="32"/>
      <c r="R13" s="113"/>
      <c r="S13" s="113"/>
      <c r="T13" s="32"/>
      <c r="U13" s="32"/>
      <c r="V13" s="37"/>
      <c r="W13" s="37"/>
      <c r="X13" s="37"/>
      <c r="Y13" s="37"/>
      <c r="Z13" s="37"/>
      <c r="AA13" s="37"/>
      <c r="AB13" s="37"/>
      <c r="AC13" s="41"/>
      <c r="AD13" s="41"/>
      <c r="AE13" s="41"/>
      <c r="AF13" s="41"/>
      <c r="AG13" s="41"/>
      <c r="AH13" s="41"/>
      <c r="AI13" s="41"/>
      <c r="AJ13" s="41"/>
      <c r="AK13" s="50"/>
      <c r="AL13" s="50"/>
      <c r="AM13" s="50"/>
      <c r="AN13" s="50"/>
      <c r="AO13" s="50"/>
      <c r="AP13" s="50"/>
      <c r="AQ13" s="50"/>
      <c r="AR13" s="69"/>
      <c r="AS13" s="69"/>
      <c r="AT13" s="69"/>
      <c r="AU13" s="69"/>
      <c r="AV13" s="69"/>
      <c r="AW13" s="69"/>
      <c r="AX13" s="69"/>
      <c r="AY13" s="81"/>
      <c r="AZ13" s="81"/>
      <c r="BA13" s="81"/>
      <c r="BB13" s="81"/>
      <c r="BC13" s="81"/>
      <c r="BD13" s="81"/>
      <c r="BE13" s="81"/>
      <c r="BF13" s="81"/>
      <c r="BG13" s="81"/>
      <c r="BH13" s="86"/>
      <c r="BI13" s="86"/>
      <c r="BJ13" s="86"/>
      <c r="BK13" s="86"/>
      <c r="BL13" s="86"/>
      <c r="BM13" s="86"/>
      <c r="BN13" s="105"/>
      <c r="BO13" s="105"/>
      <c r="BP13" s="105"/>
      <c r="BQ13" s="105"/>
      <c r="BR13" s="105"/>
      <c r="BS13" s="105"/>
      <c r="BT13" s="105"/>
      <c r="BU13" s="105"/>
      <c r="BV13" s="105"/>
      <c r="BW13" s="95"/>
      <c r="BX13" s="95"/>
      <c r="BY13" s="95"/>
      <c r="BZ13" s="95"/>
      <c r="CA13" s="95"/>
      <c r="CB13" s="95"/>
      <c r="CC13" s="95"/>
      <c r="CD13" s="95"/>
      <c r="CE13" s="28"/>
      <c r="CF13" s="28"/>
      <c r="CG13" s="28"/>
      <c r="CH13" s="28"/>
      <c r="CI13" s="28"/>
      <c r="CJ13" s="28">
        <v>130</v>
      </c>
      <c r="CK13" s="28">
        <v>150</v>
      </c>
      <c r="CL13" s="100">
        <v>200</v>
      </c>
      <c r="CM13" s="130">
        <f t="shared" si="0"/>
        <v>510</v>
      </c>
    </row>
    <row r="14" spans="1:92" ht="49.5" x14ac:dyDescent="0.35">
      <c r="A14" s="6">
        <v>9</v>
      </c>
      <c r="B14" s="7" t="s">
        <v>70</v>
      </c>
      <c r="C14" s="111">
        <v>7700</v>
      </c>
      <c r="D14" s="9">
        <v>130101</v>
      </c>
      <c r="E14" s="10"/>
      <c r="F14" s="11"/>
      <c r="G14" s="11"/>
      <c r="H14" s="11"/>
      <c r="I14" s="11"/>
      <c r="J14" s="11"/>
      <c r="K14" s="11">
        <v>5</v>
      </c>
      <c r="L14" s="28"/>
      <c r="M14" s="28"/>
      <c r="N14" s="28"/>
      <c r="O14" s="28"/>
      <c r="P14" s="32"/>
      <c r="Q14" s="32"/>
      <c r="R14" s="113"/>
      <c r="S14" s="113">
        <v>10</v>
      </c>
      <c r="T14" s="32"/>
      <c r="U14" s="32"/>
      <c r="V14" s="37"/>
      <c r="W14" s="37"/>
      <c r="X14" s="37"/>
      <c r="Y14" s="37"/>
      <c r="Z14" s="37">
        <v>5</v>
      </c>
      <c r="AA14" s="37"/>
      <c r="AB14" s="37"/>
      <c r="AC14" s="41"/>
      <c r="AD14" s="41"/>
      <c r="AE14" s="41"/>
      <c r="AF14" s="41">
        <v>15</v>
      </c>
      <c r="AG14" s="41"/>
      <c r="AH14" s="41"/>
      <c r="AI14" s="41"/>
      <c r="AJ14" s="41"/>
      <c r="AK14" s="50"/>
      <c r="AL14" s="50"/>
      <c r="AM14" s="50"/>
      <c r="AN14" s="50"/>
      <c r="AO14" s="50">
        <v>2</v>
      </c>
      <c r="AP14" s="50"/>
      <c r="AQ14" s="50"/>
      <c r="AR14" s="69"/>
      <c r="AS14" s="69"/>
      <c r="AT14" s="69"/>
      <c r="AU14" s="69">
        <v>10</v>
      </c>
      <c r="AV14" s="69"/>
      <c r="AW14" s="69"/>
      <c r="AX14" s="69"/>
      <c r="AY14" s="81"/>
      <c r="AZ14" s="81"/>
      <c r="BA14" s="81">
        <v>5</v>
      </c>
      <c r="BB14" s="81"/>
      <c r="BC14" s="81"/>
      <c r="BD14" s="81"/>
      <c r="BE14" s="81"/>
      <c r="BF14" s="81"/>
      <c r="BG14" s="81">
        <v>10</v>
      </c>
      <c r="BH14" s="86"/>
      <c r="BI14" s="86"/>
      <c r="BJ14" s="86"/>
      <c r="BK14" s="86"/>
      <c r="BL14" s="86"/>
      <c r="BM14" s="86">
        <v>10</v>
      </c>
      <c r="BN14" s="105"/>
      <c r="BO14" s="105"/>
      <c r="BP14" s="105"/>
      <c r="BQ14" s="105"/>
      <c r="BR14" s="105"/>
      <c r="BS14" s="105"/>
      <c r="BT14" s="105"/>
      <c r="BU14" s="105"/>
      <c r="BV14" s="105"/>
      <c r="BW14" s="95"/>
      <c r="BX14" s="95">
        <v>10</v>
      </c>
      <c r="BY14" s="95"/>
      <c r="BZ14" s="95"/>
      <c r="CA14" s="95"/>
      <c r="CB14" s="95"/>
      <c r="CC14" s="95"/>
      <c r="CD14" s="95"/>
      <c r="CE14" s="28"/>
      <c r="CF14" s="28"/>
      <c r="CG14" s="28">
        <v>10</v>
      </c>
      <c r="CH14" s="28"/>
      <c r="CI14" s="28"/>
      <c r="CJ14" s="28"/>
      <c r="CK14" s="28"/>
      <c r="CL14" s="100"/>
      <c r="CM14" s="130">
        <f t="shared" si="0"/>
        <v>92</v>
      </c>
    </row>
    <row r="15" spans="1:92" s="3" customFormat="1" ht="29.25" customHeight="1" x14ac:dyDescent="0.35">
      <c r="A15" s="13"/>
      <c r="B15" s="14" t="s">
        <v>71</v>
      </c>
      <c r="C15" s="15"/>
      <c r="D15" s="16"/>
      <c r="E15" s="120">
        <f t="shared" ref="E15:CL15" si="1">SUM(E5:E14)</f>
        <v>1390</v>
      </c>
      <c r="F15" s="18">
        <f t="shared" si="1"/>
        <v>3425</v>
      </c>
      <c r="G15" s="18">
        <f t="shared" si="1"/>
        <v>3365</v>
      </c>
      <c r="H15" s="18">
        <f t="shared" si="1"/>
        <v>59</v>
      </c>
      <c r="I15" s="18">
        <f t="shared" si="1"/>
        <v>3210</v>
      </c>
      <c r="J15" s="18">
        <f t="shared" si="1"/>
        <v>3090</v>
      </c>
      <c r="K15" s="18">
        <f t="shared" si="1"/>
        <v>2330</v>
      </c>
      <c r="L15" s="29">
        <f t="shared" si="1"/>
        <v>49</v>
      </c>
      <c r="M15" s="29">
        <f t="shared" si="1"/>
        <v>2980</v>
      </c>
      <c r="N15" s="29">
        <f t="shared" si="1"/>
        <v>3915</v>
      </c>
      <c r="O15" s="121">
        <f t="shared" si="1"/>
        <v>1700</v>
      </c>
      <c r="P15" s="34">
        <f t="shared" si="1"/>
        <v>2555</v>
      </c>
      <c r="Q15" s="34">
        <f t="shared" si="1"/>
        <v>54</v>
      </c>
      <c r="R15" s="34">
        <f t="shared" si="1"/>
        <v>2985</v>
      </c>
      <c r="S15" s="34">
        <f t="shared" si="1"/>
        <v>2175</v>
      </c>
      <c r="T15" s="34">
        <f t="shared" si="1"/>
        <v>3075</v>
      </c>
      <c r="U15" s="34">
        <f t="shared" si="1"/>
        <v>54</v>
      </c>
      <c r="V15" s="116">
        <f t="shared" si="1"/>
        <v>3385</v>
      </c>
      <c r="W15" s="38">
        <f t="shared" si="1"/>
        <v>54</v>
      </c>
      <c r="X15" s="38">
        <f t="shared" si="1"/>
        <v>2900</v>
      </c>
      <c r="Y15" s="38">
        <f t="shared" si="1"/>
        <v>108</v>
      </c>
      <c r="Z15" s="38">
        <f t="shared" si="1"/>
        <v>2880</v>
      </c>
      <c r="AA15" s="38">
        <f t="shared" si="1"/>
        <v>2890</v>
      </c>
      <c r="AB15" s="38">
        <f t="shared" si="1"/>
        <v>1210</v>
      </c>
      <c r="AC15" s="42">
        <f t="shared" si="1"/>
        <v>3000</v>
      </c>
      <c r="AD15" s="42">
        <f t="shared" si="1"/>
        <v>58</v>
      </c>
      <c r="AE15" s="42">
        <f t="shared" si="1"/>
        <v>2915</v>
      </c>
      <c r="AF15" s="42">
        <f t="shared" si="1"/>
        <v>2815</v>
      </c>
      <c r="AG15" s="42">
        <f t="shared" si="1"/>
        <v>49</v>
      </c>
      <c r="AH15" s="42">
        <f t="shared" si="1"/>
        <v>3000</v>
      </c>
      <c r="AI15" s="42">
        <f t="shared" si="1"/>
        <v>58</v>
      </c>
      <c r="AJ15" s="42">
        <f t="shared" si="1"/>
        <v>2915</v>
      </c>
      <c r="AK15" s="52">
        <f t="shared" si="1"/>
        <v>2475</v>
      </c>
      <c r="AL15" s="52">
        <f t="shared" si="1"/>
        <v>3030</v>
      </c>
      <c r="AM15" s="52">
        <f t="shared" si="1"/>
        <v>57</v>
      </c>
      <c r="AN15" s="52">
        <f t="shared" si="1"/>
        <v>3110</v>
      </c>
      <c r="AO15" s="52">
        <f t="shared" si="1"/>
        <v>2772</v>
      </c>
      <c r="AP15" s="52">
        <f t="shared" si="1"/>
        <v>56</v>
      </c>
      <c r="AQ15" s="52">
        <f t="shared" si="1"/>
        <v>2820</v>
      </c>
      <c r="AR15" s="70">
        <f t="shared" si="1"/>
        <v>2755</v>
      </c>
      <c r="AS15" s="70">
        <f t="shared" si="1"/>
        <v>58</v>
      </c>
      <c r="AT15" s="70">
        <f t="shared" si="1"/>
        <v>3300</v>
      </c>
      <c r="AU15" s="70">
        <f t="shared" si="1"/>
        <v>3120</v>
      </c>
      <c r="AV15" s="70">
        <f t="shared" si="1"/>
        <v>47</v>
      </c>
      <c r="AW15" s="70">
        <f t="shared" si="1"/>
        <v>2470</v>
      </c>
      <c r="AX15" s="70">
        <f t="shared" si="1"/>
        <v>3120</v>
      </c>
      <c r="AY15" s="82">
        <f t="shared" si="1"/>
        <v>1830</v>
      </c>
      <c r="AZ15" s="82">
        <f t="shared" si="1"/>
        <v>58</v>
      </c>
      <c r="BA15" s="82">
        <f t="shared" si="1"/>
        <v>3195</v>
      </c>
      <c r="BB15" s="82">
        <f t="shared" si="1"/>
        <v>8</v>
      </c>
      <c r="BC15" s="82">
        <f t="shared" si="1"/>
        <v>2640</v>
      </c>
      <c r="BD15" s="82">
        <f t="shared" si="1"/>
        <v>55</v>
      </c>
      <c r="BE15" s="82">
        <f t="shared" si="1"/>
        <v>2820</v>
      </c>
      <c r="BF15" s="82">
        <f t="shared" si="1"/>
        <v>2180</v>
      </c>
      <c r="BG15" s="82">
        <f t="shared" si="1"/>
        <v>4020</v>
      </c>
      <c r="BH15" s="87">
        <f t="shared" si="1"/>
        <v>58</v>
      </c>
      <c r="BI15" s="87">
        <f t="shared" si="1"/>
        <v>2340</v>
      </c>
      <c r="BJ15" s="87">
        <f t="shared" si="1"/>
        <v>3150</v>
      </c>
      <c r="BK15" s="87">
        <f t="shared" si="1"/>
        <v>58</v>
      </c>
      <c r="BL15" s="87">
        <f t="shared" si="1"/>
        <v>2875</v>
      </c>
      <c r="BM15" s="87">
        <f t="shared" si="1"/>
        <v>3140</v>
      </c>
      <c r="BN15" s="18">
        <f t="shared" si="1"/>
        <v>3025</v>
      </c>
      <c r="BO15" s="18">
        <f t="shared" si="1"/>
        <v>58</v>
      </c>
      <c r="BP15" s="18">
        <f t="shared" si="1"/>
        <v>3100</v>
      </c>
      <c r="BQ15" s="18">
        <f t="shared" si="1"/>
        <v>3910</v>
      </c>
      <c r="BR15" s="18">
        <f t="shared" si="1"/>
        <v>37</v>
      </c>
      <c r="BS15" s="18">
        <f t="shared" si="1"/>
        <v>3115</v>
      </c>
      <c r="BT15" s="18">
        <f t="shared" si="1"/>
        <v>2615</v>
      </c>
      <c r="BU15" s="18">
        <f t="shared" si="1"/>
        <v>58</v>
      </c>
      <c r="BV15" s="18">
        <f t="shared" si="1"/>
        <v>3075</v>
      </c>
      <c r="BW15" s="96">
        <f t="shared" si="1"/>
        <v>40</v>
      </c>
      <c r="BX15" s="96">
        <f t="shared" si="1"/>
        <v>2950</v>
      </c>
      <c r="BY15" s="96">
        <f t="shared" si="1"/>
        <v>3060</v>
      </c>
      <c r="BZ15" s="96">
        <f t="shared" si="1"/>
        <v>2540</v>
      </c>
      <c r="CA15" s="96">
        <f t="shared" si="1"/>
        <v>56</v>
      </c>
      <c r="CB15" s="96">
        <f t="shared" si="1"/>
        <v>3230</v>
      </c>
      <c r="CC15" s="96">
        <f t="shared" si="1"/>
        <v>2430</v>
      </c>
      <c r="CD15" s="96">
        <f t="shared" si="1"/>
        <v>58</v>
      </c>
      <c r="CE15" s="29">
        <f t="shared" si="1"/>
        <v>47</v>
      </c>
      <c r="CF15" s="29">
        <f t="shared" si="1"/>
        <v>3130</v>
      </c>
      <c r="CG15" s="29">
        <f t="shared" si="1"/>
        <v>4160</v>
      </c>
      <c r="CH15" s="29">
        <f t="shared" si="1"/>
        <v>2870</v>
      </c>
      <c r="CI15" s="29">
        <f t="shared" si="1"/>
        <v>68</v>
      </c>
      <c r="CJ15" s="29">
        <f t="shared" si="1"/>
        <v>2960</v>
      </c>
      <c r="CK15" s="29">
        <f t="shared" si="1"/>
        <v>3545</v>
      </c>
      <c r="CL15" s="101">
        <f t="shared" si="1"/>
        <v>2820</v>
      </c>
      <c r="CM15" s="130">
        <f t="shared" si="0"/>
        <v>175222</v>
      </c>
    </row>
    <row r="16" spans="1:92" s="3" customFormat="1" ht="29.25" customHeight="1" x14ac:dyDescent="0.35">
      <c r="A16" s="13"/>
      <c r="B16" s="14" t="s">
        <v>72</v>
      </c>
      <c r="C16" s="19"/>
      <c r="D16" s="16"/>
      <c r="E16" s="114">
        <f>E5*$C$5+E6*$C$6+E8*$C$8+E9*$C$9+E10*$C$10+E12*$C$12+E14*$C$14+E13*$C$13</f>
        <v>10703000</v>
      </c>
      <c r="F16" s="21">
        <f>F5*$C$5+F6*$C$6+F8*$C$8+F9*$C$9+F10*$C$10+F12*$C$12+F14*$C$14+F13*$C$13</f>
        <v>22852500</v>
      </c>
      <c r="G16" s="21">
        <f>G5*$C$5+G6*$C$6+G8*$C$8+G9*$C$9+G10*$C$10+G12*$C$12+G14*$C$14+G13*$C$13+G7*$C$7</f>
        <v>40440500</v>
      </c>
      <c r="H16" s="21">
        <f t="shared" ref="H16:CL16" si="2">H5*$C$5+H6*$C$6+H8*$C$8+H9*$C$9+H10*$C$10+H12*$C$12+H14*$C$14+H13*$C$13+H7*$C$7</f>
        <v>2065000</v>
      </c>
      <c r="I16" s="21">
        <f t="shared" si="2"/>
        <v>24717000</v>
      </c>
      <c r="J16" s="21">
        <f t="shared" si="2"/>
        <v>21153000</v>
      </c>
      <c r="K16" s="21">
        <f t="shared" si="2"/>
        <v>15741000</v>
      </c>
      <c r="L16" s="21">
        <f t="shared" si="2"/>
        <v>1715000</v>
      </c>
      <c r="M16" s="21">
        <f t="shared" si="2"/>
        <v>20746000</v>
      </c>
      <c r="N16" s="21">
        <f t="shared" si="2"/>
        <v>27945500</v>
      </c>
      <c r="O16" s="122">
        <f t="shared" si="2"/>
        <v>12650000</v>
      </c>
      <c r="P16" s="21">
        <f t="shared" si="2"/>
        <v>18573500</v>
      </c>
      <c r="Q16" s="21">
        <f t="shared" si="2"/>
        <v>1890000</v>
      </c>
      <c r="R16" s="21">
        <f t="shared" si="2"/>
        <v>20784500</v>
      </c>
      <c r="S16" s="21">
        <f t="shared" si="2"/>
        <v>15427500</v>
      </c>
      <c r="T16" s="21">
        <f t="shared" si="2"/>
        <v>21477500</v>
      </c>
      <c r="U16" s="21">
        <f t="shared" si="2"/>
        <v>1890000</v>
      </c>
      <c r="V16" s="117">
        <f t="shared" si="2"/>
        <v>23864500</v>
      </c>
      <c r="W16" s="20">
        <f t="shared" si="2"/>
        <v>1890000</v>
      </c>
      <c r="X16" s="20">
        <f t="shared" si="2"/>
        <v>20130000</v>
      </c>
      <c r="Y16" s="20">
        <f t="shared" si="2"/>
        <v>3780000</v>
      </c>
      <c r="Z16" s="20">
        <f t="shared" si="2"/>
        <v>20416000</v>
      </c>
      <c r="AA16" s="20">
        <f t="shared" si="2"/>
        <v>20933000</v>
      </c>
      <c r="AB16" s="20">
        <f t="shared" si="2"/>
        <v>9317000</v>
      </c>
      <c r="AC16" s="20">
        <f t="shared" si="2"/>
        <v>20460000</v>
      </c>
      <c r="AD16" s="20">
        <f t="shared" si="2"/>
        <v>2030000</v>
      </c>
      <c r="AE16" s="20">
        <f t="shared" si="2"/>
        <v>20685500</v>
      </c>
      <c r="AF16" s="20">
        <f t="shared" si="2"/>
        <v>19475500</v>
      </c>
      <c r="AG16" s="20">
        <f t="shared" si="2"/>
        <v>1715000</v>
      </c>
      <c r="AH16" s="20">
        <f t="shared" si="2"/>
        <v>21340000</v>
      </c>
      <c r="AI16" s="20">
        <f t="shared" si="2"/>
        <v>2030000</v>
      </c>
      <c r="AJ16" s="20">
        <f t="shared" si="2"/>
        <v>19805500</v>
      </c>
      <c r="AK16" s="20">
        <f t="shared" si="2"/>
        <v>17737500</v>
      </c>
      <c r="AL16" s="20">
        <f t="shared" si="2"/>
        <v>20251000</v>
      </c>
      <c r="AM16" s="20">
        <f t="shared" si="2"/>
        <v>1995000</v>
      </c>
      <c r="AN16" s="20">
        <f t="shared" si="2"/>
        <v>22187000</v>
      </c>
      <c r="AO16" s="20">
        <f t="shared" si="2"/>
        <v>19144400</v>
      </c>
      <c r="AP16" s="20">
        <f t="shared" si="2"/>
        <v>1960000</v>
      </c>
      <c r="AQ16" s="20">
        <f t="shared" si="2"/>
        <v>19954000</v>
      </c>
      <c r="AR16" s="20">
        <f t="shared" si="2"/>
        <v>19453500</v>
      </c>
      <c r="AS16" s="20">
        <f t="shared" si="2"/>
        <v>2030000</v>
      </c>
      <c r="AT16" s="20">
        <f t="shared" si="2"/>
        <v>21890000</v>
      </c>
      <c r="AU16" s="20">
        <f t="shared" si="2"/>
        <v>21384000</v>
      </c>
      <c r="AV16" s="20">
        <f t="shared" si="2"/>
        <v>1645000</v>
      </c>
      <c r="AW16" s="20">
        <f t="shared" si="2"/>
        <v>17699000</v>
      </c>
      <c r="AX16" s="20">
        <f t="shared" si="2"/>
        <v>21824000</v>
      </c>
      <c r="AY16" s="20">
        <f t="shared" si="2"/>
        <v>12771000</v>
      </c>
      <c r="AZ16" s="20">
        <f t="shared" si="2"/>
        <v>2030000</v>
      </c>
      <c r="BA16" s="20">
        <f t="shared" si="2"/>
        <v>22401500</v>
      </c>
      <c r="BB16" s="20">
        <f t="shared" si="2"/>
        <v>1400000</v>
      </c>
      <c r="BC16" s="20">
        <f t="shared" si="2"/>
        <v>19008000</v>
      </c>
      <c r="BD16" s="20">
        <f t="shared" si="2"/>
        <v>1925000</v>
      </c>
      <c r="BE16" s="20">
        <f t="shared" si="2"/>
        <v>19514000</v>
      </c>
      <c r="BF16" s="20">
        <f t="shared" si="2"/>
        <v>15466000</v>
      </c>
      <c r="BG16" s="20">
        <f t="shared" si="2"/>
        <v>28314000</v>
      </c>
      <c r="BH16" s="20">
        <f t="shared" si="2"/>
        <v>2030000</v>
      </c>
      <c r="BI16" s="20">
        <f t="shared" si="2"/>
        <v>16258000</v>
      </c>
      <c r="BJ16" s="20">
        <f t="shared" si="2"/>
        <v>20735000</v>
      </c>
      <c r="BK16" s="20">
        <f t="shared" si="2"/>
        <v>2030000</v>
      </c>
      <c r="BL16" s="20">
        <f t="shared" si="2"/>
        <v>19057500</v>
      </c>
      <c r="BM16" s="20">
        <f t="shared" si="2"/>
        <v>21978000</v>
      </c>
      <c r="BN16" s="20">
        <f t="shared" si="2"/>
        <v>21972500</v>
      </c>
      <c r="BO16" s="20">
        <f t="shared" si="2"/>
        <v>2030000</v>
      </c>
      <c r="BP16" s="20">
        <f t="shared" si="2"/>
        <v>21230000</v>
      </c>
      <c r="BQ16" s="20">
        <f t="shared" si="2"/>
        <v>25707000</v>
      </c>
      <c r="BR16" s="20">
        <f t="shared" si="2"/>
        <v>1855000</v>
      </c>
      <c r="BS16" s="20">
        <f t="shared" si="2"/>
        <v>20465500</v>
      </c>
      <c r="BT16" s="20">
        <f t="shared" si="2"/>
        <v>18815500</v>
      </c>
      <c r="BU16" s="20">
        <f t="shared" si="2"/>
        <v>2030000</v>
      </c>
      <c r="BV16" s="20">
        <f t="shared" si="2"/>
        <v>21037500</v>
      </c>
      <c r="BW16" s="20">
        <f t="shared" si="2"/>
        <v>1400000</v>
      </c>
      <c r="BX16" s="20">
        <f t="shared" si="2"/>
        <v>20075000</v>
      </c>
      <c r="BY16" s="20">
        <f t="shared" si="2"/>
        <v>20922000</v>
      </c>
      <c r="BZ16" s="20">
        <f t="shared" si="2"/>
        <v>17798000</v>
      </c>
      <c r="CA16" s="20">
        <f t="shared" si="2"/>
        <v>1960000</v>
      </c>
      <c r="CB16" s="20">
        <f t="shared" si="2"/>
        <v>21791000</v>
      </c>
      <c r="CC16" s="20">
        <f t="shared" si="2"/>
        <v>17391000</v>
      </c>
      <c r="CD16" s="20">
        <f t="shared" si="2"/>
        <v>2030000</v>
      </c>
      <c r="CE16" s="20">
        <f t="shared" si="2"/>
        <v>1645000</v>
      </c>
      <c r="CF16" s="20">
        <f t="shared" si="2"/>
        <v>20141000</v>
      </c>
      <c r="CG16" s="20">
        <f t="shared" si="2"/>
        <v>27632000</v>
      </c>
      <c r="CH16" s="20">
        <f t="shared" si="2"/>
        <v>19019000</v>
      </c>
      <c r="CI16" s="20">
        <f t="shared" si="2"/>
        <v>2380000</v>
      </c>
      <c r="CJ16" s="20">
        <f t="shared" si="2"/>
        <v>19712000</v>
      </c>
      <c r="CK16" s="20">
        <f t="shared" si="2"/>
        <v>24656500</v>
      </c>
      <c r="CL16" s="20">
        <f t="shared" si="2"/>
        <v>19074000</v>
      </c>
      <c r="CM16" s="131">
        <f t="shared" si="0"/>
        <v>1275485400</v>
      </c>
    </row>
    <row r="17" spans="1:92" s="3" customFormat="1" ht="29.25" customHeight="1" x14ac:dyDescent="0.35">
      <c r="A17" s="13"/>
      <c r="B17" s="14" t="s">
        <v>73</v>
      </c>
      <c r="C17" s="19"/>
      <c r="D17" s="16"/>
      <c r="E17" s="114">
        <f t="shared" ref="E17:CM17" si="3">+E16*10%</f>
        <v>1070300</v>
      </c>
      <c r="F17" s="21">
        <f t="shared" si="3"/>
        <v>2285250</v>
      </c>
      <c r="G17" s="21">
        <f t="shared" si="3"/>
        <v>4044050</v>
      </c>
      <c r="H17" s="21">
        <f t="shared" si="3"/>
        <v>206500</v>
      </c>
      <c r="I17" s="21">
        <f t="shared" si="3"/>
        <v>2471700</v>
      </c>
      <c r="J17" s="21">
        <f t="shared" si="3"/>
        <v>2115300</v>
      </c>
      <c r="K17" s="21">
        <f t="shared" si="3"/>
        <v>1574100</v>
      </c>
      <c r="L17" s="30">
        <f t="shared" si="3"/>
        <v>171500</v>
      </c>
      <c r="M17" s="30">
        <f t="shared" si="3"/>
        <v>2074600</v>
      </c>
      <c r="N17" s="30">
        <f t="shared" si="3"/>
        <v>2794550</v>
      </c>
      <c r="O17" s="123">
        <f t="shared" si="3"/>
        <v>1265000</v>
      </c>
      <c r="P17" s="35">
        <f t="shared" si="3"/>
        <v>1857350</v>
      </c>
      <c r="Q17" s="35">
        <f t="shared" si="3"/>
        <v>189000</v>
      </c>
      <c r="R17" s="35">
        <f t="shared" si="3"/>
        <v>2078450</v>
      </c>
      <c r="S17" s="35">
        <f t="shared" si="3"/>
        <v>1542750</v>
      </c>
      <c r="T17" s="35">
        <f t="shared" si="3"/>
        <v>2147750</v>
      </c>
      <c r="U17" s="35">
        <f t="shared" si="3"/>
        <v>189000</v>
      </c>
      <c r="V17" s="118">
        <f t="shared" si="3"/>
        <v>2386450</v>
      </c>
      <c r="W17" s="39">
        <f t="shared" si="3"/>
        <v>189000</v>
      </c>
      <c r="X17" s="39">
        <f t="shared" si="3"/>
        <v>2013000</v>
      </c>
      <c r="Y17" s="39">
        <f t="shared" si="3"/>
        <v>378000</v>
      </c>
      <c r="Z17" s="39">
        <f t="shared" si="3"/>
        <v>2041600</v>
      </c>
      <c r="AA17" s="39">
        <f t="shared" si="3"/>
        <v>2093300</v>
      </c>
      <c r="AB17" s="39">
        <f t="shared" si="3"/>
        <v>931700</v>
      </c>
      <c r="AC17" s="43">
        <f t="shared" si="3"/>
        <v>2046000</v>
      </c>
      <c r="AD17" s="43">
        <f t="shared" si="3"/>
        <v>203000</v>
      </c>
      <c r="AE17" s="43">
        <f t="shared" si="3"/>
        <v>2068550</v>
      </c>
      <c r="AF17" s="43">
        <f t="shared" si="3"/>
        <v>1947550</v>
      </c>
      <c r="AG17" s="43">
        <f t="shared" si="3"/>
        <v>171500</v>
      </c>
      <c r="AH17" s="43">
        <f t="shared" si="3"/>
        <v>2134000</v>
      </c>
      <c r="AI17" s="43">
        <f t="shared" si="3"/>
        <v>203000</v>
      </c>
      <c r="AJ17" s="43">
        <f t="shared" si="3"/>
        <v>1980550</v>
      </c>
      <c r="AK17" s="51">
        <f t="shared" si="3"/>
        <v>1773750</v>
      </c>
      <c r="AL17" s="51">
        <f t="shared" si="3"/>
        <v>2025100</v>
      </c>
      <c r="AM17" s="51">
        <f t="shared" si="3"/>
        <v>199500</v>
      </c>
      <c r="AN17" s="51">
        <f t="shared" si="3"/>
        <v>2218700</v>
      </c>
      <c r="AO17" s="51">
        <f t="shared" si="3"/>
        <v>1914440</v>
      </c>
      <c r="AP17" s="51">
        <f t="shared" si="3"/>
        <v>196000</v>
      </c>
      <c r="AQ17" s="51">
        <f t="shared" si="3"/>
        <v>1995400</v>
      </c>
      <c r="AR17" s="71">
        <f t="shared" si="3"/>
        <v>1945350</v>
      </c>
      <c r="AS17" s="71">
        <f t="shared" si="3"/>
        <v>203000</v>
      </c>
      <c r="AT17" s="71">
        <f t="shared" si="3"/>
        <v>2189000</v>
      </c>
      <c r="AU17" s="71">
        <f t="shared" si="3"/>
        <v>2138400</v>
      </c>
      <c r="AV17" s="71">
        <f t="shared" si="3"/>
        <v>164500</v>
      </c>
      <c r="AW17" s="71">
        <f t="shared" si="3"/>
        <v>1769900</v>
      </c>
      <c r="AX17" s="71">
        <f t="shared" si="3"/>
        <v>2182400</v>
      </c>
      <c r="AY17" s="83">
        <f t="shared" si="3"/>
        <v>1277100</v>
      </c>
      <c r="AZ17" s="83">
        <f t="shared" si="3"/>
        <v>203000</v>
      </c>
      <c r="BA17" s="83">
        <f t="shared" si="3"/>
        <v>2240150</v>
      </c>
      <c r="BB17" s="83">
        <f t="shared" si="3"/>
        <v>140000</v>
      </c>
      <c r="BC17" s="83">
        <f t="shared" si="3"/>
        <v>1900800</v>
      </c>
      <c r="BD17" s="83">
        <f t="shared" si="3"/>
        <v>192500</v>
      </c>
      <c r="BE17" s="83">
        <f t="shared" si="3"/>
        <v>1951400</v>
      </c>
      <c r="BF17" s="83">
        <f t="shared" si="3"/>
        <v>1546600</v>
      </c>
      <c r="BG17" s="83">
        <f t="shared" si="3"/>
        <v>2831400</v>
      </c>
      <c r="BH17" s="88">
        <f t="shared" si="3"/>
        <v>203000</v>
      </c>
      <c r="BI17" s="88">
        <f t="shared" si="3"/>
        <v>1625800</v>
      </c>
      <c r="BJ17" s="88">
        <f t="shared" si="3"/>
        <v>2073500</v>
      </c>
      <c r="BK17" s="88">
        <f t="shared" si="3"/>
        <v>203000</v>
      </c>
      <c r="BL17" s="88">
        <f t="shared" si="3"/>
        <v>1905750</v>
      </c>
      <c r="BM17" s="88">
        <f t="shared" si="3"/>
        <v>2197800</v>
      </c>
      <c r="BN17" s="21">
        <f t="shared" si="3"/>
        <v>2197250</v>
      </c>
      <c r="BO17" s="21">
        <f t="shared" si="3"/>
        <v>203000</v>
      </c>
      <c r="BP17" s="21">
        <f t="shared" si="3"/>
        <v>2123000</v>
      </c>
      <c r="BQ17" s="21">
        <f t="shared" si="3"/>
        <v>2570700</v>
      </c>
      <c r="BR17" s="21">
        <f t="shared" si="3"/>
        <v>185500</v>
      </c>
      <c r="BS17" s="21">
        <f t="shared" si="3"/>
        <v>2046550</v>
      </c>
      <c r="BT17" s="21">
        <f t="shared" si="3"/>
        <v>1881550</v>
      </c>
      <c r="BU17" s="21">
        <f t="shared" si="3"/>
        <v>203000</v>
      </c>
      <c r="BV17" s="21">
        <f t="shared" si="3"/>
        <v>2103750</v>
      </c>
      <c r="BW17" s="97">
        <f t="shared" si="3"/>
        <v>140000</v>
      </c>
      <c r="BX17" s="97">
        <f t="shared" si="3"/>
        <v>2007500</v>
      </c>
      <c r="BY17" s="97">
        <f t="shared" si="3"/>
        <v>2092200</v>
      </c>
      <c r="BZ17" s="97">
        <f t="shared" si="3"/>
        <v>1779800</v>
      </c>
      <c r="CA17" s="97">
        <f t="shared" si="3"/>
        <v>196000</v>
      </c>
      <c r="CB17" s="97">
        <f t="shared" si="3"/>
        <v>2179100</v>
      </c>
      <c r="CC17" s="97">
        <f t="shared" si="3"/>
        <v>1739100</v>
      </c>
      <c r="CD17" s="97">
        <f t="shared" si="3"/>
        <v>203000</v>
      </c>
      <c r="CE17" s="30">
        <f t="shared" si="3"/>
        <v>164500</v>
      </c>
      <c r="CF17" s="30">
        <f t="shared" si="3"/>
        <v>2014100</v>
      </c>
      <c r="CG17" s="30">
        <f t="shared" si="3"/>
        <v>2763200</v>
      </c>
      <c r="CH17" s="30">
        <f t="shared" si="3"/>
        <v>1901900</v>
      </c>
      <c r="CI17" s="30">
        <f t="shared" si="3"/>
        <v>238000</v>
      </c>
      <c r="CJ17" s="30">
        <f t="shared" si="3"/>
        <v>1971200</v>
      </c>
      <c r="CK17" s="30">
        <f t="shared" si="3"/>
        <v>2465650</v>
      </c>
      <c r="CL17" s="102">
        <f t="shared" si="3"/>
        <v>1907400</v>
      </c>
      <c r="CM17" s="131">
        <f t="shared" si="3"/>
        <v>127548540</v>
      </c>
    </row>
    <row r="18" spans="1:92" s="3" customFormat="1" ht="29.25" customHeight="1" thickBot="1" x14ac:dyDescent="0.4">
      <c r="A18" s="13"/>
      <c r="B18" s="14" t="s">
        <v>74</v>
      </c>
      <c r="C18" s="19"/>
      <c r="D18" s="16"/>
      <c r="E18" s="22">
        <f t="shared" ref="E18:CM18" si="4">+E16+E17</f>
        <v>11773300</v>
      </c>
      <c r="F18" s="23">
        <f t="shared" si="4"/>
        <v>25137750</v>
      </c>
      <c r="G18" s="23">
        <f t="shared" si="4"/>
        <v>44484550</v>
      </c>
      <c r="H18" s="23">
        <f t="shared" si="4"/>
        <v>2271500</v>
      </c>
      <c r="I18" s="23">
        <f t="shared" si="4"/>
        <v>27188700</v>
      </c>
      <c r="J18" s="23">
        <f t="shared" si="4"/>
        <v>23268300</v>
      </c>
      <c r="K18" s="23">
        <f t="shared" si="4"/>
        <v>17315100</v>
      </c>
      <c r="L18" s="31">
        <f t="shared" si="4"/>
        <v>1886500</v>
      </c>
      <c r="M18" s="31">
        <f t="shared" si="4"/>
        <v>22820600</v>
      </c>
      <c r="N18" s="31">
        <f t="shared" si="4"/>
        <v>30740050</v>
      </c>
      <c r="O18" s="115">
        <f t="shared" si="4"/>
        <v>13915000</v>
      </c>
      <c r="P18" s="35">
        <f t="shared" si="4"/>
        <v>20430850</v>
      </c>
      <c r="Q18" s="35">
        <f t="shared" si="4"/>
        <v>2079000</v>
      </c>
      <c r="R18" s="35">
        <f t="shared" si="4"/>
        <v>22862950</v>
      </c>
      <c r="S18" s="35">
        <f t="shared" si="4"/>
        <v>16970250</v>
      </c>
      <c r="T18" s="35">
        <f t="shared" si="4"/>
        <v>23625250</v>
      </c>
      <c r="U18" s="35">
        <f t="shared" si="4"/>
        <v>2079000</v>
      </c>
      <c r="V18" s="119">
        <f t="shared" si="4"/>
        <v>26250950</v>
      </c>
      <c r="W18" s="40">
        <f t="shared" si="4"/>
        <v>2079000</v>
      </c>
      <c r="X18" s="40">
        <f t="shared" si="4"/>
        <v>22143000</v>
      </c>
      <c r="Y18" s="40">
        <f t="shared" si="4"/>
        <v>4158000</v>
      </c>
      <c r="Z18" s="40">
        <f t="shared" si="4"/>
        <v>22457600</v>
      </c>
      <c r="AA18" s="40">
        <f t="shared" si="4"/>
        <v>23026300</v>
      </c>
      <c r="AB18" s="40">
        <f t="shared" si="4"/>
        <v>10248700</v>
      </c>
      <c r="AC18" s="44">
        <f t="shared" si="4"/>
        <v>22506000</v>
      </c>
      <c r="AD18" s="44">
        <f t="shared" si="4"/>
        <v>2233000</v>
      </c>
      <c r="AE18" s="44">
        <f t="shared" si="4"/>
        <v>22754050</v>
      </c>
      <c r="AF18" s="44">
        <f t="shared" si="4"/>
        <v>21423050</v>
      </c>
      <c r="AG18" s="44">
        <f t="shared" si="4"/>
        <v>1886500</v>
      </c>
      <c r="AH18" s="44">
        <f t="shared" si="4"/>
        <v>23474000</v>
      </c>
      <c r="AI18" s="44">
        <f t="shared" si="4"/>
        <v>2233000</v>
      </c>
      <c r="AJ18" s="44">
        <f t="shared" si="4"/>
        <v>21786050</v>
      </c>
      <c r="AK18" s="53">
        <f t="shared" si="4"/>
        <v>19511250</v>
      </c>
      <c r="AL18" s="53">
        <f t="shared" si="4"/>
        <v>22276100</v>
      </c>
      <c r="AM18" s="53">
        <f t="shared" si="4"/>
        <v>2194500</v>
      </c>
      <c r="AN18" s="53">
        <f t="shared" si="4"/>
        <v>24405700</v>
      </c>
      <c r="AO18" s="53">
        <f t="shared" si="4"/>
        <v>21058840</v>
      </c>
      <c r="AP18" s="53">
        <f t="shared" si="4"/>
        <v>2156000</v>
      </c>
      <c r="AQ18" s="53">
        <f t="shared" si="4"/>
        <v>21949400</v>
      </c>
      <c r="AR18" s="72">
        <f t="shared" si="4"/>
        <v>21398850</v>
      </c>
      <c r="AS18" s="72">
        <f t="shared" si="4"/>
        <v>2233000</v>
      </c>
      <c r="AT18" s="72">
        <f t="shared" si="4"/>
        <v>24079000</v>
      </c>
      <c r="AU18" s="72">
        <f t="shared" si="4"/>
        <v>23522400</v>
      </c>
      <c r="AV18" s="72">
        <f t="shared" si="4"/>
        <v>1809500</v>
      </c>
      <c r="AW18" s="72">
        <f t="shared" si="4"/>
        <v>19468900</v>
      </c>
      <c r="AX18" s="72">
        <f t="shared" si="4"/>
        <v>24006400</v>
      </c>
      <c r="AY18" s="84">
        <f t="shared" si="4"/>
        <v>14048100</v>
      </c>
      <c r="AZ18" s="84">
        <f t="shared" si="4"/>
        <v>2233000</v>
      </c>
      <c r="BA18" s="84">
        <f t="shared" si="4"/>
        <v>24641650</v>
      </c>
      <c r="BB18" s="84">
        <f t="shared" si="4"/>
        <v>1540000</v>
      </c>
      <c r="BC18" s="84">
        <f t="shared" si="4"/>
        <v>20908800</v>
      </c>
      <c r="BD18" s="84">
        <f t="shared" si="4"/>
        <v>2117500</v>
      </c>
      <c r="BE18" s="84">
        <f t="shared" si="4"/>
        <v>21465400</v>
      </c>
      <c r="BF18" s="84">
        <f t="shared" si="4"/>
        <v>17012600</v>
      </c>
      <c r="BG18" s="84">
        <f t="shared" si="4"/>
        <v>31145400</v>
      </c>
      <c r="BH18" s="89">
        <f t="shared" si="4"/>
        <v>2233000</v>
      </c>
      <c r="BI18" s="89">
        <f t="shared" si="4"/>
        <v>17883800</v>
      </c>
      <c r="BJ18" s="89">
        <f t="shared" si="4"/>
        <v>22808500</v>
      </c>
      <c r="BK18" s="89">
        <f t="shared" si="4"/>
        <v>2233000</v>
      </c>
      <c r="BL18" s="89">
        <f t="shared" si="4"/>
        <v>20963250</v>
      </c>
      <c r="BM18" s="89">
        <f t="shared" si="4"/>
        <v>24175800</v>
      </c>
      <c r="BN18" s="23">
        <f t="shared" si="4"/>
        <v>24169750</v>
      </c>
      <c r="BO18" s="23">
        <f t="shared" si="4"/>
        <v>2233000</v>
      </c>
      <c r="BP18" s="23">
        <f t="shared" si="4"/>
        <v>23353000</v>
      </c>
      <c r="BQ18" s="23">
        <f t="shared" si="4"/>
        <v>28277700</v>
      </c>
      <c r="BR18" s="23">
        <f t="shared" si="4"/>
        <v>2040500</v>
      </c>
      <c r="BS18" s="23">
        <f t="shared" si="4"/>
        <v>22512050</v>
      </c>
      <c r="BT18" s="23">
        <f t="shared" si="4"/>
        <v>20697050</v>
      </c>
      <c r="BU18" s="23">
        <f t="shared" si="4"/>
        <v>2233000</v>
      </c>
      <c r="BV18" s="23">
        <f t="shared" si="4"/>
        <v>23141250</v>
      </c>
      <c r="BW18" s="98">
        <f t="shared" si="4"/>
        <v>1540000</v>
      </c>
      <c r="BX18" s="98">
        <f t="shared" si="4"/>
        <v>22082500</v>
      </c>
      <c r="BY18" s="98">
        <f t="shared" si="4"/>
        <v>23014200</v>
      </c>
      <c r="BZ18" s="98">
        <f t="shared" si="4"/>
        <v>19577800</v>
      </c>
      <c r="CA18" s="98">
        <f t="shared" si="4"/>
        <v>2156000</v>
      </c>
      <c r="CB18" s="98">
        <f t="shared" si="4"/>
        <v>23970100</v>
      </c>
      <c r="CC18" s="98">
        <f t="shared" si="4"/>
        <v>19130100</v>
      </c>
      <c r="CD18" s="98">
        <f t="shared" si="4"/>
        <v>2233000</v>
      </c>
      <c r="CE18" s="31">
        <f t="shared" si="4"/>
        <v>1809500</v>
      </c>
      <c r="CF18" s="31">
        <f t="shared" si="4"/>
        <v>22155100</v>
      </c>
      <c r="CG18" s="31">
        <f t="shared" si="4"/>
        <v>30395200</v>
      </c>
      <c r="CH18" s="31">
        <f t="shared" si="4"/>
        <v>20920900</v>
      </c>
      <c r="CI18" s="31">
        <f t="shared" si="4"/>
        <v>2618000</v>
      </c>
      <c r="CJ18" s="31">
        <f t="shared" si="4"/>
        <v>21683200</v>
      </c>
      <c r="CK18" s="31">
        <f t="shared" si="4"/>
        <v>27122150</v>
      </c>
      <c r="CL18" s="103">
        <f t="shared" si="4"/>
        <v>20981400</v>
      </c>
      <c r="CM18" s="131">
        <f t="shared" si="4"/>
        <v>1403033940</v>
      </c>
      <c r="CN18" s="24"/>
    </row>
    <row r="19" spans="1:92" ht="41.25" customHeight="1" x14ac:dyDescent="0.35">
      <c r="A19" s="252" t="s">
        <v>75</v>
      </c>
      <c r="B19" s="253"/>
      <c r="C19" s="253"/>
      <c r="D19" s="254"/>
      <c r="E19" s="237" t="s">
        <v>76</v>
      </c>
      <c r="F19" s="237"/>
      <c r="G19" s="237"/>
      <c r="H19" s="237"/>
      <c r="I19" s="237"/>
      <c r="J19" s="237"/>
      <c r="K19" s="237"/>
      <c r="L19" s="237"/>
      <c r="M19" s="237"/>
      <c r="N19" s="237"/>
      <c r="O19" s="237"/>
      <c r="P19" s="237"/>
      <c r="Q19" s="237"/>
      <c r="R19" s="237"/>
      <c r="S19" s="237"/>
      <c r="T19" s="237"/>
      <c r="U19" s="237"/>
      <c r="V19" s="237"/>
      <c r="W19" s="237"/>
      <c r="X19" s="237"/>
      <c r="Y19" s="237"/>
      <c r="Z19" s="237"/>
      <c r="AA19" s="237"/>
      <c r="AB19" s="237"/>
      <c r="AC19" s="238"/>
      <c r="AD19" s="238"/>
      <c r="AE19" s="238"/>
      <c r="AF19" s="238"/>
      <c r="AG19" s="238"/>
      <c r="AH19" s="238"/>
      <c r="AI19" s="238"/>
      <c r="AJ19" s="238"/>
      <c r="AK19" s="238"/>
      <c r="AL19" s="238"/>
      <c r="AM19" s="238"/>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7"/>
      <c r="BK19" s="237"/>
      <c r="BL19" s="237"/>
      <c r="BM19" s="237"/>
      <c r="BN19" s="237"/>
      <c r="BO19" s="237"/>
      <c r="BP19" s="237"/>
      <c r="BQ19" s="237"/>
      <c r="BR19" s="237"/>
      <c r="BS19" s="237"/>
      <c r="BT19" s="237"/>
      <c r="BU19" s="237"/>
      <c r="BV19" s="237"/>
      <c r="BW19" s="237"/>
      <c r="BX19" s="237"/>
      <c r="BY19" s="237"/>
      <c r="BZ19" s="237"/>
      <c r="CA19" s="237"/>
      <c r="CB19" s="237"/>
      <c r="CC19" s="237"/>
      <c r="CD19" s="237"/>
      <c r="CE19" s="237"/>
      <c r="CF19" s="237"/>
      <c r="CG19" s="237"/>
      <c r="CH19" s="237"/>
      <c r="CI19" s="237"/>
      <c r="CJ19" s="237"/>
      <c r="CK19" s="237"/>
      <c r="CL19" s="237"/>
      <c r="CM19" s="132"/>
      <c r="CN19" s="26"/>
    </row>
    <row r="20" spans="1:92" s="47" customFormat="1" ht="21" customHeight="1" x14ac:dyDescent="0.35">
      <c r="A20" s="231" t="s">
        <v>77</v>
      </c>
      <c r="B20" s="232"/>
      <c r="C20" s="232"/>
      <c r="D20" s="233"/>
      <c r="E20" s="66"/>
      <c r="F20" s="110"/>
      <c r="G20" s="110"/>
      <c r="H20" s="110"/>
      <c r="I20" s="108"/>
      <c r="J20" s="108"/>
      <c r="K20" s="108"/>
      <c r="L20" s="109"/>
      <c r="M20" s="112"/>
      <c r="N20" s="112"/>
      <c r="O20" s="112"/>
      <c r="P20" s="229"/>
      <c r="Q20" s="229"/>
      <c r="R20" s="229"/>
      <c r="S20" s="229"/>
      <c r="T20" s="229"/>
      <c r="U20" s="229"/>
      <c r="V20" s="229"/>
      <c r="W20" s="230"/>
      <c r="X20" s="228"/>
      <c r="Y20" s="239"/>
      <c r="Z20" s="239"/>
      <c r="AA20" s="239"/>
      <c r="AB20" s="239"/>
      <c r="AC20" s="240"/>
      <c r="AD20" s="229"/>
      <c r="AE20" s="229"/>
      <c r="AF20" s="229"/>
      <c r="AG20" s="229"/>
      <c r="AH20" s="229"/>
      <c r="AI20" s="229"/>
      <c r="AJ20" s="229"/>
      <c r="AK20" s="229"/>
      <c r="AL20" s="229"/>
      <c r="AM20" s="92"/>
      <c r="AN20" s="240"/>
      <c r="AO20" s="229"/>
      <c r="AP20" s="229"/>
      <c r="AQ20" s="229"/>
      <c r="AR20" s="229"/>
      <c r="AS20" s="92"/>
      <c r="AT20" s="241"/>
      <c r="AU20" s="241"/>
      <c r="AV20" s="241"/>
      <c r="AW20" s="241"/>
      <c r="AX20" s="92"/>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c r="CI20" s="90"/>
      <c r="CJ20" s="90"/>
      <c r="CK20" s="90"/>
      <c r="CL20" s="91"/>
      <c r="CM20" s="133"/>
    </row>
    <row r="22" spans="1:92" x14ac:dyDescent="0.35">
      <c r="G22" s="2" t="s">
        <v>84</v>
      </c>
    </row>
    <row r="24" spans="1:92" x14ac:dyDescent="0.35">
      <c r="W24" s="48"/>
      <c r="BG24" s="2" t="s">
        <v>131</v>
      </c>
    </row>
    <row r="25" spans="1:92" x14ac:dyDescent="0.35">
      <c r="S25" s="26"/>
      <c r="T25" s="26"/>
      <c r="U25" s="26"/>
    </row>
    <row r="32" spans="1:92" x14ac:dyDescent="0.35">
      <c r="G32" s="2">
        <f>1300000*0.3</f>
        <v>390000</v>
      </c>
    </row>
  </sheetData>
  <mergeCells count="27">
    <mergeCell ref="AT20:AW20"/>
    <mergeCell ref="A6:A7"/>
    <mergeCell ref="BW3:CD3"/>
    <mergeCell ref="CE3:CL3"/>
    <mergeCell ref="A19:D19"/>
    <mergeCell ref="E19:CL19"/>
    <mergeCell ref="A20:D20"/>
    <mergeCell ref="P20:W20"/>
    <mergeCell ref="X20:AB20"/>
    <mergeCell ref="AC20:AL20"/>
    <mergeCell ref="AN20:AR20"/>
    <mergeCell ref="AC3:AJ3"/>
    <mergeCell ref="AK3:AQ3"/>
    <mergeCell ref="AR3:AX3"/>
    <mergeCell ref="AY3:BG3"/>
    <mergeCell ref="BH3:BM3"/>
    <mergeCell ref="BN3:BT3"/>
    <mergeCell ref="A1:CM1"/>
    <mergeCell ref="A2:A4"/>
    <mergeCell ref="B2:D2"/>
    <mergeCell ref="B3:B4"/>
    <mergeCell ref="C3:C4"/>
    <mergeCell ref="D3:D4"/>
    <mergeCell ref="E3:K3"/>
    <mergeCell ref="L3:O3"/>
    <mergeCell ref="V3:AB3"/>
    <mergeCell ref="P3:U3"/>
  </mergeCells>
  <pageMargins left="0.7" right="0.7" top="0.75" bottom="0.75" header="0.3" footer="0.3"/>
  <pageSetup scale="5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31"/>
  <sheetViews>
    <sheetView zoomScale="70" zoomScaleNormal="70" workbookViewId="0">
      <pane xSplit="4" ySplit="5" topLeftCell="E6" activePane="bottomRight" state="frozen"/>
      <selection pane="topRight" activeCell="E1" sqref="E1"/>
      <selection pane="bottomLeft" activeCell="A5" sqref="A5"/>
      <selection pane="bottomRight" activeCell="C19" sqref="C19"/>
    </sheetView>
  </sheetViews>
  <sheetFormatPr defaultColWidth="9.1796875" defaultRowHeight="16.5" x14ac:dyDescent="0.35"/>
  <cols>
    <col min="1" max="1" width="4.81640625" style="2" bestFit="1" customWidth="1"/>
    <col min="2" max="2" width="32.54296875" style="27" customWidth="1"/>
    <col min="3" max="3" width="19" style="27" customWidth="1"/>
    <col min="4" max="4" width="14" style="2" customWidth="1"/>
    <col min="5" max="12" width="15.1796875" style="2" customWidth="1"/>
    <col min="13" max="15" width="14.81640625" style="2" customWidth="1"/>
    <col min="16" max="35" width="15.1796875" style="2" customWidth="1"/>
    <col min="36" max="36" width="16.453125" style="2" customWidth="1"/>
    <col min="37" max="75" width="15.1796875" style="2" customWidth="1"/>
    <col min="76" max="76" width="24.453125" style="134" customWidth="1"/>
    <col min="77" max="77" width="9.1796875" style="2" customWidth="1"/>
    <col min="78" max="16384" width="9.1796875" style="2"/>
  </cols>
  <sheetData>
    <row r="1" spans="1:77" ht="57.75" customHeight="1" x14ac:dyDescent="0.35">
      <c r="A1" s="242" t="s">
        <v>132</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1"/>
    </row>
    <row r="2" spans="1:77" s="1" customFormat="1" ht="22.5" customHeight="1" x14ac:dyDescent="0.35">
      <c r="A2" s="244" t="s">
        <v>1</v>
      </c>
      <c r="B2" s="247" t="s">
        <v>133</v>
      </c>
      <c r="C2" s="248"/>
      <c r="D2" s="249"/>
      <c r="E2" s="64"/>
      <c r="F2" s="64"/>
      <c r="G2" s="64"/>
      <c r="H2" s="64"/>
      <c r="I2" s="139"/>
      <c r="J2" s="139"/>
      <c r="K2" s="139" t="s">
        <v>3</v>
      </c>
      <c r="L2" s="139" t="s">
        <v>3</v>
      </c>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47" t="s">
        <v>3</v>
      </c>
      <c r="BJ2" s="139"/>
      <c r="BK2" s="139"/>
      <c r="BL2" s="139"/>
      <c r="BM2" s="139"/>
      <c r="BN2" s="139" t="s">
        <v>3</v>
      </c>
      <c r="BO2" s="139" t="s">
        <v>3</v>
      </c>
      <c r="BP2" s="139"/>
      <c r="BQ2" s="139" t="s">
        <v>3</v>
      </c>
      <c r="BR2" s="139" t="s">
        <v>3</v>
      </c>
      <c r="BS2" s="139"/>
      <c r="BT2" s="140" t="s">
        <v>3</v>
      </c>
      <c r="BU2" s="140" t="s">
        <v>3</v>
      </c>
      <c r="BV2" s="140" t="s">
        <v>3</v>
      </c>
      <c r="BW2" s="140"/>
      <c r="BX2" s="128"/>
    </row>
    <row r="3" spans="1:77" s="1" customFormat="1" ht="22.5" customHeight="1" x14ac:dyDescent="0.35">
      <c r="A3" s="244"/>
      <c r="B3" s="247" t="s">
        <v>134</v>
      </c>
      <c r="C3" s="248"/>
      <c r="D3" s="249"/>
      <c r="E3" s="64"/>
      <c r="F3" s="64"/>
      <c r="G3" s="64"/>
      <c r="H3" s="64"/>
      <c r="I3" s="139" t="s">
        <v>3</v>
      </c>
      <c r="J3" s="139"/>
      <c r="K3" s="139"/>
      <c r="L3" s="139"/>
      <c r="M3" s="139"/>
      <c r="N3" s="139"/>
      <c r="O3" s="139"/>
      <c r="P3" s="140"/>
      <c r="Q3" s="127"/>
      <c r="R3" s="127"/>
      <c r="S3" s="127"/>
      <c r="T3" s="127"/>
      <c r="U3" s="141"/>
      <c r="V3" s="139"/>
      <c r="W3" s="139"/>
      <c r="X3" s="139"/>
      <c r="Y3" s="139"/>
      <c r="Z3" s="139"/>
      <c r="AA3" s="139"/>
      <c r="AB3" s="139"/>
      <c r="AC3" s="140"/>
      <c r="AD3" s="127"/>
      <c r="AE3" s="127"/>
      <c r="AF3" s="127"/>
      <c r="AG3" s="127"/>
      <c r="AH3" s="139"/>
      <c r="AI3" s="139"/>
      <c r="AJ3" s="139"/>
      <c r="AK3" s="139"/>
      <c r="AL3" s="139"/>
      <c r="AM3" s="140"/>
      <c r="AN3" s="127"/>
      <c r="AO3" s="127" t="s">
        <v>3</v>
      </c>
      <c r="AP3" s="127"/>
      <c r="AQ3" s="127"/>
      <c r="AR3" s="127"/>
      <c r="AS3" s="127" t="s">
        <v>3</v>
      </c>
      <c r="AT3" s="140"/>
      <c r="AU3" s="127"/>
      <c r="AV3" s="127"/>
      <c r="AW3" s="127"/>
      <c r="AX3" s="127"/>
      <c r="AY3" s="127"/>
      <c r="AZ3" s="127"/>
      <c r="BA3" s="127"/>
      <c r="BB3" s="140"/>
      <c r="BC3" s="127"/>
      <c r="BD3" s="127"/>
      <c r="BE3" s="127"/>
      <c r="BF3" s="127"/>
      <c r="BG3" s="141"/>
      <c r="BH3" s="127"/>
      <c r="BI3" s="148"/>
      <c r="BJ3" s="127"/>
      <c r="BK3" s="127"/>
      <c r="BL3" s="127"/>
      <c r="BM3" s="127"/>
      <c r="BN3" s="140"/>
      <c r="BO3" s="127" t="s">
        <v>3</v>
      </c>
      <c r="BP3" s="127" t="s">
        <v>3</v>
      </c>
      <c r="BQ3" s="127" t="s">
        <v>3</v>
      </c>
      <c r="BR3" s="127" t="s">
        <v>3</v>
      </c>
      <c r="BS3" s="140" t="s">
        <v>3</v>
      </c>
      <c r="BT3" s="140" t="s">
        <v>3</v>
      </c>
      <c r="BU3" s="140" t="s">
        <v>3</v>
      </c>
      <c r="BV3" s="140" t="s">
        <v>3</v>
      </c>
      <c r="BW3" s="140" t="s">
        <v>3</v>
      </c>
      <c r="BX3" s="129"/>
    </row>
    <row r="4" spans="1:77" s="3" customFormat="1" ht="22.5" customHeight="1" x14ac:dyDescent="0.35">
      <c r="A4" s="244"/>
      <c r="B4" s="246" t="s">
        <v>6</v>
      </c>
      <c r="C4" s="246" t="s">
        <v>135</v>
      </c>
      <c r="D4" s="246" t="s">
        <v>8</v>
      </c>
      <c r="E4" s="245" t="s">
        <v>9</v>
      </c>
      <c r="F4" s="245"/>
      <c r="G4" s="245"/>
      <c r="H4" s="245"/>
      <c r="I4" s="245"/>
      <c r="J4" s="245"/>
      <c r="K4" s="245"/>
      <c r="L4" s="245"/>
      <c r="M4" s="259" t="s">
        <v>10</v>
      </c>
      <c r="N4" s="260"/>
      <c r="O4" s="265"/>
      <c r="P4" s="194" t="s">
        <v>11</v>
      </c>
      <c r="Q4" s="195"/>
      <c r="R4" s="195"/>
      <c r="S4" s="195"/>
      <c r="T4" s="195"/>
      <c r="U4" s="196"/>
      <c r="V4" s="194" t="s">
        <v>12</v>
      </c>
      <c r="W4" s="195"/>
      <c r="X4" s="195"/>
      <c r="Y4" s="195"/>
      <c r="Z4" s="195"/>
      <c r="AA4" s="195"/>
      <c r="AB4" s="196"/>
      <c r="AC4" s="194" t="s">
        <v>13</v>
      </c>
      <c r="AD4" s="195"/>
      <c r="AE4" s="195"/>
      <c r="AF4" s="195"/>
      <c r="AG4" s="196"/>
      <c r="AH4" s="245" t="s">
        <v>136</v>
      </c>
      <c r="AI4" s="245"/>
      <c r="AJ4" s="245"/>
      <c r="AK4" s="245"/>
      <c r="AL4" s="245"/>
      <c r="AM4" s="194" t="s">
        <v>15</v>
      </c>
      <c r="AN4" s="195"/>
      <c r="AO4" s="195"/>
      <c r="AP4" s="195"/>
      <c r="AQ4" s="195"/>
      <c r="AR4" s="195"/>
      <c r="AS4" s="195"/>
      <c r="AT4" s="195"/>
      <c r="AU4" s="127"/>
      <c r="AV4" s="195" t="s">
        <v>16</v>
      </c>
      <c r="AW4" s="195"/>
      <c r="AX4" s="195"/>
      <c r="AY4" s="195"/>
      <c r="AZ4" s="195"/>
      <c r="BA4" s="195"/>
      <c r="BB4" s="194" t="s">
        <v>17</v>
      </c>
      <c r="BC4" s="195"/>
      <c r="BD4" s="195"/>
      <c r="BE4" s="195"/>
      <c r="BF4" s="195"/>
      <c r="BG4" s="196"/>
      <c r="BH4" s="127"/>
      <c r="BI4" s="194" t="s">
        <v>18</v>
      </c>
      <c r="BJ4" s="195"/>
      <c r="BK4" s="195"/>
      <c r="BL4" s="195"/>
      <c r="BM4" s="195"/>
      <c r="BN4" s="194" t="s">
        <v>19</v>
      </c>
      <c r="BO4" s="195"/>
      <c r="BP4" s="195"/>
      <c r="BQ4" s="195"/>
      <c r="BR4" s="195"/>
      <c r="BS4" s="245" t="s">
        <v>20</v>
      </c>
      <c r="BT4" s="245"/>
      <c r="BU4" s="245"/>
      <c r="BV4" s="245"/>
      <c r="BW4" s="245"/>
      <c r="BX4" s="129"/>
      <c r="BY4" s="1"/>
    </row>
    <row r="5" spans="1:77" s="3" customFormat="1" ht="48" customHeight="1" x14ac:dyDescent="0.35">
      <c r="A5" s="244"/>
      <c r="B5" s="246"/>
      <c r="C5" s="246"/>
      <c r="D5" s="246"/>
      <c r="E5" s="73">
        <v>43282</v>
      </c>
      <c r="F5" s="73">
        <v>43556</v>
      </c>
      <c r="G5" s="73">
        <v>43800</v>
      </c>
      <c r="H5" s="73" t="s">
        <v>137</v>
      </c>
      <c r="I5" s="73" t="s">
        <v>138</v>
      </c>
      <c r="J5" s="73" t="s">
        <v>139</v>
      </c>
      <c r="K5" s="73" t="s">
        <v>140</v>
      </c>
      <c r="L5" s="73" t="s">
        <v>141</v>
      </c>
      <c r="M5" s="75" t="s">
        <v>142</v>
      </c>
      <c r="N5" s="75" t="s">
        <v>143</v>
      </c>
      <c r="O5" s="75" t="s">
        <v>144</v>
      </c>
      <c r="P5" s="67">
        <v>43649</v>
      </c>
      <c r="Q5" s="67">
        <v>43711</v>
      </c>
      <c r="R5" s="67" t="s">
        <v>145</v>
      </c>
      <c r="S5" s="67" t="s">
        <v>146</v>
      </c>
      <c r="T5" s="67" t="s">
        <v>147</v>
      </c>
      <c r="U5" s="67" t="s">
        <v>148</v>
      </c>
      <c r="V5" s="45">
        <v>43528</v>
      </c>
      <c r="W5" s="45">
        <v>43681</v>
      </c>
      <c r="X5" s="45" t="s">
        <v>149</v>
      </c>
      <c r="Y5" s="45" t="s">
        <v>150</v>
      </c>
      <c r="Z5" s="45" t="s">
        <v>151</v>
      </c>
      <c r="AA5" s="45" t="s">
        <v>152</v>
      </c>
      <c r="AB5" s="45" t="s">
        <v>153</v>
      </c>
      <c r="AC5" s="46">
        <v>43651</v>
      </c>
      <c r="AD5" s="46">
        <v>43774</v>
      </c>
      <c r="AE5" s="46" t="s">
        <v>154</v>
      </c>
      <c r="AF5" s="46" t="s">
        <v>155</v>
      </c>
      <c r="AG5" s="46" t="s">
        <v>156</v>
      </c>
      <c r="AH5" s="49" t="s">
        <v>157</v>
      </c>
      <c r="AI5" s="49">
        <v>43591</v>
      </c>
      <c r="AJ5" s="49">
        <v>43775</v>
      </c>
      <c r="AK5" s="49" t="s">
        <v>158</v>
      </c>
      <c r="AL5" s="49" t="s">
        <v>159</v>
      </c>
      <c r="AM5" s="68">
        <v>43472</v>
      </c>
      <c r="AN5" s="68">
        <v>43623</v>
      </c>
      <c r="AO5" s="68">
        <v>43745</v>
      </c>
      <c r="AP5" s="68" t="s">
        <v>160</v>
      </c>
      <c r="AQ5" s="68" t="s">
        <v>161</v>
      </c>
      <c r="AR5" s="68" t="s">
        <v>162</v>
      </c>
      <c r="AS5" s="68" t="s">
        <v>163</v>
      </c>
      <c r="AT5" s="142" t="s">
        <v>164</v>
      </c>
      <c r="AU5" s="80" t="s">
        <v>165</v>
      </c>
      <c r="AV5" s="80" t="s">
        <v>166</v>
      </c>
      <c r="AW5" s="80">
        <v>43532</v>
      </c>
      <c r="AX5" s="80">
        <v>43716</v>
      </c>
      <c r="AY5" s="80" t="s">
        <v>167</v>
      </c>
      <c r="AZ5" s="80" t="s">
        <v>168</v>
      </c>
      <c r="BA5" s="80" t="s">
        <v>169</v>
      </c>
      <c r="BB5" s="85" t="s">
        <v>170</v>
      </c>
      <c r="BC5" s="85" t="s">
        <v>171</v>
      </c>
      <c r="BD5" s="85">
        <v>43717</v>
      </c>
      <c r="BE5" s="85" t="s">
        <v>172</v>
      </c>
      <c r="BF5" s="85" t="s">
        <v>173</v>
      </c>
      <c r="BG5" s="85" t="s">
        <v>174</v>
      </c>
      <c r="BH5" s="85" t="s">
        <v>175</v>
      </c>
      <c r="BI5" s="104" t="s">
        <v>176</v>
      </c>
      <c r="BJ5" s="104">
        <v>43506</v>
      </c>
      <c r="BK5" s="104">
        <v>43687</v>
      </c>
      <c r="BL5" s="104" t="s">
        <v>177</v>
      </c>
      <c r="BM5" s="104" t="s">
        <v>178</v>
      </c>
      <c r="BN5" s="94" t="s">
        <v>179</v>
      </c>
      <c r="BO5" s="94">
        <v>43627</v>
      </c>
      <c r="BP5" s="94" t="s">
        <v>180</v>
      </c>
      <c r="BQ5" s="94" t="s">
        <v>181</v>
      </c>
      <c r="BR5" s="94" t="s">
        <v>182</v>
      </c>
      <c r="BS5" s="75" t="s">
        <v>183</v>
      </c>
      <c r="BT5" s="75">
        <v>43536</v>
      </c>
      <c r="BU5" s="75" t="s">
        <v>184</v>
      </c>
      <c r="BV5" s="75" t="s">
        <v>185</v>
      </c>
      <c r="BW5" s="75" t="s">
        <v>186</v>
      </c>
      <c r="BX5" s="77" t="s">
        <v>60</v>
      </c>
      <c r="BY5" s="5"/>
    </row>
    <row r="6" spans="1:77" ht="49.5" x14ac:dyDescent="0.35">
      <c r="A6" s="6">
        <v>1</v>
      </c>
      <c r="B6" s="7" t="s">
        <v>61</v>
      </c>
      <c r="C6" s="111">
        <v>7700</v>
      </c>
      <c r="D6" s="9">
        <v>180201</v>
      </c>
      <c r="E6" s="10">
        <v>1470</v>
      </c>
      <c r="F6" s="11"/>
      <c r="G6" s="11">
        <v>1900</v>
      </c>
      <c r="H6" s="11">
        <v>1820</v>
      </c>
      <c r="I6" s="11"/>
      <c r="J6" s="11">
        <f>1635+150+30</f>
        <v>1815</v>
      </c>
      <c r="K6" s="11">
        <f>1500+150+20</f>
        <v>1670</v>
      </c>
      <c r="L6" s="11">
        <f>4060+150+50</f>
        <v>4260</v>
      </c>
      <c r="M6" s="28"/>
      <c r="N6" s="28">
        <f>1280+150+50</f>
        <v>1480</v>
      </c>
      <c r="O6" s="28">
        <f>1400+100+20+803</f>
        <v>2323</v>
      </c>
      <c r="P6" s="32">
        <f>1100+150+50</f>
        <v>1300</v>
      </c>
      <c r="Q6" s="32">
        <f>1180+100+50</f>
        <v>1330</v>
      </c>
      <c r="R6" s="113">
        <f>1310+150+50</f>
        <v>1510</v>
      </c>
      <c r="S6" s="113">
        <v>1595</v>
      </c>
      <c r="T6" s="32">
        <v>1145</v>
      </c>
      <c r="U6" s="32">
        <v>1160</v>
      </c>
      <c r="V6" s="37">
        <v>1310</v>
      </c>
      <c r="W6" s="37">
        <f>1350+45</f>
        <v>1395</v>
      </c>
      <c r="X6" s="37">
        <f>1450+50</f>
        <v>1500</v>
      </c>
      <c r="Y6" s="37">
        <f>2280+300</f>
        <v>2580</v>
      </c>
      <c r="Z6" s="37">
        <f>1100+100</f>
        <v>1200</v>
      </c>
      <c r="AA6" s="37">
        <f>1800+30</f>
        <v>1830</v>
      </c>
      <c r="AB6" s="37">
        <f>2050+30+149+1292</f>
        <v>3521</v>
      </c>
      <c r="AC6" s="41">
        <v>2200</v>
      </c>
      <c r="AD6" s="41">
        <v>1100</v>
      </c>
      <c r="AE6" s="41">
        <v>1700</v>
      </c>
      <c r="AF6" s="41">
        <f>1300+50</f>
        <v>1350</v>
      </c>
      <c r="AG6" s="41">
        <v>1820</v>
      </c>
      <c r="AH6" s="50"/>
      <c r="AI6" s="50">
        <v>2695</v>
      </c>
      <c r="AJ6" s="50">
        <f>1170+200</f>
        <v>1370</v>
      </c>
      <c r="AK6" s="50">
        <v>2650</v>
      </c>
      <c r="AL6" s="50">
        <f>300+2650</f>
        <v>2950</v>
      </c>
      <c r="AM6" s="69">
        <f>160+3200</f>
        <v>3360</v>
      </c>
      <c r="AN6" s="69">
        <v>1190</v>
      </c>
      <c r="AO6" s="69"/>
      <c r="AP6" s="69">
        <v>1485</v>
      </c>
      <c r="AQ6" s="69">
        <v>2440</v>
      </c>
      <c r="AR6" s="69">
        <v>2605</v>
      </c>
      <c r="AS6" s="69"/>
      <c r="AT6" s="146">
        <f>310+2800</f>
        <v>3110</v>
      </c>
      <c r="AU6" s="81">
        <f>200+2000</f>
        <v>2200</v>
      </c>
      <c r="AV6" s="81"/>
      <c r="AW6" s="81">
        <v>1265</v>
      </c>
      <c r="AX6" s="81">
        <f>70+2600</f>
        <v>2670</v>
      </c>
      <c r="AY6" s="81"/>
      <c r="AZ6" s="81">
        <v>2570</v>
      </c>
      <c r="BA6" s="81">
        <v>3120</v>
      </c>
      <c r="BB6" s="86">
        <f>200+2100</f>
        <v>2300</v>
      </c>
      <c r="BC6" s="86">
        <f>300+1550</f>
        <v>1850</v>
      </c>
      <c r="BD6" s="86">
        <v>2275</v>
      </c>
      <c r="BE6" s="86"/>
      <c r="BF6" s="86">
        <f>400+2575</f>
        <v>2975</v>
      </c>
      <c r="BG6" s="86">
        <v>1755</v>
      </c>
      <c r="BH6" s="86"/>
      <c r="BI6" s="105">
        <v>1400</v>
      </c>
      <c r="BJ6" s="105">
        <f>380+1800</f>
        <v>2180</v>
      </c>
      <c r="BK6" s="105">
        <v>1780</v>
      </c>
      <c r="BL6" s="105">
        <v>1818</v>
      </c>
      <c r="BM6" s="105"/>
      <c r="BN6" s="95">
        <v>2839</v>
      </c>
      <c r="BO6" s="95">
        <v>2458</v>
      </c>
      <c r="BP6" s="95"/>
      <c r="BQ6" s="95">
        <v>1439</v>
      </c>
      <c r="BR6" s="95">
        <v>2417</v>
      </c>
      <c r="BS6" s="28"/>
      <c r="BT6" s="28">
        <v>2085</v>
      </c>
      <c r="BU6" s="28">
        <v>2114</v>
      </c>
      <c r="BV6" s="28">
        <v>2555</v>
      </c>
      <c r="BW6" s="28"/>
      <c r="BX6" s="130">
        <f t="shared" ref="BX6:BX13" si="0">SUM(E6:BW6)</f>
        <v>116204</v>
      </c>
    </row>
    <row r="7" spans="1:77" ht="49.5" x14ac:dyDescent="0.35">
      <c r="A7" s="250">
        <v>2</v>
      </c>
      <c r="B7" s="7" t="s">
        <v>62</v>
      </c>
      <c r="C7" s="111">
        <v>35000</v>
      </c>
      <c r="D7" s="9">
        <v>180102</v>
      </c>
      <c r="E7" s="10"/>
      <c r="F7" s="11">
        <v>58</v>
      </c>
      <c r="G7" s="11"/>
      <c r="H7" s="11"/>
      <c r="I7" s="11">
        <v>61</v>
      </c>
      <c r="J7" s="11"/>
      <c r="K7" s="11"/>
      <c r="L7" s="11"/>
      <c r="M7" s="28">
        <v>82</v>
      </c>
      <c r="N7" s="28"/>
      <c r="O7" s="28"/>
      <c r="P7" s="32"/>
      <c r="Q7" s="32">
        <v>58</v>
      </c>
      <c r="R7" s="113"/>
      <c r="S7" s="113">
        <v>58</v>
      </c>
      <c r="T7" s="32"/>
      <c r="U7" s="32"/>
      <c r="V7" s="37">
        <v>58</v>
      </c>
      <c r="W7" s="37">
        <v>58</v>
      </c>
      <c r="X7" s="37">
        <v>46</v>
      </c>
      <c r="Y7" s="37"/>
      <c r="Z7" s="37">
        <v>48</v>
      </c>
      <c r="AA7" s="37"/>
      <c r="AB7" s="37"/>
      <c r="AC7" s="41">
        <v>59</v>
      </c>
      <c r="AD7" s="41"/>
      <c r="AE7" s="41">
        <v>59</v>
      </c>
      <c r="AF7" s="41"/>
      <c r="AG7" s="41"/>
      <c r="AH7" s="50">
        <v>87</v>
      </c>
      <c r="AI7" s="50"/>
      <c r="AJ7" s="50">
        <v>49</v>
      </c>
      <c r="AK7" s="50"/>
      <c r="AL7" s="50">
        <v>90</v>
      </c>
      <c r="AM7" s="69"/>
      <c r="AN7" s="69"/>
      <c r="AO7" s="69">
        <v>94</v>
      </c>
      <c r="AP7" s="69"/>
      <c r="AQ7" s="69"/>
      <c r="AR7" s="69"/>
      <c r="AS7" s="69">
        <v>84</v>
      </c>
      <c r="AT7" s="143"/>
      <c r="AU7" s="81"/>
      <c r="AV7" s="81">
        <v>72</v>
      </c>
      <c r="AW7" s="81"/>
      <c r="AX7" s="81"/>
      <c r="AY7" s="81">
        <v>58</v>
      </c>
      <c r="AZ7" s="81"/>
      <c r="BA7" s="81">
        <v>92</v>
      </c>
      <c r="BB7" s="86"/>
      <c r="BC7" s="86">
        <v>58</v>
      </c>
      <c r="BD7" s="86"/>
      <c r="BE7" s="86">
        <v>96</v>
      </c>
      <c r="BF7" s="86"/>
      <c r="BG7" s="86"/>
      <c r="BH7" s="86">
        <v>96</v>
      </c>
      <c r="BI7" s="105"/>
      <c r="BJ7" s="105"/>
      <c r="BK7" s="105">
        <v>94</v>
      </c>
      <c r="BL7" s="105"/>
      <c r="BM7" s="105">
        <v>96</v>
      </c>
      <c r="BN7" s="95"/>
      <c r="BO7" s="95">
        <v>9</v>
      </c>
      <c r="BP7" s="95">
        <v>93</v>
      </c>
      <c r="BQ7" s="95">
        <v>8</v>
      </c>
      <c r="BR7" s="95">
        <v>16</v>
      </c>
      <c r="BS7" s="28">
        <v>81</v>
      </c>
      <c r="BT7" s="28">
        <v>14</v>
      </c>
      <c r="BU7" s="28">
        <v>95</v>
      </c>
      <c r="BV7" s="28">
        <v>10</v>
      </c>
      <c r="BW7" s="28">
        <v>81</v>
      </c>
      <c r="BX7" s="130">
        <f t="shared" si="0"/>
        <v>2118</v>
      </c>
    </row>
    <row r="8" spans="1:77" ht="82.5" x14ac:dyDescent="0.35">
      <c r="A8" s="251"/>
      <c r="B8" s="7" t="s">
        <v>187</v>
      </c>
      <c r="C8" s="111">
        <v>175000</v>
      </c>
      <c r="D8" s="9">
        <v>180103</v>
      </c>
      <c r="E8" s="10"/>
      <c r="F8" s="11"/>
      <c r="G8" s="11"/>
      <c r="H8" s="11"/>
      <c r="I8" s="11"/>
      <c r="J8" s="11"/>
      <c r="K8" s="11"/>
      <c r="L8" s="11"/>
      <c r="M8" s="28"/>
      <c r="N8" s="28"/>
      <c r="O8" s="28"/>
      <c r="P8" s="32"/>
      <c r="Q8" s="32"/>
      <c r="R8" s="113">
        <v>7</v>
      </c>
      <c r="S8" s="113"/>
      <c r="T8" s="32"/>
      <c r="U8" s="32"/>
      <c r="V8" s="37"/>
      <c r="W8" s="37"/>
      <c r="X8" s="37"/>
      <c r="Y8" s="37"/>
      <c r="Z8" s="37"/>
      <c r="AA8" s="37"/>
      <c r="AB8" s="37"/>
      <c r="AC8" s="41"/>
      <c r="AD8" s="41"/>
      <c r="AE8" s="41"/>
      <c r="AF8" s="41"/>
      <c r="AG8" s="41"/>
      <c r="AH8" s="50"/>
      <c r="AI8" s="50"/>
      <c r="AJ8" s="50"/>
      <c r="AK8" s="50"/>
      <c r="AL8" s="50"/>
      <c r="AM8" s="69"/>
      <c r="AN8" s="69"/>
      <c r="AO8" s="69"/>
      <c r="AP8" s="69"/>
      <c r="AQ8" s="69"/>
      <c r="AR8" s="69"/>
      <c r="AS8" s="69"/>
      <c r="AT8" s="143"/>
      <c r="AU8" s="81"/>
      <c r="AV8" s="81"/>
      <c r="AW8" s="81"/>
      <c r="AX8" s="81"/>
      <c r="AY8" s="81"/>
      <c r="AZ8" s="81"/>
      <c r="BA8" s="81"/>
      <c r="BB8" s="86"/>
      <c r="BC8" s="86"/>
      <c r="BD8" s="86"/>
      <c r="BE8" s="86"/>
      <c r="BF8" s="86"/>
      <c r="BG8" s="86"/>
      <c r="BH8" s="86"/>
      <c r="BI8" s="105"/>
      <c r="BJ8" s="105"/>
      <c r="BK8" s="105"/>
      <c r="BL8" s="105"/>
      <c r="BM8" s="105"/>
      <c r="BN8" s="95"/>
      <c r="BO8" s="95"/>
      <c r="BP8" s="95"/>
      <c r="BQ8" s="95"/>
      <c r="BR8" s="95"/>
      <c r="BS8" s="28"/>
      <c r="BT8" s="28"/>
      <c r="BU8" s="28"/>
      <c r="BV8" s="28"/>
      <c r="BW8" s="28"/>
      <c r="BX8" s="130">
        <f t="shared" si="0"/>
        <v>7</v>
      </c>
    </row>
    <row r="9" spans="1:77" ht="33" x14ac:dyDescent="0.35">
      <c r="A9" s="6">
        <v>3</v>
      </c>
      <c r="B9" s="7" t="s">
        <v>63</v>
      </c>
      <c r="C9" s="111">
        <v>7700</v>
      </c>
      <c r="D9" s="12" t="s">
        <v>130</v>
      </c>
      <c r="E9" s="10">
        <v>200</v>
      </c>
      <c r="F9" s="11"/>
      <c r="G9" s="11">
        <v>200</v>
      </c>
      <c r="H9" s="11">
        <v>200</v>
      </c>
      <c r="I9" s="11"/>
      <c r="J9" s="11">
        <v>200</v>
      </c>
      <c r="K9" s="11">
        <v>200</v>
      </c>
      <c r="L9" s="11">
        <v>200</v>
      </c>
      <c r="M9" s="28"/>
      <c r="N9" s="28">
        <v>200</v>
      </c>
      <c r="O9" s="28">
        <v>100</v>
      </c>
      <c r="P9" s="32">
        <v>200</v>
      </c>
      <c r="Q9" s="32"/>
      <c r="R9" s="113">
        <v>200</v>
      </c>
      <c r="S9" s="113">
        <v>200</v>
      </c>
      <c r="T9" s="32">
        <v>200</v>
      </c>
      <c r="U9" s="32">
        <v>200</v>
      </c>
      <c r="V9" s="37">
        <v>200</v>
      </c>
      <c r="W9" s="37">
        <v>200</v>
      </c>
      <c r="X9" s="37">
        <v>200</v>
      </c>
      <c r="Y9" s="37"/>
      <c r="Z9" s="37"/>
      <c r="AA9" s="37"/>
      <c r="AB9" s="37">
        <v>100</v>
      </c>
      <c r="AC9" s="41"/>
      <c r="AD9" s="41">
        <v>200</v>
      </c>
      <c r="AE9" s="41"/>
      <c r="AF9" s="41"/>
      <c r="AG9" s="41"/>
      <c r="AH9" s="50"/>
      <c r="AI9" s="50"/>
      <c r="AJ9" s="50"/>
      <c r="AK9" s="50">
        <v>200</v>
      </c>
      <c r="AL9" s="50"/>
      <c r="AM9" s="69">
        <v>200</v>
      </c>
      <c r="AN9" s="69"/>
      <c r="AO9" s="69"/>
      <c r="AP9" s="69"/>
      <c r="AQ9" s="69"/>
      <c r="AR9" s="69">
        <v>200</v>
      </c>
      <c r="AS9" s="69"/>
      <c r="AT9" s="143"/>
      <c r="AU9" s="81"/>
      <c r="AV9" s="81"/>
      <c r="AW9" s="81"/>
      <c r="AX9" s="81"/>
      <c r="AY9" s="81"/>
      <c r="AZ9" s="81"/>
      <c r="BA9" s="81"/>
      <c r="BB9" s="86">
        <v>200</v>
      </c>
      <c r="BC9" s="86"/>
      <c r="BD9" s="86"/>
      <c r="BE9" s="86"/>
      <c r="BF9" s="86"/>
      <c r="BG9" s="86"/>
      <c r="BH9" s="86"/>
      <c r="BI9" s="105">
        <v>300</v>
      </c>
      <c r="BJ9" s="105"/>
      <c r="BK9" s="105"/>
      <c r="BL9" s="105">
        <v>256</v>
      </c>
      <c r="BM9" s="105"/>
      <c r="BN9" s="95"/>
      <c r="BO9" s="95"/>
      <c r="BP9" s="95"/>
      <c r="BQ9" s="95"/>
      <c r="BR9" s="95"/>
      <c r="BS9" s="28"/>
      <c r="BT9" s="28"/>
      <c r="BU9" s="28"/>
      <c r="BV9" s="28"/>
      <c r="BW9" s="28"/>
      <c r="BX9" s="130">
        <f t="shared" si="0"/>
        <v>4756</v>
      </c>
    </row>
    <row r="10" spans="1:77" ht="33" x14ac:dyDescent="0.35">
      <c r="A10" s="6">
        <v>4</v>
      </c>
      <c r="B10" s="7" t="s">
        <v>64</v>
      </c>
      <c r="C10" s="111">
        <v>7700</v>
      </c>
      <c r="D10" s="9">
        <v>170204</v>
      </c>
      <c r="E10" s="10"/>
      <c r="F10" s="11"/>
      <c r="G10" s="11"/>
      <c r="H10" s="11"/>
      <c r="I10" s="11"/>
      <c r="J10" s="11"/>
      <c r="K10" s="11"/>
      <c r="L10" s="11"/>
      <c r="M10" s="28"/>
      <c r="N10" s="28"/>
      <c r="O10" s="28"/>
      <c r="P10" s="32"/>
      <c r="Q10" s="32"/>
      <c r="R10" s="113"/>
      <c r="S10" s="113"/>
      <c r="T10" s="32"/>
      <c r="U10" s="32"/>
      <c r="V10" s="37"/>
      <c r="W10" s="37"/>
      <c r="X10" s="37"/>
      <c r="Y10" s="37"/>
      <c r="Z10" s="37"/>
      <c r="AA10" s="37"/>
      <c r="AB10" s="37"/>
      <c r="AC10" s="41"/>
      <c r="AD10" s="41"/>
      <c r="AE10" s="41"/>
      <c r="AF10" s="41"/>
      <c r="AG10" s="41"/>
      <c r="AH10" s="50"/>
      <c r="AI10" s="50"/>
      <c r="AJ10" s="50"/>
      <c r="AK10" s="50"/>
      <c r="AL10" s="50"/>
      <c r="AM10" s="69"/>
      <c r="AN10" s="69"/>
      <c r="AO10" s="69"/>
      <c r="AP10" s="69"/>
      <c r="AQ10" s="69"/>
      <c r="AR10" s="69"/>
      <c r="AS10" s="69"/>
      <c r="AT10" s="143"/>
      <c r="AU10" s="81"/>
      <c r="AV10" s="81"/>
      <c r="AW10" s="81"/>
      <c r="AX10" s="81"/>
      <c r="AY10" s="81"/>
      <c r="AZ10" s="81"/>
      <c r="BA10" s="81"/>
      <c r="BB10" s="86"/>
      <c r="BC10" s="86"/>
      <c r="BD10" s="86"/>
      <c r="BE10" s="86"/>
      <c r="BF10" s="86"/>
      <c r="BG10" s="86"/>
      <c r="BH10" s="86"/>
      <c r="BI10" s="105"/>
      <c r="BJ10" s="105"/>
      <c r="BK10" s="105"/>
      <c r="BL10" s="105"/>
      <c r="BM10" s="105"/>
      <c r="BN10" s="95"/>
      <c r="BO10" s="95"/>
      <c r="BP10" s="95"/>
      <c r="BQ10" s="95"/>
      <c r="BR10" s="95"/>
      <c r="BS10" s="28"/>
      <c r="BT10" s="28"/>
      <c r="BU10" s="28"/>
      <c r="BV10" s="28"/>
      <c r="BW10" s="28"/>
      <c r="BX10" s="130">
        <f t="shared" si="0"/>
        <v>0</v>
      </c>
    </row>
    <row r="11" spans="1:77" ht="33" x14ac:dyDescent="0.35">
      <c r="A11" s="6">
        <v>5</v>
      </c>
      <c r="B11" s="7" t="s">
        <v>65</v>
      </c>
      <c r="C11" s="111">
        <v>7700</v>
      </c>
      <c r="D11" s="9">
        <v>160106</v>
      </c>
      <c r="E11" s="10"/>
      <c r="F11" s="11"/>
      <c r="G11" s="11">
        <v>20</v>
      </c>
      <c r="H11" s="11"/>
      <c r="I11" s="11"/>
      <c r="J11" s="11"/>
      <c r="K11" s="11"/>
      <c r="L11" s="11"/>
      <c r="M11" s="28"/>
      <c r="N11" s="28"/>
      <c r="O11" s="28"/>
      <c r="P11" s="32"/>
      <c r="Q11" s="32"/>
      <c r="R11" s="113"/>
      <c r="S11" s="113"/>
      <c r="T11" s="32"/>
      <c r="U11" s="32">
        <v>10</v>
      </c>
      <c r="V11" s="37"/>
      <c r="W11" s="37"/>
      <c r="X11" s="37"/>
      <c r="Y11" s="37"/>
      <c r="Z11" s="37"/>
      <c r="AA11" s="37"/>
      <c r="AB11" s="37"/>
      <c r="AC11" s="41"/>
      <c r="AD11" s="41"/>
      <c r="AE11" s="41"/>
      <c r="AF11" s="41"/>
      <c r="AG11" s="41">
        <v>20</v>
      </c>
      <c r="AH11" s="50"/>
      <c r="AI11" s="50"/>
      <c r="AJ11" s="50"/>
      <c r="AK11" s="50"/>
      <c r="AL11" s="50"/>
      <c r="AM11" s="69"/>
      <c r="AN11" s="69"/>
      <c r="AO11" s="69"/>
      <c r="AP11" s="69"/>
      <c r="AQ11" s="69"/>
      <c r="AR11" s="69">
        <v>20</v>
      </c>
      <c r="AS11" s="69"/>
      <c r="AT11" s="143"/>
      <c r="AU11" s="81"/>
      <c r="AV11" s="81"/>
      <c r="AW11" s="81"/>
      <c r="AX11" s="81"/>
      <c r="AY11" s="81"/>
      <c r="AZ11" s="81">
        <v>20</v>
      </c>
      <c r="BA11" s="81">
        <v>10</v>
      </c>
      <c r="BB11" s="86"/>
      <c r="BC11" s="86"/>
      <c r="BD11" s="86">
        <v>20</v>
      </c>
      <c r="BE11" s="86"/>
      <c r="BF11" s="86"/>
      <c r="BG11" s="86">
        <v>30</v>
      </c>
      <c r="BH11" s="86"/>
      <c r="BI11" s="105"/>
      <c r="BJ11" s="105"/>
      <c r="BK11" s="105"/>
      <c r="BL11" s="105">
        <v>19</v>
      </c>
      <c r="BM11" s="105"/>
      <c r="BN11" s="95"/>
      <c r="BO11" s="95"/>
      <c r="BP11" s="95"/>
      <c r="BQ11" s="95"/>
      <c r="BR11" s="95"/>
      <c r="BS11" s="28"/>
      <c r="BT11" s="28">
        <v>30</v>
      </c>
      <c r="BU11" s="28"/>
      <c r="BV11" s="28"/>
      <c r="BW11" s="28"/>
      <c r="BX11" s="130">
        <f t="shared" si="0"/>
        <v>199</v>
      </c>
    </row>
    <row r="12" spans="1:77" ht="31.5" customHeight="1" x14ac:dyDescent="0.35">
      <c r="A12" s="6">
        <v>6</v>
      </c>
      <c r="B12" s="7" t="s">
        <v>66</v>
      </c>
      <c r="C12" s="111">
        <v>7700</v>
      </c>
      <c r="D12" s="9"/>
      <c r="E12" s="10"/>
      <c r="F12" s="11"/>
      <c r="G12" s="11"/>
      <c r="H12" s="11"/>
      <c r="I12" s="11"/>
      <c r="J12" s="11"/>
      <c r="K12" s="11"/>
      <c r="L12" s="11"/>
      <c r="M12" s="28"/>
      <c r="N12" s="28"/>
      <c r="O12" s="28"/>
      <c r="P12" s="32"/>
      <c r="Q12" s="32"/>
      <c r="R12" s="113"/>
      <c r="S12" s="113"/>
      <c r="T12" s="32"/>
      <c r="U12" s="32"/>
      <c r="V12" s="37"/>
      <c r="W12" s="37"/>
      <c r="X12" s="37"/>
      <c r="Y12" s="37"/>
      <c r="Z12" s="37"/>
      <c r="AA12" s="37"/>
      <c r="AB12" s="37"/>
      <c r="AC12" s="41"/>
      <c r="AD12" s="41"/>
      <c r="AE12" s="41"/>
      <c r="AF12" s="41"/>
      <c r="AG12" s="41"/>
      <c r="AH12" s="50"/>
      <c r="AI12" s="50"/>
      <c r="AJ12" s="50"/>
      <c r="AK12" s="50"/>
      <c r="AL12" s="50"/>
      <c r="AM12" s="69"/>
      <c r="AN12" s="69"/>
      <c r="AO12" s="69"/>
      <c r="AP12" s="69"/>
      <c r="AQ12" s="69"/>
      <c r="AR12" s="69"/>
      <c r="AS12" s="69"/>
      <c r="AT12" s="143"/>
      <c r="AU12" s="81"/>
      <c r="AV12" s="81"/>
      <c r="AW12" s="81"/>
      <c r="AX12" s="81"/>
      <c r="AY12" s="81"/>
      <c r="AZ12" s="81"/>
      <c r="BA12" s="81"/>
      <c r="BB12" s="86"/>
      <c r="BC12" s="86"/>
      <c r="BD12" s="86"/>
      <c r="BE12" s="86"/>
      <c r="BF12" s="86"/>
      <c r="BG12" s="86"/>
      <c r="BH12" s="86"/>
      <c r="BI12" s="105"/>
      <c r="BJ12" s="105"/>
      <c r="BK12" s="105"/>
      <c r="BL12" s="105"/>
      <c r="BM12" s="105"/>
      <c r="BN12" s="95"/>
      <c r="BO12" s="95"/>
      <c r="BP12" s="95"/>
      <c r="BQ12" s="95"/>
      <c r="BR12" s="95"/>
      <c r="BS12" s="28"/>
      <c r="BT12" s="28"/>
      <c r="BU12" s="28"/>
      <c r="BV12" s="28"/>
      <c r="BW12" s="28"/>
      <c r="BX12" s="130">
        <f t="shared" si="0"/>
        <v>0</v>
      </c>
    </row>
    <row r="13" spans="1:77" ht="49.5" x14ac:dyDescent="0.35">
      <c r="A13" s="6">
        <v>7</v>
      </c>
      <c r="B13" s="7" t="s">
        <v>67</v>
      </c>
      <c r="C13" s="111">
        <v>5500</v>
      </c>
      <c r="D13" s="9">
        <v>160110</v>
      </c>
      <c r="E13" s="10">
        <v>1200</v>
      </c>
      <c r="F13" s="11"/>
      <c r="G13" s="11">
        <v>1200</v>
      </c>
      <c r="H13" s="11">
        <v>800</v>
      </c>
      <c r="I13" s="11"/>
      <c r="J13" s="11">
        <v>800</v>
      </c>
      <c r="K13" s="11">
        <v>1800</v>
      </c>
      <c r="L13" s="11">
        <v>1200</v>
      </c>
      <c r="M13" s="28"/>
      <c r="N13" s="28">
        <v>1800</v>
      </c>
      <c r="O13" s="28">
        <f>800+1400</f>
        <v>2200</v>
      </c>
      <c r="P13" s="32">
        <v>1200</v>
      </c>
      <c r="Q13" s="32">
        <v>400</v>
      </c>
      <c r="R13" s="113">
        <v>1400</v>
      </c>
      <c r="S13" s="113">
        <v>800</v>
      </c>
      <c r="T13" s="32">
        <v>1400</v>
      </c>
      <c r="U13" s="32">
        <v>1400</v>
      </c>
      <c r="V13" s="37">
        <v>800</v>
      </c>
      <c r="W13" s="37">
        <v>1000</v>
      </c>
      <c r="X13" s="37">
        <v>1200</v>
      </c>
      <c r="Y13" s="37">
        <v>400</v>
      </c>
      <c r="Z13" s="37">
        <v>1000</v>
      </c>
      <c r="AA13" s="37">
        <v>800</v>
      </c>
      <c r="AB13" s="37">
        <v>1200</v>
      </c>
      <c r="AC13" s="41">
        <v>1000</v>
      </c>
      <c r="AD13" s="41">
        <v>1800</v>
      </c>
      <c r="AE13" s="41">
        <v>1400</v>
      </c>
      <c r="AF13" s="41">
        <v>1200</v>
      </c>
      <c r="AG13" s="41">
        <v>1200</v>
      </c>
      <c r="AH13" s="50"/>
      <c r="AI13" s="50">
        <v>2200</v>
      </c>
      <c r="AJ13" s="50">
        <v>1600</v>
      </c>
      <c r="AK13" s="50">
        <v>3000</v>
      </c>
      <c r="AL13" s="50">
        <v>2400</v>
      </c>
      <c r="AM13" s="69">
        <v>3200</v>
      </c>
      <c r="AN13" s="69">
        <v>2000</v>
      </c>
      <c r="AO13" s="69"/>
      <c r="AP13" s="69">
        <v>1200</v>
      </c>
      <c r="AQ13" s="69">
        <v>1000</v>
      </c>
      <c r="AR13" s="69">
        <v>2400</v>
      </c>
      <c r="AS13" s="69"/>
      <c r="AT13" s="143">
        <v>2000</v>
      </c>
      <c r="AU13" s="81">
        <v>2600</v>
      </c>
      <c r="AV13" s="81"/>
      <c r="AW13" s="81">
        <v>1200</v>
      </c>
      <c r="AX13" s="81">
        <v>3000</v>
      </c>
      <c r="AY13" s="81"/>
      <c r="AZ13" s="81">
        <v>3400</v>
      </c>
      <c r="BA13" s="81">
        <v>2000</v>
      </c>
      <c r="BB13" s="86">
        <v>2400</v>
      </c>
      <c r="BC13" s="86">
        <v>800</v>
      </c>
      <c r="BD13" s="86">
        <v>1600</v>
      </c>
      <c r="BE13" s="86"/>
      <c r="BF13" s="86">
        <v>2200</v>
      </c>
      <c r="BG13" s="86">
        <v>3600</v>
      </c>
      <c r="BH13" s="86"/>
      <c r="BI13" s="105">
        <v>1200</v>
      </c>
      <c r="BJ13" s="105">
        <v>2000</v>
      </c>
      <c r="BK13" s="105">
        <v>1000</v>
      </c>
      <c r="BL13" s="105">
        <v>2800</v>
      </c>
      <c r="BM13" s="105"/>
      <c r="BN13" s="95">
        <v>3000</v>
      </c>
      <c r="BO13" s="95">
        <v>1800</v>
      </c>
      <c r="BP13" s="95"/>
      <c r="BQ13" s="95">
        <v>1600</v>
      </c>
      <c r="BR13" s="95"/>
      <c r="BS13" s="28"/>
      <c r="BT13" s="28"/>
      <c r="BU13" s="28"/>
      <c r="BV13" s="28"/>
      <c r="BW13" s="28"/>
      <c r="BX13" s="130">
        <f t="shared" si="0"/>
        <v>87800</v>
      </c>
    </row>
    <row r="14" spans="1:77" ht="49.5" x14ac:dyDescent="0.35">
      <c r="A14" s="6">
        <v>8</v>
      </c>
      <c r="B14" s="7" t="s">
        <v>188</v>
      </c>
      <c r="C14" s="111">
        <v>5500</v>
      </c>
      <c r="D14" s="12" t="s">
        <v>189</v>
      </c>
      <c r="E14" s="10"/>
      <c r="F14" s="11"/>
      <c r="G14" s="11"/>
      <c r="H14" s="11"/>
      <c r="I14" s="11"/>
      <c r="J14" s="11"/>
      <c r="K14" s="11"/>
      <c r="L14" s="11"/>
      <c r="M14" s="28"/>
      <c r="N14" s="28"/>
      <c r="O14" s="28"/>
      <c r="P14" s="32"/>
      <c r="Q14" s="32"/>
      <c r="R14" s="113"/>
      <c r="S14" s="113"/>
      <c r="T14" s="32"/>
      <c r="U14" s="32"/>
      <c r="V14" s="37"/>
      <c r="W14" s="37"/>
      <c r="X14" s="37"/>
      <c r="Y14" s="37"/>
      <c r="Z14" s="37"/>
      <c r="AA14" s="37"/>
      <c r="AB14" s="37"/>
      <c r="AC14" s="41"/>
      <c r="AD14" s="41"/>
      <c r="AE14" s="41"/>
      <c r="AF14" s="41"/>
      <c r="AG14" s="41"/>
      <c r="AH14" s="50"/>
      <c r="AI14" s="50"/>
      <c r="AJ14" s="50"/>
      <c r="AK14" s="50"/>
      <c r="AL14" s="50"/>
      <c r="AM14" s="69"/>
      <c r="AN14" s="69"/>
      <c r="AO14" s="69"/>
      <c r="AP14" s="69"/>
      <c r="AQ14" s="69"/>
      <c r="AR14" s="69"/>
      <c r="AS14" s="69"/>
      <c r="AT14" s="143"/>
      <c r="AU14" s="81"/>
      <c r="AV14" s="81"/>
      <c r="AW14" s="81"/>
      <c r="AX14" s="81"/>
      <c r="AY14" s="81"/>
      <c r="AZ14" s="81"/>
      <c r="BA14" s="81"/>
      <c r="BB14" s="86"/>
      <c r="BC14" s="86"/>
      <c r="BD14" s="86"/>
      <c r="BE14" s="86"/>
      <c r="BF14" s="86"/>
      <c r="BG14" s="86"/>
      <c r="BH14" s="86"/>
      <c r="BI14" s="105"/>
      <c r="BJ14" s="105"/>
      <c r="BK14" s="105"/>
      <c r="BL14" s="105"/>
      <c r="BM14" s="105"/>
      <c r="BN14" s="95"/>
      <c r="BO14" s="95"/>
      <c r="BP14" s="95"/>
      <c r="BQ14" s="95"/>
      <c r="BR14" s="95"/>
      <c r="BS14" s="28"/>
      <c r="BT14" s="28">
        <v>395</v>
      </c>
      <c r="BU14" s="28"/>
      <c r="BV14" s="28"/>
      <c r="BW14" s="28"/>
      <c r="BX14" s="130"/>
    </row>
    <row r="15" spans="1:77" ht="66" x14ac:dyDescent="0.35">
      <c r="A15" s="6">
        <v>9</v>
      </c>
      <c r="B15" s="7" t="s">
        <v>190</v>
      </c>
      <c r="C15" s="111">
        <v>5500</v>
      </c>
      <c r="D15" s="12" t="s">
        <v>191</v>
      </c>
      <c r="E15" s="10"/>
      <c r="F15" s="11"/>
      <c r="G15" s="11"/>
      <c r="H15" s="11"/>
      <c r="I15" s="11"/>
      <c r="J15" s="11"/>
      <c r="K15" s="11"/>
      <c r="L15" s="11"/>
      <c r="M15" s="28"/>
      <c r="N15" s="28"/>
      <c r="O15" s="28"/>
      <c r="P15" s="32"/>
      <c r="Q15" s="32"/>
      <c r="R15" s="113"/>
      <c r="S15" s="113"/>
      <c r="T15" s="32"/>
      <c r="U15" s="32"/>
      <c r="V15" s="37"/>
      <c r="W15" s="37"/>
      <c r="X15" s="37"/>
      <c r="Y15" s="37"/>
      <c r="Z15" s="37"/>
      <c r="AA15" s="37"/>
      <c r="AB15" s="37"/>
      <c r="AC15" s="41"/>
      <c r="AD15" s="41"/>
      <c r="AE15" s="41"/>
      <c r="AF15" s="41"/>
      <c r="AG15" s="41"/>
      <c r="AH15" s="50"/>
      <c r="AI15" s="50"/>
      <c r="AJ15" s="50"/>
      <c r="AK15" s="50"/>
      <c r="AL15" s="50"/>
      <c r="AM15" s="69"/>
      <c r="AN15" s="69"/>
      <c r="AO15" s="69"/>
      <c r="AP15" s="69"/>
      <c r="AQ15" s="69"/>
      <c r="AR15" s="69"/>
      <c r="AS15" s="69"/>
      <c r="AT15" s="143"/>
      <c r="AU15" s="81"/>
      <c r="AV15" s="81"/>
      <c r="AW15" s="81"/>
      <c r="AX15" s="81"/>
      <c r="AY15" s="81"/>
      <c r="AZ15" s="81"/>
      <c r="BA15" s="81"/>
      <c r="BB15" s="86"/>
      <c r="BC15" s="86"/>
      <c r="BD15" s="86"/>
      <c r="BE15" s="86"/>
      <c r="BF15" s="86"/>
      <c r="BG15" s="86"/>
      <c r="BH15" s="86"/>
      <c r="BI15" s="105"/>
      <c r="BJ15" s="105"/>
      <c r="BK15" s="105"/>
      <c r="BL15" s="105"/>
      <c r="BM15" s="105"/>
      <c r="BN15" s="95"/>
      <c r="BO15" s="95"/>
      <c r="BP15" s="95"/>
      <c r="BQ15" s="95"/>
      <c r="BR15" s="95">
        <v>3200</v>
      </c>
      <c r="BS15" s="28"/>
      <c r="BT15" s="28">
        <v>2800</v>
      </c>
      <c r="BU15" s="28">
        <v>2600</v>
      </c>
      <c r="BV15" s="28">
        <v>2000</v>
      </c>
      <c r="BW15" s="28"/>
      <c r="BX15" s="130"/>
    </row>
    <row r="16" spans="1:77" ht="34.5" customHeight="1" x14ac:dyDescent="0.35">
      <c r="A16" s="6">
        <v>10</v>
      </c>
      <c r="B16" s="7" t="s">
        <v>68</v>
      </c>
      <c r="C16" s="111">
        <v>7700</v>
      </c>
      <c r="D16" s="12" t="s">
        <v>69</v>
      </c>
      <c r="E16" s="10"/>
      <c r="F16" s="11"/>
      <c r="G16" s="11"/>
      <c r="H16" s="11">
        <v>200</v>
      </c>
      <c r="I16" s="11"/>
      <c r="J16" s="11">
        <v>200</v>
      </c>
      <c r="K16" s="11">
        <v>200</v>
      </c>
      <c r="L16" s="11"/>
      <c r="M16" s="28"/>
      <c r="N16" s="28">
        <v>200</v>
      </c>
      <c r="O16" s="28">
        <v>100</v>
      </c>
      <c r="P16" s="32"/>
      <c r="Q16" s="32">
        <v>150</v>
      </c>
      <c r="R16" s="113"/>
      <c r="S16" s="113">
        <v>100</v>
      </c>
      <c r="T16" s="32">
        <v>200</v>
      </c>
      <c r="U16" s="32">
        <v>200</v>
      </c>
      <c r="V16" s="37">
        <v>200</v>
      </c>
      <c r="W16" s="37"/>
      <c r="X16" s="37"/>
      <c r="Y16" s="37"/>
      <c r="Z16" s="37"/>
      <c r="AA16" s="37">
        <v>100</v>
      </c>
      <c r="AB16" s="37"/>
      <c r="AC16" s="41"/>
      <c r="AD16" s="41"/>
      <c r="AE16" s="41"/>
      <c r="AF16" s="41">
        <v>200</v>
      </c>
      <c r="AG16" s="41"/>
      <c r="AH16" s="50"/>
      <c r="AI16" s="50">
        <v>200</v>
      </c>
      <c r="AJ16" s="50"/>
      <c r="AK16" s="50"/>
      <c r="AL16" s="50">
        <v>200</v>
      </c>
      <c r="AM16" s="69"/>
      <c r="AN16" s="69"/>
      <c r="AO16" s="69"/>
      <c r="AP16" s="69"/>
      <c r="AQ16" s="69"/>
      <c r="AR16" s="69"/>
      <c r="AS16" s="69"/>
      <c r="AT16" s="143"/>
      <c r="AU16" s="81">
        <v>200</v>
      </c>
      <c r="AV16" s="81"/>
      <c r="AW16" s="81"/>
      <c r="AX16" s="81">
        <v>200</v>
      </c>
      <c r="AY16" s="81"/>
      <c r="AZ16" s="81"/>
      <c r="BA16" s="81">
        <v>200</v>
      </c>
      <c r="BB16" s="86"/>
      <c r="BC16" s="86"/>
      <c r="BD16" s="86"/>
      <c r="BE16" s="86"/>
      <c r="BF16" s="86"/>
      <c r="BG16" s="86"/>
      <c r="BH16" s="86"/>
      <c r="BI16" s="105"/>
      <c r="BJ16" s="105"/>
      <c r="BK16" s="105"/>
      <c r="BL16" s="105"/>
      <c r="BM16" s="105"/>
      <c r="BN16" s="95">
        <v>58</v>
      </c>
      <c r="BO16" s="95">
        <v>57</v>
      </c>
      <c r="BP16" s="95"/>
      <c r="BQ16" s="95"/>
      <c r="BR16" s="95">
        <v>63</v>
      </c>
      <c r="BS16" s="28"/>
      <c r="BT16" s="28"/>
      <c r="BU16" s="28">
        <v>30</v>
      </c>
      <c r="BV16" s="28"/>
      <c r="BW16" s="28"/>
      <c r="BX16" s="130">
        <f>SUM(E16:BW16)</f>
        <v>3258</v>
      </c>
    </row>
    <row r="17" spans="1:77" ht="49.5" x14ac:dyDescent="0.35">
      <c r="A17" s="6">
        <v>11</v>
      </c>
      <c r="B17" s="7" t="s">
        <v>70</v>
      </c>
      <c r="C17" s="111">
        <v>7700</v>
      </c>
      <c r="D17" s="9">
        <v>130101</v>
      </c>
      <c r="E17" s="10"/>
      <c r="F17" s="11"/>
      <c r="G17" s="11">
        <v>10</v>
      </c>
      <c r="H17" s="11"/>
      <c r="I17" s="11"/>
      <c r="J17" s="11"/>
      <c r="K17" s="11"/>
      <c r="L17" s="11">
        <v>10</v>
      </c>
      <c r="M17" s="28"/>
      <c r="N17" s="28"/>
      <c r="O17" s="28"/>
      <c r="P17" s="32">
        <v>5</v>
      </c>
      <c r="Q17" s="32"/>
      <c r="R17" s="113"/>
      <c r="S17" s="113"/>
      <c r="T17" s="32">
        <v>5</v>
      </c>
      <c r="U17" s="32"/>
      <c r="V17" s="37"/>
      <c r="W17" s="37"/>
      <c r="X17" s="37">
        <v>5</v>
      </c>
      <c r="Y17" s="37"/>
      <c r="Z17" s="37"/>
      <c r="AA17" s="37"/>
      <c r="AB17" s="37"/>
      <c r="AC17" s="41">
        <v>10</v>
      </c>
      <c r="AD17" s="41">
        <v>5</v>
      </c>
      <c r="AE17" s="41"/>
      <c r="AF17" s="41"/>
      <c r="AG17" s="41"/>
      <c r="AH17" s="50"/>
      <c r="AI17" s="50">
        <v>5</v>
      </c>
      <c r="AJ17" s="50"/>
      <c r="AK17" s="50"/>
      <c r="AL17" s="50"/>
      <c r="AM17" s="69"/>
      <c r="AN17" s="69"/>
      <c r="AO17" s="69"/>
      <c r="AP17" s="69"/>
      <c r="AQ17" s="69"/>
      <c r="AR17" s="69"/>
      <c r="AS17" s="69"/>
      <c r="AT17" s="143"/>
      <c r="AU17" s="81"/>
      <c r="AV17" s="81"/>
      <c r="AW17" s="81"/>
      <c r="AX17" s="81"/>
      <c r="AY17" s="81"/>
      <c r="AZ17" s="81">
        <v>10</v>
      </c>
      <c r="BA17" s="81"/>
      <c r="BB17" s="86"/>
      <c r="BC17" s="86"/>
      <c r="BD17" s="86">
        <v>10</v>
      </c>
      <c r="BE17" s="86"/>
      <c r="BF17" s="86"/>
      <c r="BG17" s="86"/>
      <c r="BH17" s="86"/>
      <c r="BI17" s="105"/>
      <c r="BJ17" s="105">
        <v>10</v>
      </c>
      <c r="BK17" s="105"/>
      <c r="BL17" s="105"/>
      <c r="BM17" s="105"/>
      <c r="BN17" s="95">
        <v>2</v>
      </c>
      <c r="BO17" s="95"/>
      <c r="BP17" s="95"/>
      <c r="BQ17" s="95"/>
      <c r="BR17" s="95">
        <v>10</v>
      </c>
      <c r="BS17" s="28"/>
      <c r="BT17" s="28"/>
      <c r="BU17" s="28"/>
      <c r="BV17" s="28"/>
      <c r="BW17" s="28"/>
      <c r="BX17" s="130">
        <f>SUM(E17:BW17)</f>
        <v>97</v>
      </c>
    </row>
    <row r="18" spans="1:77" ht="29.25" customHeight="1" x14ac:dyDescent="0.35">
      <c r="A18" s="6">
        <v>12</v>
      </c>
      <c r="B18" s="7" t="s">
        <v>192</v>
      </c>
      <c r="C18" s="111">
        <v>7700</v>
      </c>
      <c r="D18" s="12" t="s">
        <v>193</v>
      </c>
      <c r="E18" s="137"/>
      <c r="F18" s="11"/>
      <c r="G18" s="11"/>
      <c r="H18" s="11"/>
      <c r="I18" s="11"/>
      <c r="J18" s="11"/>
      <c r="K18" s="11"/>
      <c r="L18" s="11"/>
      <c r="M18" s="28"/>
      <c r="N18" s="28"/>
      <c r="O18" s="28"/>
      <c r="P18" s="32"/>
      <c r="Q18" s="32"/>
      <c r="R18" s="113"/>
      <c r="S18" s="113"/>
      <c r="T18" s="32"/>
      <c r="U18" s="113"/>
      <c r="V18" s="138"/>
      <c r="W18" s="37">
        <v>200</v>
      </c>
      <c r="X18" s="37">
        <v>150</v>
      </c>
      <c r="Y18" s="37">
        <v>200</v>
      </c>
      <c r="Z18" s="37">
        <v>190</v>
      </c>
      <c r="AA18" s="37">
        <v>200</v>
      </c>
      <c r="AB18" s="37">
        <v>150</v>
      </c>
      <c r="AC18" s="41">
        <v>150</v>
      </c>
      <c r="AD18" s="41"/>
      <c r="AE18" s="41">
        <v>130</v>
      </c>
      <c r="AF18" s="41">
        <v>70</v>
      </c>
      <c r="AG18" s="41"/>
      <c r="AH18" s="50"/>
      <c r="AI18" s="50"/>
      <c r="AJ18" s="50">
        <v>200</v>
      </c>
      <c r="AK18" s="50"/>
      <c r="AL18" s="50">
        <v>40</v>
      </c>
      <c r="AM18" s="69">
        <v>200</v>
      </c>
      <c r="AN18" s="69"/>
      <c r="AO18" s="69"/>
      <c r="AP18" s="69"/>
      <c r="AQ18" s="69"/>
      <c r="AR18" s="69"/>
      <c r="AS18" s="69"/>
      <c r="AT18" s="143">
        <v>200</v>
      </c>
      <c r="AU18" s="81">
        <v>50</v>
      </c>
      <c r="AV18" s="81"/>
      <c r="AW18" s="81"/>
      <c r="AX18" s="81">
        <v>100</v>
      </c>
      <c r="AY18" s="81"/>
      <c r="AZ18" s="81"/>
      <c r="BA18" s="81"/>
      <c r="BB18" s="86">
        <v>120</v>
      </c>
      <c r="BC18" s="86"/>
      <c r="BD18" s="86"/>
      <c r="BE18" s="86"/>
      <c r="BF18" s="86">
        <v>200</v>
      </c>
      <c r="BG18" s="86"/>
      <c r="BH18" s="86"/>
      <c r="BI18" s="105">
        <v>155</v>
      </c>
      <c r="BJ18" s="105"/>
      <c r="BK18" s="105"/>
      <c r="BL18" s="105"/>
      <c r="BM18" s="105"/>
      <c r="BN18" s="95"/>
      <c r="BO18" s="95"/>
      <c r="BP18" s="95"/>
      <c r="BQ18" s="95"/>
      <c r="BR18" s="95"/>
      <c r="BS18" s="28"/>
      <c r="BT18" s="28"/>
      <c r="BU18" s="28"/>
      <c r="BV18" s="28"/>
      <c r="BW18" s="28"/>
      <c r="BX18" s="130"/>
    </row>
    <row r="19" spans="1:77" s="3" customFormat="1" ht="29.25" customHeight="1" x14ac:dyDescent="0.35">
      <c r="A19" s="13"/>
      <c r="B19" s="14" t="s">
        <v>71</v>
      </c>
      <c r="C19" s="15"/>
      <c r="D19" s="16"/>
      <c r="E19" s="18">
        <f>SUM(E6:E18)</f>
        <v>2870</v>
      </c>
      <c r="F19" s="18">
        <f>SUM(F6:F18)</f>
        <v>58</v>
      </c>
      <c r="G19" s="18">
        <f t="shared" ref="G19:V19" si="1">SUM(G6:G18)</f>
        <v>3330</v>
      </c>
      <c r="H19" s="18">
        <f>SUM(H6:H18)</f>
        <v>3020</v>
      </c>
      <c r="I19" s="18">
        <f>SUM(I6:I18)</f>
        <v>61</v>
      </c>
      <c r="J19" s="18">
        <f>SUM(J6:J18)</f>
        <v>3015</v>
      </c>
      <c r="K19" s="18">
        <f>SUM(K6:K18)</f>
        <v>3870</v>
      </c>
      <c r="L19" s="18">
        <f t="shared" si="1"/>
        <v>5670</v>
      </c>
      <c r="M19" s="29">
        <f t="shared" si="1"/>
        <v>82</v>
      </c>
      <c r="N19" s="29">
        <f t="shared" si="1"/>
        <v>3680</v>
      </c>
      <c r="O19" s="29">
        <f t="shared" si="1"/>
        <v>4723</v>
      </c>
      <c r="P19" s="34">
        <f t="shared" si="1"/>
        <v>2705</v>
      </c>
      <c r="Q19" s="34">
        <f t="shared" si="1"/>
        <v>1938</v>
      </c>
      <c r="R19" s="34">
        <f t="shared" si="1"/>
        <v>3117</v>
      </c>
      <c r="S19" s="34">
        <f t="shared" si="1"/>
        <v>2753</v>
      </c>
      <c r="T19" s="34">
        <f t="shared" si="1"/>
        <v>2950</v>
      </c>
      <c r="U19" s="34">
        <f>SUM(U6:U18)</f>
        <v>2970</v>
      </c>
      <c r="V19" s="38">
        <f t="shared" si="1"/>
        <v>2568</v>
      </c>
      <c r="W19" s="38">
        <f>SUM(W6:W18)</f>
        <v>2853</v>
      </c>
      <c r="X19" s="38">
        <f>SUM(X6:X18)</f>
        <v>3101</v>
      </c>
      <c r="Y19" s="38">
        <f t="shared" ref="Y19:AB19" si="2">SUM(Y6:Y18)</f>
        <v>3180</v>
      </c>
      <c r="Z19" s="38">
        <f t="shared" si="2"/>
        <v>2438</v>
      </c>
      <c r="AA19" s="38">
        <f t="shared" si="2"/>
        <v>2930</v>
      </c>
      <c r="AB19" s="38">
        <f t="shared" si="2"/>
        <v>4971</v>
      </c>
      <c r="AC19" s="42">
        <f>SUM(AC6:AC18)</f>
        <v>3419</v>
      </c>
      <c r="AD19" s="42">
        <f t="shared" ref="AD19:AG19" si="3">SUM(AD6:AD18)</f>
        <v>3105</v>
      </c>
      <c r="AE19" s="42">
        <f t="shared" si="3"/>
        <v>3289</v>
      </c>
      <c r="AF19" s="42">
        <f t="shared" si="3"/>
        <v>2820</v>
      </c>
      <c r="AG19" s="42">
        <f t="shared" si="3"/>
        <v>3040</v>
      </c>
      <c r="AH19" s="52">
        <f>SUM(AH6:AH18)</f>
        <v>87</v>
      </c>
      <c r="AI19" s="52">
        <f t="shared" ref="AI19:BQ19" si="4">SUM(AI6:AI18)</f>
        <v>5100</v>
      </c>
      <c r="AJ19" s="52">
        <f t="shared" si="4"/>
        <v>3219</v>
      </c>
      <c r="AK19" s="52">
        <f t="shared" si="4"/>
        <v>5850</v>
      </c>
      <c r="AL19" s="52">
        <f t="shared" si="4"/>
        <v>5680</v>
      </c>
      <c r="AM19" s="69">
        <f t="shared" si="4"/>
        <v>6960</v>
      </c>
      <c r="AN19" s="69">
        <f t="shared" si="4"/>
        <v>3190</v>
      </c>
      <c r="AO19" s="69">
        <f t="shared" si="4"/>
        <v>94</v>
      </c>
      <c r="AP19" s="69">
        <f t="shared" si="4"/>
        <v>2685</v>
      </c>
      <c r="AQ19" s="69">
        <f t="shared" si="4"/>
        <v>3440</v>
      </c>
      <c r="AR19" s="69">
        <f>SUM(AR6:AR18)</f>
        <v>5225</v>
      </c>
      <c r="AS19" s="69">
        <f t="shared" si="4"/>
        <v>84</v>
      </c>
      <c r="AT19" s="69">
        <f t="shared" ref="AT19:BA19" si="5">SUM(AT6:AT18)</f>
        <v>5310</v>
      </c>
      <c r="AU19" s="81">
        <f t="shared" si="5"/>
        <v>5050</v>
      </c>
      <c r="AV19" s="81">
        <f t="shared" si="5"/>
        <v>72</v>
      </c>
      <c r="AW19" s="81">
        <f t="shared" si="5"/>
        <v>2465</v>
      </c>
      <c r="AX19" s="81">
        <f t="shared" si="5"/>
        <v>5970</v>
      </c>
      <c r="AY19" s="81">
        <f t="shared" si="5"/>
        <v>58</v>
      </c>
      <c r="AZ19" s="81">
        <f t="shared" si="5"/>
        <v>6000</v>
      </c>
      <c r="BA19" s="81">
        <f t="shared" si="5"/>
        <v>5422</v>
      </c>
      <c r="BB19" s="52">
        <f t="shared" si="4"/>
        <v>5020</v>
      </c>
      <c r="BC19" s="52">
        <f t="shared" si="4"/>
        <v>2708</v>
      </c>
      <c r="BD19" s="52">
        <f t="shared" si="4"/>
        <v>3905</v>
      </c>
      <c r="BE19" s="52">
        <f t="shared" si="4"/>
        <v>96</v>
      </c>
      <c r="BF19" s="52">
        <f t="shared" si="4"/>
        <v>5375</v>
      </c>
      <c r="BG19" s="52">
        <f>SUM(BG6:BG18)</f>
        <v>5385</v>
      </c>
      <c r="BH19" s="52">
        <f>SUM(BH6:BH18)</f>
        <v>96</v>
      </c>
      <c r="BI19" s="52">
        <f>SUM(BI6:BI18)</f>
        <v>3055</v>
      </c>
      <c r="BJ19" s="52">
        <f t="shared" si="4"/>
        <v>4190</v>
      </c>
      <c r="BK19" s="52">
        <f t="shared" si="4"/>
        <v>2874</v>
      </c>
      <c r="BL19" s="52">
        <f t="shared" si="4"/>
        <v>4893</v>
      </c>
      <c r="BM19" s="52">
        <f t="shared" si="4"/>
        <v>96</v>
      </c>
      <c r="BN19" s="52">
        <f t="shared" si="4"/>
        <v>5899</v>
      </c>
      <c r="BO19" s="52">
        <f t="shared" si="4"/>
        <v>4324</v>
      </c>
      <c r="BP19" s="52">
        <f t="shared" si="4"/>
        <v>93</v>
      </c>
      <c r="BQ19" s="52">
        <f t="shared" si="4"/>
        <v>3047</v>
      </c>
      <c r="BR19" s="52">
        <f>SUM(BR6:BR18)</f>
        <v>5706</v>
      </c>
      <c r="BS19" s="52">
        <f t="shared" ref="BS19:BW19" si="6">SUM(BS6:BS18)</f>
        <v>81</v>
      </c>
      <c r="BT19" s="52">
        <f t="shared" si="6"/>
        <v>5324</v>
      </c>
      <c r="BU19" s="52">
        <f t="shared" si="6"/>
        <v>4839</v>
      </c>
      <c r="BV19" s="52">
        <f t="shared" si="6"/>
        <v>4565</v>
      </c>
      <c r="BW19" s="52">
        <f t="shared" si="6"/>
        <v>81</v>
      </c>
      <c r="BX19" s="130">
        <f>SUM(E19:BW19)</f>
        <v>228139</v>
      </c>
    </row>
    <row r="20" spans="1:77" s="3" customFormat="1" ht="29.25" customHeight="1" x14ac:dyDescent="0.35">
      <c r="A20" s="13"/>
      <c r="B20" s="14" t="s">
        <v>72</v>
      </c>
      <c r="C20" s="19"/>
      <c r="D20" s="16"/>
      <c r="E20" s="21">
        <f>E6*$C$6+E7*$C$7+E8*$C$8+E9*$C$9+E10*$C$10+E11*$C$11+E12*$C$12+E13*$C$13+E16*$C$16+E17*$C$17+E18*$C$18</f>
        <v>19459000</v>
      </c>
      <c r="F20" s="21">
        <f t="shared" ref="F20:BJ20" si="7">F6*$C$6+F7*$C$7+F8*$C$8+F9*$C$9+F10*$C$10+F11*$C$11+F12*$C$12+F13*$C$13+F16*$C$16+F17*$C$17+F18*$C$18</f>
        <v>2030000</v>
      </c>
      <c r="G20" s="21">
        <f t="shared" si="7"/>
        <v>23001000</v>
      </c>
      <c r="H20" s="21">
        <f t="shared" si="7"/>
        <v>21494000</v>
      </c>
      <c r="I20" s="21">
        <f t="shared" si="7"/>
        <v>2135000</v>
      </c>
      <c r="J20" s="21">
        <f t="shared" si="7"/>
        <v>21455500</v>
      </c>
      <c r="K20" s="21">
        <f t="shared" si="7"/>
        <v>25839000</v>
      </c>
      <c r="L20" s="21">
        <f t="shared" si="7"/>
        <v>41019000</v>
      </c>
      <c r="M20" s="21">
        <f t="shared" si="7"/>
        <v>2870000</v>
      </c>
      <c r="N20" s="21">
        <f t="shared" si="7"/>
        <v>24376000</v>
      </c>
      <c r="O20" s="21">
        <f t="shared" si="7"/>
        <v>31527100</v>
      </c>
      <c r="P20" s="21">
        <f t="shared" si="7"/>
        <v>18188500</v>
      </c>
      <c r="Q20" s="21">
        <f t="shared" si="7"/>
        <v>15626000</v>
      </c>
      <c r="R20" s="21">
        <f t="shared" si="7"/>
        <v>22092000</v>
      </c>
      <c r="S20" s="21">
        <f t="shared" si="7"/>
        <v>21021500</v>
      </c>
      <c r="T20" s="21">
        <f t="shared" si="7"/>
        <v>19635000</v>
      </c>
      <c r="U20" s="21">
        <f t="shared" si="7"/>
        <v>19789000</v>
      </c>
      <c r="V20" s="21">
        <f t="shared" si="7"/>
        <v>19597000</v>
      </c>
      <c r="W20" s="21">
        <f t="shared" si="7"/>
        <v>21351500</v>
      </c>
      <c r="X20" s="21">
        <f t="shared" si="7"/>
        <v>22493500</v>
      </c>
      <c r="Y20" s="21">
        <f t="shared" si="7"/>
        <v>23606000</v>
      </c>
      <c r="Z20" s="21">
        <f t="shared" si="7"/>
        <v>17883000</v>
      </c>
      <c r="AA20" s="21">
        <f t="shared" si="7"/>
        <v>20801000</v>
      </c>
      <c r="AB20" s="21">
        <f t="shared" si="7"/>
        <v>35636700</v>
      </c>
      <c r="AC20" s="21">
        <f t="shared" si="7"/>
        <v>25737000</v>
      </c>
      <c r="AD20" s="21">
        <f t="shared" si="7"/>
        <v>19948500</v>
      </c>
      <c r="AE20" s="21">
        <f t="shared" si="7"/>
        <v>23856000</v>
      </c>
      <c r="AF20" s="21">
        <f t="shared" si="7"/>
        <v>19074000</v>
      </c>
      <c r="AG20" s="21">
        <f t="shared" si="7"/>
        <v>20768000</v>
      </c>
      <c r="AH20" s="21">
        <f t="shared" si="7"/>
        <v>3045000</v>
      </c>
      <c r="AI20" s="21">
        <f t="shared" si="7"/>
        <v>34430000</v>
      </c>
      <c r="AJ20" s="21">
        <f t="shared" si="7"/>
        <v>22604000</v>
      </c>
      <c r="AK20" s="21">
        <f t="shared" si="7"/>
        <v>38445000</v>
      </c>
      <c r="AL20" s="21">
        <f t="shared" si="7"/>
        <v>40913000</v>
      </c>
      <c r="AM20" s="21">
        <f t="shared" si="7"/>
        <v>46552000</v>
      </c>
      <c r="AN20" s="21">
        <f t="shared" si="7"/>
        <v>20163000</v>
      </c>
      <c r="AO20" s="21">
        <f t="shared" si="7"/>
        <v>3290000</v>
      </c>
      <c r="AP20" s="21">
        <f t="shared" si="7"/>
        <v>18034500</v>
      </c>
      <c r="AQ20" s="21">
        <f t="shared" si="7"/>
        <v>24288000</v>
      </c>
      <c r="AR20" s="21">
        <f t="shared" si="7"/>
        <v>34952500</v>
      </c>
      <c r="AS20" s="21">
        <f t="shared" si="7"/>
        <v>2940000</v>
      </c>
      <c r="AT20" s="21">
        <f t="shared" si="7"/>
        <v>36487000</v>
      </c>
      <c r="AU20" s="21">
        <f t="shared" ref="AU20:BA20" si="8">AU6*$C$6+AU7*$C$7+AU8*$C$8+AU9*$C$9+AU10*$C$10+AU11*$C$11+AU12*$C$12+AU13*$C$13+AU16*$C$16+AU17*$C$17+AU18*$C$18</f>
        <v>33165000</v>
      </c>
      <c r="AV20" s="21">
        <f t="shared" si="8"/>
        <v>2520000</v>
      </c>
      <c r="AW20" s="21">
        <f t="shared" si="8"/>
        <v>16340500</v>
      </c>
      <c r="AX20" s="21">
        <f t="shared" si="8"/>
        <v>39369000</v>
      </c>
      <c r="AY20" s="21">
        <f t="shared" si="8"/>
        <v>2030000</v>
      </c>
      <c r="AZ20" s="21">
        <f t="shared" si="8"/>
        <v>38720000</v>
      </c>
      <c r="BA20" s="21">
        <f t="shared" si="8"/>
        <v>39861000</v>
      </c>
      <c r="BB20" s="21">
        <f t="shared" si="7"/>
        <v>33374000</v>
      </c>
      <c r="BC20" s="21">
        <f t="shared" si="7"/>
        <v>20675000</v>
      </c>
      <c r="BD20" s="21">
        <f t="shared" si="7"/>
        <v>26548500</v>
      </c>
      <c r="BE20" s="21">
        <f t="shared" si="7"/>
        <v>3360000</v>
      </c>
      <c r="BF20" s="21">
        <f t="shared" si="7"/>
        <v>36547500</v>
      </c>
      <c r="BG20" s="21">
        <f t="shared" si="7"/>
        <v>33544500</v>
      </c>
      <c r="BH20" s="21">
        <f t="shared" si="7"/>
        <v>3360000</v>
      </c>
      <c r="BI20" s="21">
        <f t="shared" si="7"/>
        <v>20883500</v>
      </c>
      <c r="BJ20" s="21">
        <f t="shared" si="7"/>
        <v>27863000</v>
      </c>
      <c r="BK20" s="21">
        <f t="shared" ref="BK20:BS20" si="9">BK6*$C$6+BK7*$C$7+BK8*$C$8+BK9*$C$9+BK10*$C$10+BK11*$C$11+BK12*$C$12+BK14*$C$14+BK13*$C$13+BK15*$C$15+BK16*$C$16+BK17*$C$17+BK18*$C$18</f>
        <v>22496000</v>
      </c>
      <c r="BL20" s="21">
        <f t="shared" si="9"/>
        <v>31516100</v>
      </c>
      <c r="BM20" s="21">
        <f t="shared" si="9"/>
        <v>3360000</v>
      </c>
      <c r="BN20" s="21">
        <f t="shared" si="9"/>
        <v>38822300</v>
      </c>
      <c r="BO20" s="21">
        <f t="shared" si="9"/>
        <v>29580500</v>
      </c>
      <c r="BP20" s="21">
        <f t="shared" si="9"/>
        <v>3255000</v>
      </c>
      <c r="BQ20" s="21">
        <f t="shared" si="9"/>
        <v>20160300</v>
      </c>
      <c r="BR20" s="21">
        <f t="shared" si="9"/>
        <v>37333000</v>
      </c>
      <c r="BS20" s="21">
        <f t="shared" si="9"/>
        <v>2835000</v>
      </c>
      <c r="BT20" s="21">
        <f>BT6*$C$6+BT7*$C$7+BT8*$C$8+BT9*$C$9+BT10*$C$10+BT11*$C$11+BT12*$C$12+BT14*$C$14+BT13*$C$13+BT15*$C$15+BT16*$C$16+BT17*$C$17+BT18*$C$18</f>
        <v>34348000</v>
      </c>
      <c r="BU20" s="21">
        <f t="shared" ref="BU20:BW20" si="10">BU6*$C$6+BU7*$C$7+BU8*$C$8+BU9*$C$9+BU10*$C$10+BU11*$C$11+BU12*$C$12+BU14*$C$14+BU13*$C$13+BU15*$C$15+BU16*$C$16+BU17*$C$17+BU18*$C$18</f>
        <v>34133800</v>
      </c>
      <c r="BV20" s="21">
        <f t="shared" si="10"/>
        <v>31023500</v>
      </c>
      <c r="BW20" s="21">
        <f t="shared" si="10"/>
        <v>2835000</v>
      </c>
      <c r="BX20" s="131">
        <f>SUM(E20:BW20)</f>
        <v>1598313800</v>
      </c>
    </row>
    <row r="21" spans="1:77" s="3" customFormat="1" ht="29.25" customHeight="1" x14ac:dyDescent="0.35">
      <c r="A21" s="13"/>
      <c r="B21" s="14" t="s">
        <v>73</v>
      </c>
      <c r="C21" s="19"/>
      <c r="D21" s="16"/>
      <c r="E21" s="114">
        <f t="shared" ref="E21:BX21" si="11">+E20*10%</f>
        <v>1945900</v>
      </c>
      <c r="F21" s="21">
        <f t="shared" si="11"/>
        <v>203000</v>
      </c>
      <c r="G21" s="21">
        <f t="shared" si="11"/>
        <v>2300100</v>
      </c>
      <c r="H21" s="21">
        <f t="shared" si="11"/>
        <v>2149400</v>
      </c>
      <c r="I21" s="21">
        <f t="shared" si="11"/>
        <v>213500</v>
      </c>
      <c r="J21" s="21">
        <f t="shared" si="11"/>
        <v>2145550</v>
      </c>
      <c r="K21" s="21">
        <f t="shared" si="11"/>
        <v>2583900</v>
      </c>
      <c r="L21" s="21">
        <f t="shared" si="11"/>
        <v>4101900</v>
      </c>
      <c r="M21" s="30">
        <f t="shared" si="11"/>
        <v>287000</v>
      </c>
      <c r="N21" s="30">
        <f t="shared" si="11"/>
        <v>2437600</v>
      </c>
      <c r="O21" s="30">
        <f t="shared" si="11"/>
        <v>3152710</v>
      </c>
      <c r="P21" s="35">
        <f t="shared" si="11"/>
        <v>1818850</v>
      </c>
      <c r="Q21" s="35">
        <f t="shared" si="11"/>
        <v>1562600</v>
      </c>
      <c r="R21" s="35">
        <f t="shared" si="11"/>
        <v>2209200</v>
      </c>
      <c r="S21" s="35">
        <f t="shared" si="11"/>
        <v>2102150</v>
      </c>
      <c r="T21" s="35">
        <f t="shared" si="11"/>
        <v>1963500</v>
      </c>
      <c r="U21" s="35">
        <f t="shared" si="11"/>
        <v>1978900</v>
      </c>
      <c r="V21" s="118">
        <f t="shared" si="11"/>
        <v>1959700</v>
      </c>
      <c r="W21" s="39">
        <f t="shared" si="11"/>
        <v>2135150</v>
      </c>
      <c r="X21" s="39">
        <f t="shared" si="11"/>
        <v>2249350</v>
      </c>
      <c r="Y21" s="39">
        <f t="shared" si="11"/>
        <v>2360600</v>
      </c>
      <c r="Z21" s="39">
        <f t="shared" si="11"/>
        <v>1788300</v>
      </c>
      <c r="AA21" s="39">
        <f t="shared" si="11"/>
        <v>2080100</v>
      </c>
      <c r="AB21" s="39">
        <f t="shared" si="11"/>
        <v>3563670</v>
      </c>
      <c r="AC21" s="43">
        <f>+AC20*10%</f>
        <v>2573700</v>
      </c>
      <c r="AD21" s="43">
        <f t="shared" si="11"/>
        <v>1994850</v>
      </c>
      <c r="AE21" s="43">
        <f t="shared" si="11"/>
        <v>2385600</v>
      </c>
      <c r="AF21" s="43">
        <f t="shared" si="11"/>
        <v>1907400</v>
      </c>
      <c r="AG21" s="43">
        <f t="shared" si="11"/>
        <v>2076800</v>
      </c>
      <c r="AH21" s="51">
        <f>+AH20*10%</f>
        <v>304500</v>
      </c>
      <c r="AI21" s="51">
        <f t="shared" si="11"/>
        <v>3443000</v>
      </c>
      <c r="AJ21" s="51">
        <f t="shared" si="11"/>
        <v>2260400</v>
      </c>
      <c r="AK21" s="51">
        <f t="shared" si="11"/>
        <v>3844500</v>
      </c>
      <c r="AL21" s="51">
        <f t="shared" si="11"/>
        <v>4091300</v>
      </c>
      <c r="AM21" s="71">
        <f t="shared" si="11"/>
        <v>4655200</v>
      </c>
      <c r="AN21" s="71">
        <f t="shared" si="11"/>
        <v>2016300</v>
      </c>
      <c r="AO21" s="71">
        <f t="shared" si="11"/>
        <v>329000</v>
      </c>
      <c r="AP21" s="71">
        <f t="shared" si="11"/>
        <v>1803450</v>
      </c>
      <c r="AQ21" s="71">
        <f t="shared" si="11"/>
        <v>2428800</v>
      </c>
      <c r="AR21" s="71">
        <f t="shared" si="11"/>
        <v>3495250</v>
      </c>
      <c r="AS21" s="71">
        <f t="shared" si="11"/>
        <v>294000</v>
      </c>
      <c r="AT21" s="144">
        <f t="shared" si="11"/>
        <v>3648700</v>
      </c>
      <c r="AU21" s="83">
        <f>+AU20*10%</f>
        <v>3316500</v>
      </c>
      <c r="AV21" s="83">
        <f>+AV20*10%</f>
        <v>252000</v>
      </c>
      <c r="AW21" s="83">
        <f>+AW20*10%</f>
        <v>1634050</v>
      </c>
      <c r="AX21" s="83">
        <f>+AX20*10%</f>
        <v>3936900</v>
      </c>
      <c r="AY21" s="83">
        <f t="shared" si="11"/>
        <v>203000</v>
      </c>
      <c r="AZ21" s="83">
        <f t="shared" si="11"/>
        <v>3872000</v>
      </c>
      <c r="BA21" s="83">
        <f t="shared" si="11"/>
        <v>3986100</v>
      </c>
      <c r="BB21" s="88">
        <f t="shared" si="11"/>
        <v>3337400</v>
      </c>
      <c r="BC21" s="88">
        <f t="shared" si="11"/>
        <v>2067500</v>
      </c>
      <c r="BD21" s="88">
        <f t="shared" si="11"/>
        <v>2654850</v>
      </c>
      <c r="BE21" s="88">
        <f t="shared" si="11"/>
        <v>336000</v>
      </c>
      <c r="BF21" s="88">
        <f t="shared" si="11"/>
        <v>3654750</v>
      </c>
      <c r="BG21" s="88">
        <f t="shared" si="11"/>
        <v>3354450</v>
      </c>
      <c r="BH21" s="88">
        <f t="shared" si="11"/>
        <v>336000</v>
      </c>
      <c r="BI21" s="21">
        <f t="shared" si="11"/>
        <v>2088350</v>
      </c>
      <c r="BJ21" s="21">
        <f t="shared" si="11"/>
        <v>2786300</v>
      </c>
      <c r="BK21" s="21">
        <f t="shared" si="11"/>
        <v>2249600</v>
      </c>
      <c r="BL21" s="21">
        <f t="shared" si="11"/>
        <v>3151610</v>
      </c>
      <c r="BM21" s="21">
        <f t="shared" si="11"/>
        <v>336000</v>
      </c>
      <c r="BN21" s="97">
        <f t="shared" si="11"/>
        <v>3882230</v>
      </c>
      <c r="BO21" s="97">
        <f t="shared" si="11"/>
        <v>2958050</v>
      </c>
      <c r="BP21" s="97">
        <f t="shared" si="11"/>
        <v>325500</v>
      </c>
      <c r="BQ21" s="97">
        <f t="shared" si="11"/>
        <v>2016030</v>
      </c>
      <c r="BR21" s="97">
        <f>+BR20*10%</f>
        <v>3733300</v>
      </c>
      <c r="BS21" s="97">
        <f t="shared" ref="BS21:BW21" si="12">+BS20*10%</f>
        <v>283500</v>
      </c>
      <c r="BT21" s="97">
        <f>+BT20*10%</f>
        <v>3434800</v>
      </c>
      <c r="BU21" s="97">
        <f t="shared" si="12"/>
        <v>3413380</v>
      </c>
      <c r="BV21" s="97">
        <f t="shared" si="12"/>
        <v>3102350</v>
      </c>
      <c r="BW21" s="97">
        <f t="shared" si="12"/>
        <v>283500</v>
      </c>
      <c r="BX21" s="131">
        <f t="shared" si="11"/>
        <v>159831380</v>
      </c>
    </row>
    <row r="22" spans="1:77" s="3" customFormat="1" ht="29.25" customHeight="1" thickBot="1" x14ac:dyDescent="0.4">
      <c r="A22" s="13"/>
      <c r="B22" s="14" t="s">
        <v>74</v>
      </c>
      <c r="C22" s="19"/>
      <c r="D22" s="16"/>
      <c r="E22" s="22">
        <f t="shared" ref="E22:BX22" si="13">+E20+E21</f>
        <v>21404900</v>
      </c>
      <c r="F22" s="23">
        <f t="shared" si="13"/>
        <v>2233000</v>
      </c>
      <c r="G22" s="23">
        <f t="shared" si="13"/>
        <v>25301100</v>
      </c>
      <c r="H22" s="23">
        <f t="shared" si="13"/>
        <v>23643400</v>
      </c>
      <c r="I22" s="23">
        <f t="shared" si="13"/>
        <v>2348500</v>
      </c>
      <c r="J22" s="23">
        <f t="shared" si="13"/>
        <v>23601050</v>
      </c>
      <c r="K22" s="23">
        <f t="shared" si="13"/>
        <v>28422900</v>
      </c>
      <c r="L22" s="23">
        <f t="shared" si="13"/>
        <v>45120900</v>
      </c>
      <c r="M22" s="31">
        <f t="shared" si="13"/>
        <v>3157000</v>
      </c>
      <c r="N22" s="31">
        <f t="shared" si="13"/>
        <v>26813600</v>
      </c>
      <c r="O22" s="31">
        <f t="shared" si="13"/>
        <v>34679810</v>
      </c>
      <c r="P22" s="35">
        <f t="shared" si="13"/>
        <v>20007350</v>
      </c>
      <c r="Q22" s="35">
        <f t="shared" si="13"/>
        <v>17188600</v>
      </c>
      <c r="R22" s="35">
        <f t="shared" si="13"/>
        <v>24301200</v>
      </c>
      <c r="S22" s="35">
        <f t="shared" si="13"/>
        <v>23123650</v>
      </c>
      <c r="T22" s="35">
        <f t="shared" si="13"/>
        <v>21598500</v>
      </c>
      <c r="U22" s="35">
        <f t="shared" si="13"/>
        <v>21767900</v>
      </c>
      <c r="V22" s="119">
        <f t="shared" si="13"/>
        <v>21556700</v>
      </c>
      <c r="W22" s="40">
        <f t="shared" si="13"/>
        <v>23486650</v>
      </c>
      <c r="X22" s="40">
        <f t="shared" si="13"/>
        <v>24742850</v>
      </c>
      <c r="Y22" s="40">
        <f t="shared" si="13"/>
        <v>25966600</v>
      </c>
      <c r="Z22" s="40">
        <f t="shared" si="13"/>
        <v>19671300</v>
      </c>
      <c r="AA22" s="40">
        <f t="shared" si="13"/>
        <v>22881100</v>
      </c>
      <c r="AB22" s="40">
        <f t="shared" si="13"/>
        <v>39200370</v>
      </c>
      <c r="AC22" s="44">
        <f>+AC20+AC21</f>
        <v>28310700</v>
      </c>
      <c r="AD22" s="44">
        <f t="shared" si="13"/>
        <v>21943350</v>
      </c>
      <c r="AE22" s="44">
        <f t="shared" si="13"/>
        <v>26241600</v>
      </c>
      <c r="AF22" s="44">
        <f t="shared" si="13"/>
        <v>20981400</v>
      </c>
      <c r="AG22" s="44">
        <f t="shared" si="13"/>
        <v>22844800</v>
      </c>
      <c r="AH22" s="53">
        <f t="shared" si="13"/>
        <v>3349500</v>
      </c>
      <c r="AI22" s="53">
        <f t="shared" si="13"/>
        <v>37873000</v>
      </c>
      <c r="AJ22" s="53">
        <f t="shared" si="13"/>
        <v>24864400</v>
      </c>
      <c r="AK22" s="53">
        <f t="shared" si="13"/>
        <v>42289500</v>
      </c>
      <c r="AL22" s="53">
        <f t="shared" si="13"/>
        <v>45004300</v>
      </c>
      <c r="AM22" s="72">
        <f t="shared" si="13"/>
        <v>51207200</v>
      </c>
      <c r="AN22" s="72">
        <f t="shared" si="13"/>
        <v>22179300</v>
      </c>
      <c r="AO22" s="72">
        <f t="shared" si="13"/>
        <v>3619000</v>
      </c>
      <c r="AP22" s="72">
        <f t="shared" si="13"/>
        <v>19837950</v>
      </c>
      <c r="AQ22" s="72">
        <f t="shared" si="13"/>
        <v>26716800</v>
      </c>
      <c r="AR22" s="72">
        <f t="shared" si="13"/>
        <v>38447750</v>
      </c>
      <c r="AS22" s="72">
        <f t="shared" si="13"/>
        <v>3234000</v>
      </c>
      <c r="AT22" s="145">
        <f t="shared" si="13"/>
        <v>40135700</v>
      </c>
      <c r="AU22" s="84">
        <f>+AU20+AU21</f>
        <v>36481500</v>
      </c>
      <c r="AV22" s="84">
        <f>+AV20+AV21</f>
        <v>2772000</v>
      </c>
      <c r="AW22" s="84">
        <f t="shared" si="13"/>
        <v>17974550</v>
      </c>
      <c r="AX22" s="84">
        <f t="shared" si="13"/>
        <v>43305900</v>
      </c>
      <c r="AY22" s="84">
        <f t="shared" si="13"/>
        <v>2233000</v>
      </c>
      <c r="AZ22" s="84">
        <f t="shared" si="13"/>
        <v>42592000</v>
      </c>
      <c r="BA22" s="84">
        <f t="shared" si="13"/>
        <v>43847100</v>
      </c>
      <c r="BB22" s="89">
        <f t="shared" si="13"/>
        <v>36711400</v>
      </c>
      <c r="BC22" s="89">
        <f t="shared" si="13"/>
        <v>22742500</v>
      </c>
      <c r="BD22" s="89">
        <f t="shared" si="13"/>
        <v>29203350</v>
      </c>
      <c r="BE22" s="89">
        <f t="shared" si="13"/>
        <v>3696000</v>
      </c>
      <c r="BF22" s="89">
        <f t="shared" si="13"/>
        <v>40202250</v>
      </c>
      <c r="BG22" s="89">
        <f>+BG20+BG21</f>
        <v>36898950</v>
      </c>
      <c r="BH22" s="89">
        <f>+BH20+BH21</f>
        <v>3696000</v>
      </c>
      <c r="BI22" s="23">
        <f t="shared" si="13"/>
        <v>22971850</v>
      </c>
      <c r="BJ22" s="23">
        <f t="shared" si="13"/>
        <v>30649300</v>
      </c>
      <c r="BK22" s="23">
        <f t="shared" si="13"/>
        <v>24745600</v>
      </c>
      <c r="BL22" s="23">
        <f t="shared" si="13"/>
        <v>34667710</v>
      </c>
      <c r="BM22" s="23">
        <f t="shared" si="13"/>
        <v>3696000</v>
      </c>
      <c r="BN22" s="98">
        <f t="shared" si="13"/>
        <v>42704530</v>
      </c>
      <c r="BO22" s="98">
        <f t="shared" si="13"/>
        <v>32538550</v>
      </c>
      <c r="BP22" s="98">
        <f t="shared" si="13"/>
        <v>3580500</v>
      </c>
      <c r="BQ22" s="98">
        <f t="shared" si="13"/>
        <v>22176330</v>
      </c>
      <c r="BR22" s="98">
        <f>+BR20+BR21</f>
        <v>41066300</v>
      </c>
      <c r="BS22" s="98">
        <f t="shared" ref="BS22:BW22" si="14">+BS20+BS21</f>
        <v>3118500</v>
      </c>
      <c r="BT22" s="98">
        <f>+BT20+BT21</f>
        <v>37782800</v>
      </c>
      <c r="BU22" s="98">
        <f t="shared" si="14"/>
        <v>37547180</v>
      </c>
      <c r="BV22" s="98">
        <f t="shared" si="14"/>
        <v>34125850</v>
      </c>
      <c r="BW22" s="98">
        <f t="shared" si="14"/>
        <v>3118500</v>
      </c>
      <c r="BX22" s="131">
        <f t="shared" si="13"/>
        <v>1758145180</v>
      </c>
      <c r="BY22" s="24"/>
    </row>
    <row r="23" spans="1:77" s="3" customFormat="1" ht="29.25" customHeight="1" x14ac:dyDescent="0.35">
      <c r="A23" s="259" t="s">
        <v>194</v>
      </c>
      <c r="B23" s="260"/>
      <c r="C23" s="260"/>
      <c r="D23" s="260"/>
      <c r="E23" s="225">
        <f>SUM(E22:L22)</f>
        <v>172075750</v>
      </c>
      <c r="F23" s="225"/>
      <c r="G23" s="225"/>
      <c r="H23" s="225"/>
      <c r="I23" s="225"/>
      <c r="J23" s="225"/>
      <c r="K23" s="225"/>
      <c r="L23" s="256"/>
      <c r="M23" s="215">
        <f>SUM(M22:O22)</f>
        <v>64650410</v>
      </c>
      <c r="N23" s="216"/>
      <c r="O23" s="257"/>
      <c r="P23" s="261">
        <f>SUM(P22:U22)</f>
        <v>127987200</v>
      </c>
      <c r="Q23" s="262"/>
      <c r="R23" s="262"/>
      <c r="S23" s="262"/>
      <c r="T23" s="262"/>
      <c r="U23" s="263"/>
      <c r="V23" s="217">
        <f>SUM(V22:AB22)</f>
        <v>177505570</v>
      </c>
      <c r="W23" s="218"/>
      <c r="X23" s="218"/>
      <c r="Y23" s="218"/>
      <c r="Z23" s="218"/>
      <c r="AA23" s="218"/>
      <c r="AB23" s="219"/>
      <c r="AC23" s="197">
        <f>SUM(AC22:AG22)</f>
        <v>120321850</v>
      </c>
      <c r="AD23" s="198"/>
      <c r="AE23" s="198"/>
      <c r="AF23" s="198"/>
      <c r="AG23" s="199"/>
      <c r="AH23" s="204">
        <f>SUM(AH22:AL22)</f>
        <v>153380700</v>
      </c>
      <c r="AI23" s="205"/>
      <c r="AJ23" s="205"/>
      <c r="AK23" s="205"/>
      <c r="AL23" s="264"/>
      <c r="AM23" s="200">
        <f>SUM(AM22:AM22:AM22:AT22)</f>
        <v>205377700</v>
      </c>
      <c r="AN23" s="201"/>
      <c r="AO23" s="201"/>
      <c r="AP23" s="201"/>
      <c r="AQ23" s="201"/>
      <c r="AR23" s="201"/>
      <c r="AS23" s="201"/>
      <c r="AT23" s="201"/>
      <c r="AU23" s="202">
        <f>SUM(AU22:BA22)</f>
        <v>189206050</v>
      </c>
      <c r="AV23" s="202"/>
      <c r="AW23" s="202"/>
      <c r="AX23" s="202"/>
      <c r="AY23" s="202"/>
      <c r="AZ23" s="202"/>
      <c r="BA23" s="203"/>
      <c r="BB23" s="206">
        <f>SUM(BB22:BH22)</f>
        <v>173150450</v>
      </c>
      <c r="BC23" s="207"/>
      <c r="BD23" s="207"/>
      <c r="BE23" s="207"/>
      <c r="BF23" s="207"/>
      <c r="BG23" s="207"/>
      <c r="BH23" s="208"/>
      <c r="BI23" s="255">
        <f>SUM(BI22:BM22)</f>
        <v>116730460</v>
      </c>
      <c r="BJ23" s="225"/>
      <c r="BK23" s="225"/>
      <c r="BL23" s="225"/>
      <c r="BM23" s="256"/>
      <c r="BN23" s="255">
        <f>SUM(BN22:BR22)</f>
        <v>142066210</v>
      </c>
      <c r="BO23" s="225"/>
      <c r="BP23" s="225"/>
      <c r="BQ23" s="225"/>
      <c r="BR23" s="256"/>
      <c r="BS23" s="215">
        <f>SUM(BS22:BW22)</f>
        <v>115692830</v>
      </c>
      <c r="BT23" s="216"/>
      <c r="BU23" s="216"/>
      <c r="BV23" s="216"/>
      <c r="BW23" s="257"/>
      <c r="BX23" s="131"/>
      <c r="BY23" s="24"/>
    </row>
    <row r="24" spans="1:77" ht="41.25" customHeight="1" x14ac:dyDescent="0.35">
      <c r="A24" s="252" t="s">
        <v>75</v>
      </c>
      <c r="B24" s="253"/>
      <c r="C24" s="253"/>
      <c r="D24" s="254"/>
      <c r="E24" s="237" t="s">
        <v>76</v>
      </c>
      <c r="F24" s="237"/>
      <c r="G24" s="237"/>
      <c r="H24" s="237"/>
      <c r="I24" s="237"/>
      <c r="J24" s="237"/>
      <c r="K24" s="237"/>
      <c r="L24" s="237"/>
      <c r="M24" s="237"/>
      <c r="N24" s="237"/>
      <c r="O24" s="237"/>
      <c r="P24" s="237"/>
      <c r="Q24" s="237"/>
      <c r="R24" s="237"/>
      <c r="S24" s="237"/>
      <c r="T24" s="237"/>
      <c r="U24" s="237"/>
      <c r="V24" s="237"/>
      <c r="W24" s="237"/>
      <c r="X24" s="237"/>
      <c r="Y24" s="237"/>
      <c r="Z24" s="237"/>
      <c r="AA24" s="237"/>
      <c r="AB24" s="237"/>
      <c r="AC24" s="238"/>
      <c r="AD24" s="238"/>
      <c r="AE24" s="238"/>
      <c r="AF24" s="238"/>
      <c r="AG24" s="238"/>
      <c r="AH24" s="238"/>
      <c r="AI24" s="238"/>
      <c r="AJ24" s="238"/>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c r="BX24" s="132"/>
      <c r="BY24" s="26"/>
    </row>
    <row r="25" spans="1:77" s="47" customFormat="1" ht="21" customHeight="1" x14ac:dyDescent="0.35">
      <c r="A25" s="231" t="s">
        <v>77</v>
      </c>
      <c r="B25" s="232"/>
      <c r="C25" s="232"/>
      <c r="D25" s="233"/>
      <c r="E25" s="66"/>
      <c r="F25" s="110"/>
      <c r="G25" s="110"/>
      <c r="H25" s="110"/>
      <c r="I25" s="108"/>
      <c r="J25" s="108"/>
      <c r="K25" s="108"/>
      <c r="L25" s="108"/>
      <c r="M25" s="109"/>
      <c r="N25" s="112"/>
      <c r="O25" s="112"/>
      <c r="P25" s="229"/>
      <c r="Q25" s="229"/>
      <c r="R25" s="229"/>
      <c r="S25" s="229"/>
      <c r="T25" s="229"/>
      <c r="U25" s="229"/>
      <c r="V25" s="229"/>
      <c r="W25" s="230"/>
      <c r="X25" s="228"/>
      <c r="Y25" s="239"/>
      <c r="Z25" s="239"/>
      <c r="AA25" s="239"/>
      <c r="AB25" s="258"/>
      <c r="AC25" s="240"/>
      <c r="AD25" s="229"/>
      <c r="AE25" s="229"/>
      <c r="AF25" s="229"/>
      <c r="AG25" s="229"/>
      <c r="AH25" s="229"/>
      <c r="AI25" s="229"/>
      <c r="AJ25" s="92"/>
      <c r="AK25" s="240"/>
      <c r="AL25" s="229"/>
      <c r="AM25" s="229"/>
      <c r="AN25" s="92"/>
      <c r="AO25" s="241"/>
      <c r="AP25" s="241"/>
      <c r="AQ25" s="241"/>
      <c r="AR25" s="241"/>
      <c r="AS25" s="92"/>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133"/>
    </row>
    <row r="26" spans="1:77" x14ac:dyDescent="0.35">
      <c r="A26" s="136"/>
      <c r="B26" s="136"/>
      <c r="C26" s="136"/>
      <c r="D26" s="136"/>
    </row>
    <row r="27" spans="1:77" x14ac:dyDescent="0.35">
      <c r="G27" s="2" t="s">
        <v>84</v>
      </c>
      <c r="AE27" s="2">
        <f>3230-AE19</f>
        <v>-59</v>
      </c>
    </row>
    <row r="29" spans="1:77" x14ac:dyDescent="0.35">
      <c r="W29" s="48"/>
    </row>
    <row r="30" spans="1:77" x14ac:dyDescent="0.35">
      <c r="S30" s="26"/>
      <c r="T30" s="26"/>
      <c r="U30" s="26"/>
      <c r="AE30" s="2">
        <f>118*35000</f>
        <v>4130000</v>
      </c>
    </row>
    <row r="31" spans="1:77" x14ac:dyDescent="0.35">
      <c r="AE31" s="26">
        <f>AC23-AE30</f>
        <v>116191850</v>
      </c>
    </row>
  </sheetData>
  <mergeCells count="41">
    <mergeCell ref="A7:A8"/>
    <mergeCell ref="A1:BX1"/>
    <mergeCell ref="A2:A5"/>
    <mergeCell ref="B2:D2"/>
    <mergeCell ref="B4:B5"/>
    <mergeCell ref="C4:C5"/>
    <mergeCell ref="D4:D5"/>
    <mergeCell ref="E4:L4"/>
    <mergeCell ref="M4:O4"/>
    <mergeCell ref="P4:U4"/>
    <mergeCell ref="V4:AB4"/>
    <mergeCell ref="B3:D3"/>
    <mergeCell ref="AV4:BA4"/>
    <mergeCell ref="AM4:AT4"/>
    <mergeCell ref="BI4:BM4"/>
    <mergeCell ref="AC4:AG4"/>
    <mergeCell ref="AH23:AL23"/>
    <mergeCell ref="AC23:AG23"/>
    <mergeCell ref="AM23:AT23"/>
    <mergeCell ref="AU23:BA23"/>
    <mergeCell ref="AH4:AL4"/>
    <mergeCell ref="A23:D23"/>
    <mergeCell ref="E23:L23"/>
    <mergeCell ref="M23:O23"/>
    <mergeCell ref="P23:U23"/>
    <mergeCell ref="V23:AB23"/>
    <mergeCell ref="A24:D24"/>
    <mergeCell ref="E24:BW24"/>
    <mergeCell ref="A25:D25"/>
    <mergeCell ref="P25:W25"/>
    <mergeCell ref="X25:AB25"/>
    <mergeCell ref="AC25:AI25"/>
    <mergeCell ref="AK25:AM25"/>
    <mergeCell ref="BI23:BM23"/>
    <mergeCell ref="BN23:BR23"/>
    <mergeCell ref="BS23:BW23"/>
    <mergeCell ref="AO25:AR25"/>
    <mergeCell ref="BN4:BR4"/>
    <mergeCell ref="BS4:BW4"/>
    <mergeCell ref="BB4:BG4"/>
    <mergeCell ref="BB23:BH23"/>
  </mergeCells>
  <pageMargins left="0.7" right="0.7" top="0.75" bottom="0.75" header="0.3" footer="0.3"/>
  <pageSetup scale="50" orientation="landscape" horizontalDpi="4294967295" verticalDpi="4294967295"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V40"/>
  <sheetViews>
    <sheetView tabSelected="1" zoomScale="55" zoomScaleNormal="55" workbookViewId="0">
      <pane xSplit="4" ySplit="4" topLeftCell="E22" activePane="bottomRight" state="frozen"/>
      <selection pane="topRight" activeCell="E1" sqref="E1"/>
      <selection pane="bottomLeft" activeCell="A5" sqref="A5"/>
      <selection pane="bottomRight" activeCell="L31" sqref="L31"/>
    </sheetView>
  </sheetViews>
  <sheetFormatPr defaultColWidth="9.1796875" defaultRowHeight="16.5" customHeight="1" x14ac:dyDescent="0.35"/>
  <cols>
    <col min="1" max="1" width="4.81640625" style="2" bestFit="1" customWidth="1"/>
    <col min="2" max="2" width="81.453125" style="27" customWidth="1"/>
    <col min="3" max="3" width="19" style="27" customWidth="1"/>
    <col min="4" max="4" width="14" style="2" customWidth="1"/>
    <col min="5" max="17" width="15.1796875" style="2" customWidth="1"/>
    <col min="18" max="21" width="14.81640625" style="2" customWidth="1"/>
    <col min="22" max="54" width="15.1796875" style="2" customWidth="1"/>
    <col min="55" max="61" width="16.453125" style="2" customWidth="1"/>
    <col min="62" max="81" width="15.1796875" style="2" customWidth="1"/>
    <col min="82" max="85" width="14.54296875" style="2" customWidth="1"/>
    <col min="86" max="92" width="13.453125" style="2" customWidth="1"/>
    <col min="93" max="101" width="17.1796875" style="2" customWidth="1"/>
    <col min="102" max="124" width="15.1796875" style="2" customWidth="1"/>
    <col min="125" max="125" width="24.453125" style="134" customWidth="1"/>
    <col min="126" max="126" width="9.1796875" style="2" customWidth="1"/>
    <col min="127" max="16384" width="9.1796875" style="2"/>
  </cols>
  <sheetData>
    <row r="1" spans="1:126" ht="57.75" customHeight="1" x14ac:dyDescent="0.35">
      <c r="A1" s="172" t="s">
        <v>195</v>
      </c>
      <c r="B1" s="173"/>
      <c r="C1" s="173"/>
      <c r="D1" s="173"/>
      <c r="E1" s="173"/>
      <c r="F1" s="173"/>
      <c r="G1" s="173"/>
      <c r="H1" s="173"/>
      <c r="I1" s="173"/>
      <c r="J1" s="173"/>
      <c r="K1" s="173"/>
      <c r="L1" s="173"/>
      <c r="M1" s="173"/>
      <c r="N1" s="173"/>
      <c r="O1" s="173"/>
      <c r="P1" s="173"/>
      <c r="Q1" s="173"/>
      <c r="R1" s="173"/>
      <c r="S1" s="173"/>
      <c r="T1" s="173"/>
      <c r="U1" s="173"/>
      <c r="V1" s="173" t="s">
        <v>196</v>
      </c>
      <c r="W1" s="173" t="s">
        <v>196</v>
      </c>
      <c r="X1" s="173" t="s">
        <v>196</v>
      </c>
      <c r="Y1" s="173" t="s">
        <v>196</v>
      </c>
      <c r="Z1" s="173" t="s">
        <v>196</v>
      </c>
      <c r="AA1" s="173" t="s">
        <v>196</v>
      </c>
      <c r="AB1" s="173" t="s">
        <v>196</v>
      </c>
      <c r="AC1" s="173" t="s">
        <v>196</v>
      </c>
      <c r="AD1" s="173" t="s">
        <v>196</v>
      </c>
      <c r="AE1" s="173" t="s">
        <v>196</v>
      </c>
      <c r="AF1" s="173" t="s">
        <v>196</v>
      </c>
      <c r="AG1" s="173" t="s">
        <v>196</v>
      </c>
      <c r="AH1" s="173" t="s">
        <v>196</v>
      </c>
      <c r="AI1" s="173"/>
      <c r="AJ1" s="173"/>
      <c r="AK1" s="173"/>
      <c r="AL1" s="173"/>
      <c r="AM1" s="173"/>
      <c r="AN1" s="173"/>
      <c r="AO1" s="173"/>
      <c r="AP1" s="173"/>
      <c r="AQ1" s="173"/>
      <c r="AR1" s="173"/>
      <c r="AS1" s="173"/>
      <c r="AT1" s="173"/>
      <c r="AU1" s="173"/>
      <c r="AV1" s="173"/>
      <c r="AW1" s="173"/>
      <c r="AX1" s="173"/>
      <c r="AY1" s="173"/>
      <c r="AZ1" s="173"/>
      <c r="BA1" s="173"/>
      <c r="BB1" s="173"/>
      <c r="BC1" s="173"/>
      <c r="BD1" s="173"/>
      <c r="BE1" s="173"/>
      <c r="BF1" s="173"/>
      <c r="BG1" s="173"/>
      <c r="BH1" s="173"/>
      <c r="BI1" s="173"/>
      <c r="BJ1" s="173"/>
      <c r="BK1" s="173"/>
      <c r="BL1" s="173"/>
      <c r="BM1" s="173"/>
      <c r="BN1" s="173"/>
      <c r="BO1" s="173"/>
      <c r="BP1" s="173"/>
      <c r="BQ1" s="173"/>
      <c r="BR1" s="173"/>
      <c r="BS1" s="173"/>
      <c r="BT1" s="173"/>
      <c r="BU1" s="173"/>
      <c r="BV1" s="173"/>
      <c r="BW1" s="173"/>
      <c r="BX1" s="173"/>
      <c r="BY1" s="173"/>
      <c r="BZ1" s="173"/>
      <c r="CA1" s="173"/>
      <c r="CB1" s="173"/>
      <c r="CC1" s="173"/>
      <c r="CD1" s="173"/>
      <c r="CE1" s="173"/>
      <c r="CF1" s="173"/>
      <c r="CG1" s="173"/>
      <c r="CH1" s="173"/>
      <c r="CI1" s="173"/>
      <c r="CJ1" s="173"/>
      <c r="CK1" s="173"/>
      <c r="CL1" s="173"/>
      <c r="CM1" s="173"/>
      <c r="CN1" s="173"/>
      <c r="CO1" s="173"/>
      <c r="CP1" s="173"/>
      <c r="CQ1" s="173"/>
      <c r="CR1" s="173"/>
      <c r="CS1" s="173"/>
      <c r="CT1" s="173"/>
      <c r="CU1" s="173"/>
      <c r="CV1" s="173"/>
      <c r="CW1" s="173"/>
      <c r="CX1" s="173"/>
      <c r="CY1" s="173"/>
      <c r="CZ1" s="173"/>
      <c r="DA1" s="173"/>
      <c r="DB1" s="173"/>
      <c r="DC1" s="173"/>
      <c r="DD1" s="173"/>
      <c r="DE1" s="173"/>
      <c r="DF1" s="173"/>
      <c r="DG1" s="173"/>
      <c r="DH1" s="173"/>
      <c r="DI1" s="173"/>
      <c r="DJ1" s="173"/>
      <c r="DK1" s="173"/>
      <c r="DL1" s="173"/>
      <c r="DM1" s="173"/>
      <c r="DN1" s="173"/>
      <c r="DO1" s="173"/>
      <c r="DP1" s="173"/>
      <c r="DQ1" s="173"/>
      <c r="DR1" s="173"/>
      <c r="DS1" s="173"/>
      <c r="DT1" s="173"/>
      <c r="DU1" s="173"/>
      <c r="DV1" s="1"/>
    </row>
    <row r="2" spans="1:126" s="1" customFormat="1" ht="22.5" customHeight="1" x14ac:dyDescent="0.35">
      <c r="A2" s="13" t="s">
        <v>1</v>
      </c>
      <c r="B2" s="174" t="s">
        <v>197</v>
      </c>
      <c r="C2" s="175"/>
      <c r="D2" s="176"/>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41"/>
      <c r="BU2" s="141"/>
      <c r="BV2" s="141"/>
      <c r="BW2" s="141"/>
      <c r="BX2" s="141"/>
      <c r="BY2" s="141"/>
      <c r="BZ2" s="141"/>
      <c r="CA2" s="141"/>
      <c r="CB2" s="141"/>
      <c r="CC2" s="141"/>
      <c r="CD2" s="141"/>
      <c r="CE2" s="139"/>
      <c r="CF2" s="139"/>
      <c r="CG2" s="139"/>
      <c r="CH2" s="139"/>
      <c r="CI2" s="139"/>
      <c r="CJ2" s="139"/>
      <c r="CK2" s="139"/>
      <c r="CL2" s="139"/>
      <c r="CM2" s="139"/>
      <c r="CN2" s="139"/>
      <c r="CO2" s="139"/>
      <c r="CP2" s="139"/>
      <c r="CQ2" s="139"/>
      <c r="CR2" s="139"/>
      <c r="CS2" s="139"/>
      <c r="CT2" s="139"/>
      <c r="CU2" s="139"/>
      <c r="CV2" s="139"/>
      <c r="CW2" s="139"/>
      <c r="CX2" s="141"/>
      <c r="CY2" s="141"/>
      <c r="CZ2" s="141"/>
      <c r="DA2" s="141"/>
      <c r="DB2" s="141"/>
      <c r="DC2" s="141"/>
      <c r="DD2" s="141"/>
      <c r="DE2" s="141"/>
      <c r="DF2" s="141"/>
      <c r="DG2" s="141"/>
      <c r="DH2" s="139"/>
      <c r="DI2" s="139"/>
      <c r="DJ2" s="139"/>
      <c r="DK2" s="139"/>
      <c r="DL2" s="139"/>
      <c r="DM2" s="139"/>
      <c r="DN2" s="139"/>
      <c r="DO2" s="139"/>
      <c r="DP2" s="139"/>
      <c r="DQ2" s="139"/>
      <c r="DR2" s="139"/>
      <c r="DS2" s="139"/>
      <c r="DT2" s="139"/>
      <c r="DU2" s="128"/>
    </row>
    <row r="3" spans="1:126" s="3" customFormat="1" ht="48" customHeight="1" x14ac:dyDescent="0.35">
      <c r="A3" s="13"/>
      <c r="B3" s="19" t="s">
        <v>6</v>
      </c>
      <c r="C3" s="19" t="s">
        <v>135</v>
      </c>
      <c r="D3" s="19" t="s">
        <v>8</v>
      </c>
      <c r="E3" s="223" t="s">
        <v>9</v>
      </c>
      <c r="F3" s="224"/>
      <c r="G3" s="224"/>
      <c r="H3" s="224"/>
      <c r="I3" s="224"/>
      <c r="J3" s="224"/>
      <c r="K3" s="224"/>
      <c r="L3" s="224"/>
      <c r="M3" s="224"/>
      <c r="N3" s="224"/>
      <c r="O3" s="226"/>
      <c r="P3" s="227"/>
      <c r="Q3" s="227"/>
      <c r="R3" s="227"/>
      <c r="S3" s="227"/>
      <c r="T3" s="227"/>
      <c r="U3" s="227"/>
      <c r="V3" s="194"/>
      <c r="W3" s="195"/>
      <c r="X3" s="195"/>
      <c r="Y3" s="195"/>
      <c r="Z3" s="195"/>
      <c r="AA3" s="195"/>
      <c r="AB3" s="195"/>
      <c r="AC3" s="195"/>
      <c r="AD3" s="195"/>
      <c r="AE3" s="195"/>
      <c r="AF3" s="196"/>
      <c r="AG3" s="127"/>
      <c r="AH3" s="127"/>
      <c r="AI3" s="127"/>
      <c r="AJ3" s="127"/>
      <c r="AK3" s="127"/>
      <c r="AL3" s="127"/>
      <c r="AM3" s="127"/>
      <c r="AN3" s="127"/>
      <c r="AO3" s="194"/>
      <c r="AP3" s="195"/>
      <c r="AQ3" s="195"/>
      <c r="AR3" s="195"/>
      <c r="AS3" s="195"/>
      <c r="AT3" s="195"/>
      <c r="AU3" s="195"/>
      <c r="AV3" s="195"/>
      <c r="AW3" s="195"/>
      <c r="AX3" s="195"/>
      <c r="AY3" s="196"/>
      <c r="AZ3" s="194"/>
      <c r="BA3" s="195"/>
      <c r="BB3" s="195"/>
      <c r="BC3" s="195"/>
      <c r="BD3" s="195"/>
      <c r="BE3" s="195"/>
      <c r="BF3" s="195"/>
      <c r="BG3" s="195"/>
      <c r="BH3" s="195"/>
      <c r="BI3" s="196"/>
      <c r="BJ3" s="194"/>
      <c r="BK3" s="195"/>
      <c r="BL3" s="195"/>
      <c r="BM3" s="195"/>
      <c r="BN3" s="195"/>
      <c r="BO3" s="195"/>
      <c r="BP3" s="195"/>
      <c r="BQ3" s="195"/>
      <c r="BR3" s="195"/>
      <c r="BS3" s="196"/>
      <c r="BT3" s="194"/>
      <c r="BU3" s="195"/>
      <c r="BV3" s="195"/>
      <c r="BW3" s="195"/>
      <c r="BX3" s="195"/>
      <c r="BY3" s="195"/>
      <c r="BZ3" s="195"/>
      <c r="CA3" s="195"/>
      <c r="CB3" s="195"/>
      <c r="CC3" s="195"/>
      <c r="CD3" s="196"/>
      <c r="CE3" s="194"/>
      <c r="CF3" s="195"/>
      <c r="CG3" s="195"/>
      <c r="CH3" s="195"/>
      <c r="CI3" s="195"/>
      <c r="CJ3" s="195"/>
      <c r="CK3" s="195"/>
      <c r="CL3" s="195"/>
      <c r="CM3" s="195"/>
      <c r="CN3" s="196"/>
      <c r="CO3" s="194"/>
      <c r="CP3" s="195"/>
      <c r="CQ3" s="195"/>
      <c r="CR3" s="195"/>
      <c r="CS3" s="195"/>
      <c r="CT3" s="195"/>
      <c r="CU3" s="195"/>
      <c r="CV3" s="195"/>
      <c r="CW3" s="195"/>
      <c r="CX3" s="195"/>
      <c r="CY3" s="195"/>
      <c r="CZ3" s="195"/>
      <c r="DA3" s="195"/>
      <c r="DB3" s="195"/>
      <c r="DC3" s="195"/>
      <c r="DD3" s="195"/>
      <c r="DE3" s="195"/>
      <c r="DF3" s="195"/>
      <c r="DG3" s="195"/>
      <c r="DH3" s="195" t="s">
        <v>198</v>
      </c>
      <c r="DI3" s="195"/>
      <c r="DJ3" s="195"/>
      <c r="DK3" s="195"/>
      <c r="DL3" s="195"/>
      <c r="DM3" s="195"/>
      <c r="DN3" s="195"/>
      <c r="DO3" s="195"/>
      <c r="DP3" s="195"/>
      <c r="DQ3" s="195"/>
      <c r="DR3" s="195"/>
      <c r="DS3" s="195"/>
      <c r="DT3" s="195"/>
      <c r="DU3" s="129"/>
      <c r="DV3" s="1"/>
    </row>
    <row r="4" spans="1:126" s="3" customFormat="1" ht="48" customHeight="1" x14ac:dyDescent="0.35">
      <c r="A4" s="13"/>
      <c r="B4" s="19"/>
      <c r="C4" s="19"/>
      <c r="D4" s="19"/>
      <c r="E4" s="193">
        <v>46015</v>
      </c>
      <c r="F4" s="193">
        <v>46018</v>
      </c>
      <c r="G4" s="193">
        <v>46019</v>
      </c>
      <c r="H4" s="193">
        <v>46022</v>
      </c>
      <c r="I4" s="193">
        <v>46025</v>
      </c>
      <c r="J4" s="193">
        <v>46028</v>
      </c>
      <c r="K4" s="193">
        <v>46031</v>
      </c>
      <c r="L4" s="193">
        <v>46032</v>
      </c>
      <c r="M4" s="193">
        <v>46037</v>
      </c>
      <c r="N4" s="193">
        <v>46039</v>
      </c>
      <c r="O4" s="170"/>
      <c r="P4" s="170"/>
      <c r="Q4" s="170"/>
      <c r="R4" s="170"/>
      <c r="S4" s="170"/>
      <c r="T4" s="170"/>
      <c r="U4" s="170"/>
      <c r="V4" s="67"/>
      <c r="W4" s="67"/>
      <c r="X4" s="67"/>
      <c r="Y4" s="67"/>
      <c r="Z4" s="67"/>
      <c r="AA4" s="67"/>
      <c r="AB4" s="67"/>
      <c r="AC4" s="67"/>
      <c r="AD4" s="67"/>
      <c r="AE4" s="67"/>
      <c r="AF4" s="67"/>
      <c r="AG4" s="45"/>
      <c r="AH4" s="45"/>
      <c r="AI4" s="45"/>
      <c r="AJ4" s="45"/>
      <c r="AK4" s="45"/>
      <c r="AL4" s="45"/>
      <c r="AM4" s="45"/>
      <c r="AN4" s="45"/>
      <c r="AO4" s="46"/>
      <c r="AP4" s="46"/>
      <c r="AQ4" s="46"/>
      <c r="AR4" s="46"/>
      <c r="AS4" s="46"/>
      <c r="AT4" s="46"/>
      <c r="AU4" s="46"/>
      <c r="AV4" s="46"/>
      <c r="AW4" s="46"/>
      <c r="AX4" s="46"/>
      <c r="AY4" s="46"/>
      <c r="AZ4" s="49"/>
      <c r="BA4" s="49"/>
      <c r="BB4" s="49"/>
      <c r="BC4" s="49"/>
      <c r="BD4" s="49"/>
      <c r="BE4" s="49"/>
      <c r="BF4" s="49"/>
      <c r="BG4" s="49"/>
      <c r="BH4" s="49"/>
      <c r="BI4" s="49"/>
      <c r="BJ4" s="68"/>
      <c r="BK4" s="68"/>
      <c r="BL4" s="68"/>
      <c r="BM4" s="68"/>
      <c r="BN4" s="68"/>
      <c r="BO4" s="68"/>
      <c r="BP4" s="68"/>
      <c r="BQ4" s="68"/>
      <c r="BR4" s="68"/>
      <c r="BS4" s="68"/>
      <c r="BT4" s="80"/>
      <c r="BU4" s="80"/>
      <c r="BV4" s="80"/>
      <c r="BW4" s="80"/>
      <c r="BX4" s="80"/>
      <c r="BY4" s="80"/>
      <c r="BZ4" s="80"/>
      <c r="CA4" s="80"/>
      <c r="CB4" s="80"/>
      <c r="CC4" s="80"/>
      <c r="CD4" s="80"/>
      <c r="CE4" s="68"/>
      <c r="CF4" s="68"/>
      <c r="CG4" s="68"/>
      <c r="CH4" s="179"/>
      <c r="CI4" s="179"/>
      <c r="CJ4" s="179"/>
      <c r="CK4" s="179"/>
      <c r="CL4" s="179"/>
      <c r="CM4" s="179"/>
      <c r="CN4" s="179"/>
      <c r="CO4" s="182"/>
      <c r="CP4" s="182"/>
      <c r="CQ4" s="182"/>
      <c r="CR4" s="182"/>
      <c r="CS4" s="182"/>
      <c r="CT4" s="182"/>
      <c r="CU4" s="182"/>
      <c r="CV4" s="182"/>
      <c r="CW4" s="182"/>
      <c r="CX4" s="184"/>
      <c r="CY4" s="184"/>
      <c r="CZ4" s="184"/>
      <c r="DA4" s="184"/>
      <c r="DB4" s="184"/>
      <c r="DC4" s="184"/>
      <c r="DD4" s="184"/>
      <c r="DE4" s="184"/>
      <c r="DF4" s="184"/>
      <c r="DG4" s="184"/>
      <c r="DH4" s="186"/>
      <c r="DI4" s="186"/>
      <c r="DJ4" s="186"/>
      <c r="DK4" s="186"/>
      <c r="DL4" s="186"/>
      <c r="DM4" s="186"/>
      <c r="DN4" s="186"/>
      <c r="DO4" s="186"/>
      <c r="DP4" s="186"/>
      <c r="DQ4" s="186">
        <v>46015</v>
      </c>
      <c r="DR4" s="186">
        <v>46018</v>
      </c>
      <c r="DS4" s="186">
        <v>46019</v>
      </c>
      <c r="DT4" s="186">
        <v>46022</v>
      </c>
      <c r="DU4" s="77" t="s">
        <v>60</v>
      </c>
      <c r="DV4" s="5"/>
    </row>
    <row r="5" spans="1:126" ht="51" hidden="1" customHeight="1" x14ac:dyDescent="0.35">
      <c r="A5" s="6">
        <v>1</v>
      </c>
      <c r="B5" s="7" t="s">
        <v>199</v>
      </c>
      <c r="C5" s="111">
        <v>35000</v>
      </c>
      <c r="D5" s="150" t="s">
        <v>200</v>
      </c>
      <c r="E5" s="11"/>
      <c r="F5" s="11"/>
      <c r="G5" s="11"/>
      <c r="H5" s="11"/>
      <c r="I5" s="11"/>
      <c r="J5" s="11"/>
      <c r="K5" s="11"/>
      <c r="L5" s="11"/>
      <c r="M5" s="11"/>
      <c r="N5" s="11"/>
      <c r="O5" s="28"/>
      <c r="P5" s="28"/>
      <c r="Q5" s="28"/>
      <c r="R5" s="28"/>
      <c r="S5" s="28"/>
      <c r="T5" s="28"/>
      <c r="U5" s="28"/>
      <c r="V5" s="32"/>
      <c r="W5" s="32"/>
      <c r="X5" s="113"/>
      <c r="Y5" s="113"/>
      <c r="Z5" s="32"/>
      <c r="AA5" s="32"/>
      <c r="AB5" s="32"/>
      <c r="AC5" s="32"/>
      <c r="AD5" s="32"/>
      <c r="AE5" s="32"/>
      <c r="AF5" s="32"/>
      <c r="AG5" s="37"/>
      <c r="AH5" s="37"/>
      <c r="AI5" s="37"/>
      <c r="AJ5" s="37"/>
      <c r="AK5" s="37"/>
      <c r="AL5" s="37"/>
      <c r="AM5" s="37"/>
      <c r="AN5" s="37"/>
      <c r="AO5" s="41"/>
      <c r="AP5" s="41"/>
      <c r="AQ5" s="41"/>
      <c r="AR5" s="41"/>
      <c r="AS5" s="41"/>
      <c r="AT5" s="41"/>
      <c r="AU5" s="41"/>
      <c r="AV5" s="41"/>
      <c r="AW5" s="41"/>
      <c r="AX5" s="41"/>
      <c r="AY5" s="41"/>
      <c r="AZ5" s="50"/>
      <c r="BA5" s="50"/>
      <c r="BB5" s="50"/>
      <c r="BC5" s="50"/>
      <c r="BD5" s="50"/>
      <c r="BE5" s="50"/>
      <c r="BF5" s="50"/>
      <c r="BG5" s="50"/>
      <c r="BH5" s="50"/>
      <c r="BI5" s="50"/>
      <c r="BJ5" s="69"/>
      <c r="BK5" s="69"/>
      <c r="BL5" s="69"/>
      <c r="BM5" s="69"/>
      <c r="BN5" s="69"/>
      <c r="BO5" s="69"/>
      <c r="BP5" s="69"/>
      <c r="BQ5" s="69"/>
      <c r="BR5" s="69"/>
      <c r="BS5" s="69"/>
      <c r="BT5" s="81"/>
      <c r="BU5" s="81"/>
      <c r="BV5" s="81"/>
      <c r="BW5" s="81"/>
      <c r="BX5" s="81"/>
      <c r="BY5" s="81"/>
      <c r="BZ5" s="81"/>
      <c r="CA5" s="81"/>
      <c r="CB5" s="81"/>
      <c r="CC5" s="81"/>
      <c r="CD5" s="81"/>
      <c r="CE5" s="69"/>
      <c r="CF5" s="69"/>
      <c r="CG5" s="69"/>
      <c r="CH5" s="180"/>
      <c r="CI5" s="180"/>
      <c r="CJ5" s="180"/>
      <c r="CK5" s="180"/>
      <c r="CL5" s="180"/>
      <c r="CM5" s="180"/>
      <c r="CN5" s="180"/>
      <c r="CO5" s="169"/>
      <c r="CP5" s="169"/>
      <c r="CQ5" s="169"/>
      <c r="CR5" s="169"/>
      <c r="CS5" s="169"/>
      <c r="CT5" s="169"/>
      <c r="CU5" s="169"/>
      <c r="CV5" s="169"/>
      <c r="CW5" s="169"/>
      <c r="CX5" s="185"/>
      <c r="CY5" s="185"/>
      <c r="CZ5" s="185"/>
      <c r="DA5" s="185"/>
      <c r="DB5" s="185"/>
      <c r="DC5" s="185"/>
      <c r="DD5" s="185"/>
      <c r="DE5" s="185"/>
      <c r="DF5" s="185"/>
      <c r="DG5" s="185"/>
      <c r="DH5" s="187"/>
      <c r="DI5" s="187"/>
      <c r="DJ5" s="28"/>
      <c r="DK5" s="28"/>
      <c r="DL5" s="28"/>
      <c r="DM5" s="28"/>
      <c r="DN5" s="28"/>
      <c r="DO5" s="28"/>
      <c r="DP5" s="28"/>
      <c r="DQ5" s="28"/>
      <c r="DR5" s="28"/>
      <c r="DS5" s="28"/>
      <c r="DT5" s="28"/>
      <c r="DU5" s="130">
        <f t="shared" ref="DU5:DU23" si="0">SUM(E5:DT5)</f>
        <v>0</v>
      </c>
    </row>
    <row r="6" spans="1:126" ht="17.25" hidden="1" customHeight="1" x14ac:dyDescent="0.35">
      <c r="A6" s="6">
        <v>2</v>
      </c>
      <c r="B6" s="7" t="s">
        <v>201</v>
      </c>
      <c r="C6" s="111">
        <v>175000</v>
      </c>
      <c r="D6" s="9" t="s">
        <v>202</v>
      </c>
      <c r="E6" s="11"/>
      <c r="F6" s="11"/>
      <c r="G6" s="11"/>
      <c r="H6" s="11"/>
      <c r="I6" s="11"/>
      <c r="J6" s="11"/>
      <c r="K6" s="11"/>
      <c r="L6" s="11"/>
      <c r="M6" s="11"/>
      <c r="N6" s="11"/>
      <c r="O6" s="28"/>
      <c r="P6" s="28"/>
      <c r="Q6" s="28"/>
      <c r="R6" s="28"/>
      <c r="S6" s="28"/>
      <c r="T6" s="28"/>
      <c r="U6" s="28"/>
      <c r="V6" s="32"/>
      <c r="W6" s="32"/>
      <c r="X6" s="113"/>
      <c r="Y6" s="113"/>
      <c r="Z6" s="32"/>
      <c r="AA6" s="32"/>
      <c r="AB6" s="32"/>
      <c r="AC6" s="32"/>
      <c r="AD6" s="32"/>
      <c r="AE6" s="32"/>
      <c r="AF6" s="32"/>
      <c r="AG6" s="37"/>
      <c r="AH6" s="37"/>
      <c r="AI6" s="37"/>
      <c r="AJ6" s="37"/>
      <c r="AK6" s="37"/>
      <c r="AL6" s="37"/>
      <c r="AM6" s="37"/>
      <c r="AN6" s="37"/>
      <c r="AO6" s="41"/>
      <c r="AP6" s="41"/>
      <c r="AQ6" s="41"/>
      <c r="AR6" s="41"/>
      <c r="AS6" s="41"/>
      <c r="AT6" s="41"/>
      <c r="AU6" s="41"/>
      <c r="AV6" s="41"/>
      <c r="AW6" s="41"/>
      <c r="AX6" s="41"/>
      <c r="AY6" s="41"/>
      <c r="AZ6" s="50"/>
      <c r="BA6" s="50"/>
      <c r="BB6" s="50"/>
      <c r="BC6" s="50"/>
      <c r="BD6" s="50"/>
      <c r="BE6" s="50"/>
      <c r="BF6" s="50"/>
      <c r="BG6" s="50"/>
      <c r="BH6" s="50"/>
      <c r="BI6" s="50"/>
      <c r="BJ6" s="69"/>
      <c r="BK6" s="69"/>
      <c r="BL6" s="69"/>
      <c r="BM6" s="69"/>
      <c r="BN6" s="69"/>
      <c r="BO6" s="69"/>
      <c r="BP6" s="69"/>
      <c r="BQ6" s="69"/>
      <c r="BR6" s="69"/>
      <c r="BS6" s="69"/>
      <c r="BT6" s="81"/>
      <c r="BU6" s="81"/>
      <c r="BV6" s="81"/>
      <c r="BW6" s="81"/>
      <c r="BX6" s="81"/>
      <c r="BY6" s="81"/>
      <c r="BZ6" s="81"/>
      <c r="CA6" s="81"/>
      <c r="CB6" s="81"/>
      <c r="CC6" s="81"/>
      <c r="CD6" s="81"/>
      <c r="CE6" s="69"/>
      <c r="CF6" s="69"/>
      <c r="CG6" s="69"/>
      <c r="CH6" s="180"/>
      <c r="CI6" s="180"/>
      <c r="CJ6" s="180"/>
      <c r="CK6" s="180"/>
      <c r="CL6" s="180"/>
      <c r="CM6" s="180"/>
      <c r="CN6" s="180"/>
      <c r="CO6" s="169"/>
      <c r="CP6" s="169"/>
      <c r="CQ6" s="169"/>
      <c r="CR6" s="169"/>
      <c r="CS6" s="169"/>
      <c r="CT6" s="169"/>
      <c r="CU6" s="169"/>
      <c r="CV6" s="169"/>
      <c r="CW6" s="169"/>
      <c r="CX6" s="185"/>
      <c r="CY6" s="185"/>
      <c r="CZ6" s="185"/>
      <c r="DA6" s="185"/>
      <c r="DB6" s="185"/>
      <c r="DC6" s="185"/>
      <c r="DD6" s="185"/>
      <c r="DE6" s="185"/>
      <c r="DF6" s="185"/>
      <c r="DG6" s="185"/>
      <c r="DH6" s="187"/>
      <c r="DI6" s="187"/>
      <c r="DJ6" s="28"/>
      <c r="DK6" s="28"/>
      <c r="DL6" s="28"/>
      <c r="DM6" s="28"/>
      <c r="DN6" s="28"/>
      <c r="DO6" s="28"/>
      <c r="DP6" s="28"/>
      <c r="DQ6" s="28"/>
      <c r="DR6" s="28"/>
      <c r="DS6" s="28"/>
      <c r="DT6" s="28"/>
      <c r="DU6" s="130">
        <f t="shared" si="0"/>
        <v>0</v>
      </c>
    </row>
    <row r="7" spans="1:126" hidden="1" x14ac:dyDescent="0.35">
      <c r="A7" s="6">
        <v>3</v>
      </c>
      <c r="B7" s="7" t="s">
        <v>203</v>
      </c>
      <c r="C7" s="111">
        <v>5500</v>
      </c>
      <c r="D7" s="9" t="s">
        <v>204</v>
      </c>
      <c r="E7" s="11"/>
      <c r="F7" s="11"/>
      <c r="G7" s="11"/>
      <c r="H7" s="11"/>
      <c r="I7" s="11"/>
      <c r="J7" s="11"/>
      <c r="K7" s="11"/>
      <c r="L7" s="11"/>
      <c r="M7" s="11"/>
      <c r="N7" s="11"/>
      <c r="O7" s="28"/>
      <c r="P7" s="28"/>
      <c r="Q7" s="28"/>
      <c r="R7" s="28"/>
      <c r="S7" s="28"/>
      <c r="T7" s="28"/>
      <c r="U7" s="28"/>
      <c r="V7" s="32"/>
      <c r="W7" s="32"/>
      <c r="X7" s="113"/>
      <c r="Y7" s="113"/>
      <c r="Z7" s="32"/>
      <c r="AA7" s="32"/>
      <c r="AB7" s="32"/>
      <c r="AC7" s="32"/>
      <c r="AD7" s="32"/>
      <c r="AE7" s="32"/>
      <c r="AF7" s="32"/>
      <c r="AG7" s="37"/>
      <c r="AH7" s="37"/>
      <c r="AI7" s="37"/>
      <c r="AJ7" s="37"/>
      <c r="AK7" s="37"/>
      <c r="AL7" s="37"/>
      <c r="AM7" s="37"/>
      <c r="AN7" s="37"/>
      <c r="AO7" s="41"/>
      <c r="AP7" s="41"/>
      <c r="AQ7" s="41"/>
      <c r="AR7" s="41"/>
      <c r="AS7" s="41"/>
      <c r="AT7" s="41"/>
      <c r="AU7" s="41"/>
      <c r="AV7" s="41"/>
      <c r="AW7" s="41"/>
      <c r="AX7" s="41"/>
      <c r="AY7" s="41"/>
      <c r="AZ7" s="50"/>
      <c r="BA7" s="50"/>
      <c r="BB7" s="50"/>
      <c r="BC7" s="50"/>
      <c r="BD7" s="50"/>
      <c r="BE7" s="50"/>
      <c r="BF7" s="50"/>
      <c r="BG7" s="50"/>
      <c r="BH7" s="50"/>
      <c r="BI7" s="50"/>
      <c r="BJ7" s="69"/>
      <c r="BK7" s="69"/>
      <c r="BL7" s="69"/>
      <c r="BM7" s="69"/>
      <c r="BN7" s="69"/>
      <c r="BO7" s="69"/>
      <c r="BP7" s="69"/>
      <c r="BQ7" s="69"/>
      <c r="BR7" s="69"/>
      <c r="BS7" s="69"/>
      <c r="BT7" s="81"/>
      <c r="BU7" s="81"/>
      <c r="BV7" s="81"/>
      <c r="BW7" s="81"/>
      <c r="BX7" s="81"/>
      <c r="BY7" s="81"/>
      <c r="BZ7" s="81"/>
      <c r="CA7" s="81"/>
      <c r="CB7" s="81"/>
      <c r="CC7" s="81"/>
      <c r="CD7" s="81"/>
      <c r="CE7" s="69"/>
      <c r="CF7" s="69"/>
      <c r="CG7" s="69"/>
      <c r="CH7" s="180"/>
      <c r="CI7" s="180"/>
      <c r="CJ7" s="180"/>
      <c r="CK7" s="180"/>
      <c r="CL7" s="180"/>
      <c r="CM7" s="180"/>
      <c r="CN7" s="180"/>
      <c r="CO7" s="169"/>
      <c r="CP7" s="169"/>
      <c r="CQ7" s="169"/>
      <c r="CR7" s="169"/>
      <c r="CS7" s="169"/>
      <c r="CT7" s="169"/>
      <c r="CU7" s="169"/>
      <c r="CV7" s="169"/>
      <c r="CW7" s="169"/>
      <c r="CX7" s="185"/>
      <c r="CY7" s="185"/>
      <c r="CZ7" s="185"/>
      <c r="DA7" s="185"/>
      <c r="DB7" s="185"/>
      <c r="DC7" s="185"/>
      <c r="DD7" s="185"/>
      <c r="DE7" s="185"/>
      <c r="DF7" s="185"/>
      <c r="DG7" s="185"/>
      <c r="DH7" s="187"/>
      <c r="DI7" s="187"/>
      <c r="DJ7" s="28"/>
      <c r="DK7" s="28"/>
      <c r="DL7" s="28"/>
      <c r="DM7" s="28"/>
      <c r="DN7" s="28"/>
      <c r="DO7" s="28"/>
      <c r="DP7" s="28"/>
      <c r="DQ7" s="28"/>
      <c r="DR7" s="28"/>
      <c r="DS7" s="28"/>
      <c r="DT7" s="28"/>
      <c r="DU7" s="130">
        <f t="shared" si="0"/>
        <v>0</v>
      </c>
    </row>
    <row r="8" spans="1:126" ht="33" hidden="1" x14ac:dyDescent="0.35">
      <c r="A8" s="6">
        <v>4</v>
      </c>
      <c r="B8" s="7" t="s">
        <v>205</v>
      </c>
      <c r="C8" s="111">
        <v>6700</v>
      </c>
      <c r="D8" s="12" t="s">
        <v>206</v>
      </c>
      <c r="E8" s="11"/>
      <c r="F8" s="11"/>
      <c r="G8" s="11"/>
      <c r="H8" s="11"/>
      <c r="I8" s="11"/>
      <c r="J8" s="11"/>
      <c r="K8" s="11"/>
      <c r="L8" s="11"/>
      <c r="M8" s="11"/>
      <c r="N8" s="11"/>
      <c r="O8" s="28"/>
      <c r="P8" s="28"/>
      <c r="Q8" s="28"/>
      <c r="R8" s="28"/>
      <c r="S8" s="28"/>
      <c r="T8" s="28"/>
      <c r="U8" s="28"/>
      <c r="V8" s="32"/>
      <c r="W8" s="32"/>
      <c r="X8" s="113"/>
      <c r="Y8" s="113"/>
      <c r="Z8" s="32"/>
      <c r="AA8" s="32"/>
      <c r="AB8" s="32"/>
      <c r="AC8" s="32"/>
      <c r="AD8" s="32"/>
      <c r="AE8" s="32"/>
      <c r="AF8" s="32"/>
      <c r="AG8" s="37"/>
      <c r="AH8" s="37"/>
      <c r="AI8" s="37"/>
      <c r="AJ8" s="37"/>
      <c r="AK8" s="37"/>
      <c r="AL8" s="37"/>
      <c r="AM8" s="37"/>
      <c r="AN8" s="37"/>
      <c r="AO8" s="41"/>
      <c r="AP8" s="41"/>
      <c r="AQ8" s="41"/>
      <c r="AR8" s="41"/>
      <c r="AS8" s="41"/>
      <c r="AT8" s="41"/>
      <c r="AU8" s="41"/>
      <c r="AV8" s="41"/>
      <c r="AW8" s="41"/>
      <c r="AX8" s="41"/>
      <c r="AY8" s="41"/>
      <c r="AZ8" s="50"/>
      <c r="BA8" s="50"/>
      <c r="BB8" s="50"/>
      <c r="BC8" s="50"/>
      <c r="BD8" s="50"/>
      <c r="BE8" s="50"/>
      <c r="BF8" s="50"/>
      <c r="BG8" s="50"/>
      <c r="BH8" s="50"/>
      <c r="BI8" s="50"/>
      <c r="BJ8" s="69"/>
      <c r="BK8" s="69"/>
      <c r="BL8" s="69"/>
      <c r="BM8" s="69"/>
      <c r="BN8" s="69"/>
      <c r="BO8" s="69"/>
      <c r="BP8" s="69"/>
      <c r="BQ8" s="69"/>
      <c r="BR8" s="69"/>
      <c r="BS8" s="69"/>
      <c r="BT8" s="81"/>
      <c r="BU8" s="81"/>
      <c r="BV8" s="81"/>
      <c r="BW8" s="81"/>
      <c r="BX8" s="81"/>
      <c r="BY8" s="81"/>
      <c r="BZ8" s="81"/>
      <c r="CA8" s="81"/>
      <c r="CB8" s="81"/>
      <c r="CC8" s="81"/>
      <c r="CD8" s="81"/>
      <c r="CE8" s="69"/>
      <c r="CF8" s="69"/>
      <c r="CG8" s="69"/>
      <c r="CH8" s="180"/>
      <c r="CI8" s="180"/>
      <c r="CJ8" s="180"/>
      <c r="CK8" s="180"/>
      <c r="CL8" s="180"/>
      <c r="CM8" s="180"/>
      <c r="CN8" s="180"/>
      <c r="CO8" s="169"/>
      <c r="CP8" s="169"/>
      <c r="CQ8" s="169"/>
      <c r="CR8" s="169"/>
      <c r="CS8" s="169"/>
      <c r="CT8" s="169"/>
      <c r="CU8" s="169"/>
      <c r="CV8" s="169"/>
      <c r="CW8" s="169"/>
      <c r="CX8" s="185"/>
      <c r="CY8" s="185"/>
      <c r="CZ8" s="185"/>
      <c r="DA8" s="185"/>
      <c r="DB8" s="185"/>
      <c r="DC8" s="185"/>
      <c r="DD8" s="185"/>
      <c r="DE8" s="185"/>
      <c r="DF8" s="185"/>
      <c r="DG8" s="185"/>
      <c r="DH8" s="187"/>
      <c r="DI8" s="187"/>
      <c r="DJ8" s="28"/>
      <c r="DK8" s="28"/>
      <c r="DL8" s="28"/>
      <c r="DM8" s="28"/>
      <c r="DN8" s="28"/>
      <c r="DO8" s="28"/>
      <c r="DP8" s="28"/>
      <c r="DQ8" s="28"/>
      <c r="DR8" s="28"/>
      <c r="DS8" s="28"/>
      <c r="DT8" s="28"/>
      <c r="DU8" s="130">
        <f t="shared" si="0"/>
        <v>0</v>
      </c>
    </row>
    <row r="9" spans="1:126" ht="33" hidden="1" x14ac:dyDescent="0.35">
      <c r="A9" s="6">
        <v>5</v>
      </c>
      <c r="B9" s="7" t="s">
        <v>207</v>
      </c>
      <c r="C9" s="111">
        <v>6700</v>
      </c>
      <c r="D9" s="9" t="s">
        <v>208</v>
      </c>
      <c r="E9" s="11"/>
      <c r="F9" s="11"/>
      <c r="G9" s="11"/>
      <c r="H9" s="11"/>
      <c r="I9" s="11"/>
      <c r="J9" s="11"/>
      <c r="K9" s="11"/>
      <c r="L9" s="11"/>
      <c r="M9" s="11"/>
      <c r="N9" s="11"/>
      <c r="O9" s="28"/>
      <c r="P9" s="28"/>
      <c r="Q9" s="28"/>
      <c r="R9" s="28"/>
      <c r="S9" s="28"/>
      <c r="T9" s="28"/>
      <c r="U9" s="28"/>
      <c r="V9" s="32"/>
      <c r="W9" s="32"/>
      <c r="X9" s="113"/>
      <c r="Y9" s="113"/>
      <c r="Z9" s="32"/>
      <c r="AA9" s="32"/>
      <c r="AB9" s="32"/>
      <c r="AC9" s="32"/>
      <c r="AD9" s="32"/>
      <c r="AE9" s="32"/>
      <c r="AF9" s="32"/>
      <c r="AG9" s="37"/>
      <c r="AH9" s="37"/>
      <c r="AI9" s="37"/>
      <c r="AJ9" s="37"/>
      <c r="AK9" s="37"/>
      <c r="AL9" s="37"/>
      <c r="AM9" s="37"/>
      <c r="AN9" s="37"/>
      <c r="AO9" s="41"/>
      <c r="AP9" s="41"/>
      <c r="AQ9" s="41"/>
      <c r="AR9" s="41"/>
      <c r="AS9" s="41"/>
      <c r="AT9" s="41"/>
      <c r="AU9" s="41"/>
      <c r="AV9" s="41"/>
      <c r="AW9" s="41"/>
      <c r="AX9" s="41"/>
      <c r="AY9" s="41"/>
      <c r="AZ9" s="50"/>
      <c r="BA9" s="50"/>
      <c r="BB9" s="50"/>
      <c r="BC9" s="50"/>
      <c r="BD9" s="50"/>
      <c r="BE9" s="50"/>
      <c r="BF9" s="50"/>
      <c r="BG9" s="50"/>
      <c r="BH9" s="50"/>
      <c r="BI9" s="50"/>
      <c r="BJ9" s="69"/>
      <c r="BK9" s="69"/>
      <c r="BL9" s="69"/>
      <c r="BM9" s="69"/>
      <c r="BN9" s="69"/>
      <c r="BO9" s="69"/>
      <c r="BP9" s="69"/>
      <c r="BQ9" s="69"/>
      <c r="BR9" s="69"/>
      <c r="BS9" s="69"/>
      <c r="BT9" s="81"/>
      <c r="BU9" s="81"/>
      <c r="BV9" s="81"/>
      <c r="BW9" s="81"/>
      <c r="BX9" s="81"/>
      <c r="BY9" s="81"/>
      <c r="BZ9" s="81"/>
      <c r="CA9" s="81"/>
      <c r="CB9" s="81"/>
      <c r="CC9" s="81"/>
      <c r="CD9" s="81"/>
      <c r="CE9" s="69"/>
      <c r="CF9" s="69"/>
      <c r="CG9" s="69"/>
      <c r="CH9" s="180"/>
      <c r="CI9" s="180"/>
      <c r="CJ9" s="180"/>
      <c r="CK9" s="180"/>
      <c r="CL9" s="180"/>
      <c r="CM9" s="180"/>
      <c r="CN9" s="180"/>
      <c r="CO9" s="169"/>
      <c r="CP9" s="169"/>
      <c r="CQ9" s="169"/>
      <c r="CR9" s="169"/>
      <c r="CS9" s="169"/>
      <c r="CT9" s="169"/>
      <c r="CU9" s="169"/>
      <c r="CV9" s="169"/>
      <c r="CW9" s="169"/>
      <c r="CX9" s="185"/>
      <c r="CY9" s="185"/>
      <c r="CZ9" s="185"/>
      <c r="DA9" s="185"/>
      <c r="DB9" s="185"/>
      <c r="DC9" s="185"/>
      <c r="DD9" s="185"/>
      <c r="DE9" s="185"/>
      <c r="DF9" s="185"/>
      <c r="DG9" s="185"/>
      <c r="DH9" s="187"/>
      <c r="DI9" s="187"/>
      <c r="DJ9" s="28"/>
      <c r="DK9" s="28"/>
      <c r="DL9" s="28"/>
      <c r="DM9" s="28"/>
      <c r="DN9" s="28"/>
      <c r="DO9" s="28"/>
      <c r="DP9" s="28"/>
      <c r="DQ9" s="28"/>
      <c r="DR9" s="28"/>
      <c r="DS9" s="28"/>
      <c r="DT9" s="28"/>
      <c r="DU9" s="130">
        <f t="shared" si="0"/>
        <v>0</v>
      </c>
    </row>
    <row r="10" spans="1:126" hidden="1" x14ac:dyDescent="0.35">
      <c r="A10" s="6">
        <v>6</v>
      </c>
      <c r="B10" s="7" t="s">
        <v>209</v>
      </c>
      <c r="C10" s="111">
        <v>6700</v>
      </c>
      <c r="D10" s="9" t="s">
        <v>210</v>
      </c>
      <c r="E10" s="11"/>
      <c r="F10" s="11"/>
      <c r="G10" s="11"/>
      <c r="H10" s="11"/>
      <c r="I10" s="11"/>
      <c r="J10" s="11"/>
      <c r="K10" s="11"/>
      <c r="L10" s="11"/>
      <c r="M10" s="11"/>
      <c r="N10" s="11"/>
      <c r="O10" s="28"/>
      <c r="P10" s="28"/>
      <c r="Q10" s="28"/>
      <c r="R10" s="28"/>
      <c r="S10" s="28"/>
      <c r="T10" s="28"/>
      <c r="U10" s="28"/>
      <c r="V10" s="32"/>
      <c r="W10" s="32"/>
      <c r="X10" s="113"/>
      <c r="Y10" s="113"/>
      <c r="Z10" s="32"/>
      <c r="AA10" s="32"/>
      <c r="AB10" s="32"/>
      <c r="AC10" s="32"/>
      <c r="AD10" s="32"/>
      <c r="AE10" s="32"/>
      <c r="AF10" s="32"/>
      <c r="AG10" s="37"/>
      <c r="AH10" s="37"/>
      <c r="AI10" s="37"/>
      <c r="AJ10" s="37"/>
      <c r="AK10" s="37"/>
      <c r="AL10" s="37"/>
      <c r="AM10" s="37"/>
      <c r="AN10" s="37"/>
      <c r="AO10" s="41"/>
      <c r="AP10" s="41"/>
      <c r="AQ10" s="41"/>
      <c r="AR10" s="41"/>
      <c r="AS10" s="41"/>
      <c r="AT10" s="41"/>
      <c r="AU10" s="41"/>
      <c r="AV10" s="41"/>
      <c r="AW10" s="41"/>
      <c r="AX10" s="41"/>
      <c r="AY10" s="41"/>
      <c r="AZ10" s="50"/>
      <c r="BA10" s="50"/>
      <c r="BB10" s="50"/>
      <c r="BC10" s="50"/>
      <c r="BD10" s="50"/>
      <c r="BE10" s="50"/>
      <c r="BF10" s="50"/>
      <c r="BG10" s="50"/>
      <c r="BH10" s="50"/>
      <c r="BI10" s="50"/>
      <c r="BJ10" s="69"/>
      <c r="BK10" s="69"/>
      <c r="BL10" s="69"/>
      <c r="BM10" s="69"/>
      <c r="BN10" s="69"/>
      <c r="BO10" s="69"/>
      <c r="BP10" s="69"/>
      <c r="BQ10" s="69"/>
      <c r="BR10" s="69"/>
      <c r="BS10" s="69"/>
      <c r="BT10" s="81"/>
      <c r="BU10" s="81"/>
      <c r="BV10" s="81"/>
      <c r="BW10" s="81"/>
      <c r="BX10" s="81"/>
      <c r="BY10" s="81"/>
      <c r="BZ10" s="81"/>
      <c r="CA10" s="81"/>
      <c r="CB10" s="81"/>
      <c r="CC10" s="81"/>
      <c r="CD10" s="81"/>
      <c r="CE10" s="69"/>
      <c r="CF10" s="69"/>
      <c r="CG10" s="69"/>
      <c r="CH10" s="180"/>
      <c r="CI10" s="180"/>
      <c r="CJ10" s="180"/>
      <c r="CK10" s="180"/>
      <c r="CL10" s="180"/>
      <c r="CM10" s="180"/>
      <c r="CN10" s="180"/>
      <c r="CO10" s="169"/>
      <c r="CP10" s="169"/>
      <c r="CQ10" s="169"/>
      <c r="CR10" s="169"/>
      <c r="CS10" s="169"/>
      <c r="CT10" s="169"/>
      <c r="CU10" s="169"/>
      <c r="CV10" s="169"/>
      <c r="CW10" s="169"/>
      <c r="CX10" s="185"/>
      <c r="CY10" s="185"/>
      <c r="CZ10" s="185"/>
      <c r="DA10" s="185"/>
      <c r="DB10" s="185"/>
      <c r="DC10" s="185"/>
      <c r="DD10" s="185"/>
      <c r="DE10" s="185"/>
      <c r="DF10" s="185"/>
      <c r="DG10" s="185"/>
      <c r="DH10" s="187"/>
      <c r="DI10" s="187"/>
      <c r="DJ10" s="28"/>
      <c r="DK10" s="28"/>
      <c r="DL10" s="28"/>
      <c r="DM10" s="28"/>
      <c r="DN10" s="28"/>
      <c r="DO10" s="28"/>
      <c r="DP10" s="28"/>
      <c r="DQ10" s="28"/>
      <c r="DR10" s="28"/>
      <c r="DS10" s="28"/>
      <c r="DT10" s="28"/>
      <c r="DU10" s="130">
        <f t="shared" si="0"/>
        <v>0</v>
      </c>
    </row>
    <row r="11" spans="1:126" hidden="1" x14ac:dyDescent="0.35">
      <c r="A11" s="6">
        <v>7</v>
      </c>
      <c r="B11" s="7" t="s">
        <v>211</v>
      </c>
      <c r="C11" s="111">
        <v>6700</v>
      </c>
      <c r="D11" s="9" t="s">
        <v>212</v>
      </c>
      <c r="E11" s="11"/>
      <c r="F11" s="11"/>
      <c r="G11" s="11"/>
      <c r="H11" s="11"/>
      <c r="I11" s="11"/>
      <c r="J11" s="11"/>
      <c r="K11" s="11"/>
      <c r="L11" s="11"/>
      <c r="M11" s="11"/>
      <c r="N11" s="11"/>
      <c r="O11" s="28"/>
      <c r="P11" s="28"/>
      <c r="Q11" s="28"/>
      <c r="R11" s="28"/>
      <c r="S11" s="28"/>
      <c r="T11" s="28"/>
      <c r="U11" s="28"/>
      <c r="V11" s="32"/>
      <c r="W11" s="32"/>
      <c r="X11" s="113"/>
      <c r="Y11" s="113"/>
      <c r="Z11" s="32"/>
      <c r="AA11" s="32"/>
      <c r="AB11" s="32"/>
      <c r="AC11" s="32"/>
      <c r="AD11" s="32"/>
      <c r="AE11" s="32"/>
      <c r="AF11" s="32"/>
      <c r="AG11" s="37"/>
      <c r="AH11" s="37"/>
      <c r="AI11" s="37"/>
      <c r="AJ11" s="37"/>
      <c r="AK11" s="37"/>
      <c r="AL11" s="37"/>
      <c r="AM11" s="37"/>
      <c r="AN11" s="37"/>
      <c r="AO11" s="41"/>
      <c r="AP11" s="41"/>
      <c r="AQ11" s="41"/>
      <c r="AR11" s="41"/>
      <c r="AS11" s="41"/>
      <c r="AT11" s="41"/>
      <c r="AU11" s="41"/>
      <c r="AV11" s="41"/>
      <c r="AW11" s="41"/>
      <c r="AX11" s="41"/>
      <c r="AY11" s="41"/>
      <c r="AZ11" s="50"/>
      <c r="BA11" s="50"/>
      <c r="BB11" s="50"/>
      <c r="BC11" s="50"/>
      <c r="BD11" s="50"/>
      <c r="BE11" s="50"/>
      <c r="BF11" s="50"/>
      <c r="BG11" s="50"/>
      <c r="BH11" s="50"/>
      <c r="BI11" s="50"/>
      <c r="BJ11" s="69"/>
      <c r="BK11" s="69"/>
      <c r="BL11" s="69"/>
      <c r="BM11" s="69"/>
      <c r="BN11" s="69"/>
      <c r="BO11" s="69"/>
      <c r="BP11" s="69"/>
      <c r="BQ11" s="69"/>
      <c r="BR11" s="69"/>
      <c r="BS11" s="69"/>
      <c r="BT11" s="81"/>
      <c r="BU11" s="81"/>
      <c r="BV11" s="81"/>
      <c r="BW11" s="81"/>
      <c r="BX11" s="81"/>
      <c r="BY11" s="81"/>
      <c r="BZ11" s="81"/>
      <c r="CA11" s="81"/>
      <c r="CB11" s="81"/>
      <c r="CC11" s="81"/>
      <c r="CD11" s="81"/>
      <c r="CE11" s="69"/>
      <c r="CF11" s="69"/>
      <c r="CG11" s="69"/>
      <c r="CH11" s="180"/>
      <c r="CI11" s="180"/>
      <c r="CJ11" s="180"/>
      <c r="CK11" s="180"/>
      <c r="CL11" s="180"/>
      <c r="CM11" s="180"/>
      <c r="CN11" s="180"/>
      <c r="CO11" s="169"/>
      <c r="CP11" s="169"/>
      <c r="CQ11" s="169"/>
      <c r="CR11" s="169"/>
      <c r="CS11" s="169"/>
      <c r="CT11" s="169"/>
      <c r="CU11" s="169"/>
      <c r="CV11" s="169"/>
      <c r="CW11" s="169"/>
      <c r="CX11" s="185"/>
      <c r="CY11" s="185"/>
      <c r="CZ11" s="185"/>
      <c r="DA11" s="185"/>
      <c r="DB11" s="185"/>
      <c r="DC11" s="185"/>
      <c r="DD11" s="185"/>
      <c r="DE11" s="185"/>
      <c r="DF11" s="185"/>
      <c r="DG11" s="185"/>
      <c r="DH11" s="187"/>
      <c r="DI11" s="187"/>
      <c r="DJ11" s="28"/>
      <c r="DK11" s="28"/>
      <c r="DL11" s="28"/>
      <c r="DM11" s="28"/>
      <c r="DN11" s="28"/>
      <c r="DO11" s="28"/>
      <c r="DP11" s="28"/>
      <c r="DQ11" s="28"/>
      <c r="DR11" s="28"/>
      <c r="DS11" s="28"/>
      <c r="DT11" s="28"/>
      <c r="DU11" s="130">
        <f t="shared" si="0"/>
        <v>0</v>
      </c>
    </row>
    <row r="12" spans="1:126" ht="33" x14ac:dyDescent="0.35">
      <c r="A12" s="6">
        <v>8</v>
      </c>
      <c r="B12" s="7" t="s">
        <v>213</v>
      </c>
      <c r="C12" s="111">
        <v>6700</v>
      </c>
      <c r="D12" s="9" t="s">
        <v>214</v>
      </c>
      <c r="E12" s="11">
        <v>0</v>
      </c>
      <c r="F12" s="11">
        <v>0</v>
      </c>
      <c r="G12" s="11">
        <v>0</v>
      </c>
      <c r="H12" s="11">
        <v>0</v>
      </c>
      <c r="I12" s="11">
        <v>120</v>
      </c>
      <c r="J12" s="11"/>
      <c r="K12" s="11"/>
      <c r="L12" s="11"/>
      <c r="M12" s="11"/>
      <c r="N12" s="11"/>
      <c r="O12" s="28"/>
      <c r="P12" s="28"/>
      <c r="Q12" s="28"/>
      <c r="R12" s="28"/>
      <c r="S12" s="28"/>
      <c r="T12" s="28"/>
      <c r="U12" s="28"/>
      <c r="V12" s="32"/>
      <c r="W12" s="32"/>
      <c r="X12" s="113"/>
      <c r="Y12" s="113"/>
      <c r="Z12" s="32"/>
      <c r="AA12" s="32"/>
      <c r="AB12" s="32"/>
      <c r="AC12" s="32"/>
      <c r="AD12" s="32"/>
      <c r="AE12" s="32"/>
      <c r="AF12" s="32"/>
      <c r="AG12" s="37"/>
      <c r="AH12" s="37"/>
      <c r="AI12" s="37"/>
      <c r="AJ12" s="37"/>
      <c r="AK12" s="37"/>
      <c r="AL12" s="37"/>
      <c r="AM12" s="37"/>
      <c r="AN12" s="37"/>
      <c r="AO12" s="41"/>
      <c r="AP12" s="41"/>
      <c r="AQ12" s="41"/>
      <c r="AR12" s="41"/>
      <c r="AS12" s="41"/>
      <c r="AT12" s="41"/>
      <c r="AU12" s="41"/>
      <c r="AV12" s="41"/>
      <c r="AW12" s="41"/>
      <c r="AX12" s="41"/>
      <c r="AY12" s="41"/>
      <c r="AZ12" s="50"/>
      <c r="BA12" s="50"/>
      <c r="BB12" s="50"/>
      <c r="BC12" s="50"/>
      <c r="BD12" s="50"/>
      <c r="BE12" s="50"/>
      <c r="BF12" s="50"/>
      <c r="BG12" s="50"/>
      <c r="BH12" s="50"/>
      <c r="BI12" s="50"/>
      <c r="BJ12" s="69"/>
      <c r="BK12" s="69"/>
      <c r="BL12" s="69"/>
      <c r="BM12" s="69"/>
      <c r="BN12" s="69"/>
      <c r="BO12" s="69"/>
      <c r="BP12" s="69"/>
      <c r="BQ12" s="69"/>
      <c r="BR12" s="69"/>
      <c r="BS12" s="69"/>
      <c r="BT12" s="81"/>
      <c r="BU12" s="81"/>
      <c r="BV12" s="81"/>
      <c r="BW12" s="81"/>
      <c r="BX12" s="81"/>
      <c r="BY12" s="81"/>
      <c r="BZ12" s="81"/>
      <c r="CA12" s="81"/>
      <c r="CB12" s="81"/>
      <c r="CC12" s="81"/>
      <c r="CD12" s="81"/>
      <c r="CE12" s="69"/>
      <c r="CF12" s="69"/>
      <c r="CG12" s="69"/>
      <c r="CH12" s="180"/>
      <c r="CI12" s="180"/>
      <c r="CJ12" s="180"/>
      <c r="CK12" s="180"/>
      <c r="CL12" s="180"/>
      <c r="CM12" s="180"/>
      <c r="CN12" s="180"/>
      <c r="CO12" s="169"/>
      <c r="CP12" s="169"/>
      <c r="CQ12" s="169"/>
      <c r="CR12" s="169"/>
      <c r="CS12" s="169"/>
      <c r="CT12" s="169"/>
      <c r="CU12" s="169"/>
      <c r="CV12" s="169"/>
      <c r="CW12" s="169"/>
      <c r="CX12" s="185"/>
      <c r="CY12" s="185"/>
      <c r="CZ12" s="185"/>
      <c r="DA12" s="185"/>
      <c r="DB12" s="185"/>
      <c r="DC12" s="185"/>
      <c r="DD12" s="185"/>
      <c r="DE12" s="185"/>
      <c r="DF12" s="185"/>
      <c r="DG12" s="185"/>
      <c r="DH12" s="187"/>
      <c r="DI12" s="187"/>
      <c r="DJ12" s="28"/>
      <c r="DK12" s="28"/>
      <c r="DL12" s="28"/>
      <c r="DM12" s="28"/>
      <c r="DN12" s="28"/>
      <c r="DO12" s="28"/>
      <c r="DP12" s="28"/>
      <c r="DQ12" s="28">
        <v>0</v>
      </c>
      <c r="DR12" s="28">
        <v>0</v>
      </c>
      <c r="DS12" s="28">
        <v>0</v>
      </c>
      <c r="DT12" s="28">
        <v>0</v>
      </c>
      <c r="DU12" s="130">
        <f t="shared" si="0"/>
        <v>120</v>
      </c>
    </row>
    <row r="13" spans="1:126" ht="49.5" x14ac:dyDescent="0.35">
      <c r="A13" s="6">
        <v>9</v>
      </c>
      <c r="B13" s="7" t="s">
        <v>215</v>
      </c>
      <c r="C13" s="111">
        <v>6700</v>
      </c>
      <c r="D13" s="12" t="s">
        <v>216</v>
      </c>
      <c r="E13" s="11">
        <v>2485</v>
      </c>
      <c r="F13" s="11">
        <v>1280</v>
      </c>
      <c r="G13" s="11">
        <v>2800</v>
      </c>
      <c r="H13" s="11">
        <v>1746</v>
      </c>
      <c r="I13" s="11">
        <v>400</v>
      </c>
      <c r="J13" s="11">
        <v>1910</v>
      </c>
      <c r="K13" s="11">
        <v>1750</v>
      </c>
      <c r="L13" s="11">
        <v>1430</v>
      </c>
      <c r="M13" s="11">
        <v>2030</v>
      </c>
      <c r="N13" s="11">
        <v>950</v>
      </c>
      <c r="O13" s="28"/>
      <c r="P13" s="28"/>
      <c r="Q13" s="28"/>
      <c r="R13" s="28"/>
      <c r="S13" s="28"/>
      <c r="T13" s="28"/>
      <c r="U13" s="28"/>
      <c r="V13" s="32"/>
      <c r="W13" s="32"/>
      <c r="X13" s="113"/>
      <c r="Y13" s="113"/>
      <c r="Z13" s="32"/>
      <c r="AA13" s="32"/>
      <c r="AB13" s="32"/>
      <c r="AC13" s="32"/>
      <c r="AD13" s="32"/>
      <c r="AE13" s="32"/>
      <c r="AF13" s="32"/>
      <c r="AG13" s="37"/>
      <c r="AH13" s="37"/>
      <c r="AI13" s="37"/>
      <c r="AJ13" s="37"/>
      <c r="AK13" s="37"/>
      <c r="AL13" s="37"/>
      <c r="AM13" s="37"/>
      <c r="AN13" s="37"/>
      <c r="AO13" s="41"/>
      <c r="AP13" s="41"/>
      <c r="AQ13" s="41"/>
      <c r="AR13" s="41"/>
      <c r="AS13" s="41"/>
      <c r="AT13" s="41"/>
      <c r="AU13" s="41"/>
      <c r="AV13" s="41"/>
      <c r="AW13" s="41"/>
      <c r="AX13" s="41"/>
      <c r="AY13" s="41"/>
      <c r="AZ13" s="50"/>
      <c r="BA13" s="50"/>
      <c r="BB13" s="50"/>
      <c r="BC13" s="50"/>
      <c r="BD13" s="50"/>
      <c r="BE13" s="50"/>
      <c r="BF13" s="50"/>
      <c r="BG13" s="50"/>
      <c r="BH13" s="50"/>
      <c r="BI13" s="50"/>
      <c r="BJ13" s="69"/>
      <c r="BK13" s="69"/>
      <c r="BL13" s="69"/>
      <c r="BM13" s="69"/>
      <c r="BN13" s="69"/>
      <c r="BO13" s="69"/>
      <c r="BP13" s="69"/>
      <c r="BQ13" s="69"/>
      <c r="BR13" s="69"/>
      <c r="BS13" s="69"/>
      <c r="BT13" s="81"/>
      <c r="BU13" s="81"/>
      <c r="BV13" s="81"/>
      <c r="BW13" s="81"/>
      <c r="BX13" s="81"/>
      <c r="BY13" s="81"/>
      <c r="BZ13" s="81"/>
      <c r="CA13" s="81"/>
      <c r="CB13" s="81"/>
      <c r="CC13" s="81"/>
      <c r="CD13" s="81"/>
      <c r="CE13" s="69"/>
      <c r="CF13" s="69"/>
      <c r="CG13" s="69"/>
      <c r="CH13" s="69"/>
      <c r="CI13" s="69"/>
      <c r="CJ13" s="69"/>
      <c r="CK13" s="69"/>
      <c r="CL13" s="69"/>
      <c r="CM13" s="69"/>
      <c r="CN13" s="69"/>
      <c r="CO13" s="169"/>
      <c r="CP13" s="169"/>
      <c r="CQ13" s="169"/>
      <c r="CR13" s="169"/>
      <c r="CS13" s="169"/>
      <c r="CT13" s="169"/>
      <c r="CU13" s="169"/>
      <c r="CV13" s="169"/>
      <c r="CW13" s="169"/>
      <c r="CX13" s="185"/>
      <c r="CY13" s="185"/>
      <c r="CZ13" s="185"/>
      <c r="DA13" s="185"/>
      <c r="DB13" s="185"/>
      <c r="DC13" s="185"/>
      <c r="DD13" s="185"/>
      <c r="DE13" s="185"/>
      <c r="DF13" s="185"/>
      <c r="DG13" s="185"/>
      <c r="DH13" s="187"/>
      <c r="DI13" s="187"/>
      <c r="DJ13" s="28"/>
      <c r="DK13" s="28"/>
      <c r="DL13" s="28"/>
      <c r="DM13" s="28"/>
      <c r="DN13" s="28"/>
      <c r="DO13" s="28"/>
      <c r="DP13" s="28"/>
      <c r="DQ13" s="28">
        <v>2485</v>
      </c>
      <c r="DR13" s="28">
        <v>1280</v>
      </c>
      <c r="DS13" s="28">
        <v>2800</v>
      </c>
      <c r="DT13" s="28">
        <v>1746</v>
      </c>
      <c r="DU13" s="130">
        <f t="shared" si="0"/>
        <v>25092</v>
      </c>
    </row>
    <row r="14" spans="1:126" hidden="1" x14ac:dyDescent="0.35">
      <c r="A14" s="6">
        <v>10</v>
      </c>
      <c r="B14" s="7" t="s">
        <v>217</v>
      </c>
      <c r="C14" s="111">
        <v>5500</v>
      </c>
      <c r="D14" s="12" t="s">
        <v>218</v>
      </c>
      <c r="E14" s="11"/>
      <c r="F14" s="11"/>
      <c r="G14" s="11"/>
      <c r="H14" s="11"/>
      <c r="I14" s="11"/>
      <c r="J14" s="11"/>
      <c r="K14" s="11"/>
      <c r="L14" s="11"/>
      <c r="M14" s="11"/>
      <c r="N14" s="11"/>
      <c r="O14" s="28"/>
      <c r="P14" s="28"/>
      <c r="Q14" s="28"/>
      <c r="R14" s="28"/>
      <c r="S14" s="28"/>
      <c r="T14" s="28"/>
      <c r="U14" s="28"/>
      <c r="V14" s="32"/>
      <c r="W14" s="32"/>
      <c r="X14" s="113"/>
      <c r="Y14" s="113"/>
      <c r="Z14" s="32"/>
      <c r="AA14" s="32"/>
      <c r="AB14" s="32"/>
      <c r="AC14" s="32"/>
      <c r="AD14" s="32"/>
      <c r="AE14" s="32"/>
      <c r="AF14" s="32"/>
      <c r="AG14" s="37"/>
      <c r="AH14" s="37"/>
      <c r="AI14" s="37"/>
      <c r="AJ14" s="37"/>
      <c r="AK14" s="37"/>
      <c r="AL14" s="37"/>
      <c r="AM14" s="37"/>
      <c r="AN14" s="37"/>
      <c r="AO14" s="41"/>
      <c r="AP14" s="41"/>
      <c r="AQ14" s="41"/>
      <c r="AR14" s="41"/>
      <c r="AS14" s="41"/>
      <c r="AT14" s="41"/>
      <c r="AU14" s="41"/>
      <c r="AV14" s="41"/>
      <c r="AW14" s="41"/>
      <c r="AX14" s="41"/>
      <c r="AY14" s="41"/>
      <c r="AZ14" s="50"/>
      <c r="BA14" s="50"/>
      <c r="BB14" s="50"/>
      <c r="BC14" s="50"/>
      <c r="BD14" s="50"/>
      <c r="BE14" s="50"/>
      <c r="BF14" s="50"/>
      <c r="BG14" s="50"/>
      <c r="BH14" s="50"/>
      <c r="BI14" s="50"/>
      <c r="BJ14" s="69"/>
      <c r="BK14" s="69"/>
      <c r="BL14" s="69"/>
      <c r="BM14" s="69"/>
      <c r="BN14" s="69"/>
      <c r="BO14" s="69"/>
      <c r="BP14" s="69"/>
      <c r="BQ14" s="69"/>
      <c r="BR14" s="69"/>
      <c r="BS14" s="69"/>
      <c r="BT14" s="81"/>
      <c r="BU14" s="81"/>
      <c r="BV14" s="81"/>
      <c r="BW14" s="81"/>
      <c r="BX14" s="81"/>
      <c r="BY14" s="81"/>
      <c r="BZ14" s="81"/>
      <c r="CA14" s="81"/>
      <c r="CB14" s="81"/>
      <c r="CC14" s="81"/>
      <c r="CD14" s="81"/>
      <c r="CE14" s="69"/>
      <c r="CF14" s="69"/>
      <c r="CG14" s="69"/>
      <c r="CH14" s="180"/>
      <c r="CI14" s="180"/>
      <c r="CJ14" s="180"/>
      <c r="CK14" s="180"/>
      <c r="CL14" s="180"/>
      <c r="CM14" s="180"/>
      <c r="CN14" s="180"/>
      <c r="CO14" s="169"/>
      <c r="CP14" s="169"/>
      <c r="CQ14" s="169"/>
      <c r="CR14" s="169"/>
      <c r="CS14" s="169"/>
      <c r="CT14" s="169"/>
      <c r="CU14" s="169"/>
      <c r="CV14" s="169"/>
      <c r="CW14" s="169"/>
      <c r="CX14" s="185"/>
      <c r="CY14" s="185"/>
      <c r="CZ14" s="185"/>
      <c r="DA14" s="185"/>
      <c r="DB14" s="185"/>
      <c r="DC14" s="185"/>
      <c r="DD14" s="185"/>
      <c r="DE14" s="185"/>
      <c r="DF14" s="185"/>
      <c r="DG14" s="185"/>
      <c r="DH14" s="187"/>
      <c r="DI14" s="187"/>
      <c r="DJ14" s="28"/>
      <c r="DK14" s="28"/>
      <c r="DL14" s="28"/>
      <c r="DM14" s="28"/>
      <c r="DN14" s="28"/>
      <c r="DO14" s="28"/>
      <c r="DP14" s="28"/>
      <c r="DQ14" s="28"/>
      <c r="DR14" s="28"/>
      <c r="DS14" s="28"/>
      <c r="DT14" s="28"/>
      <c r="DU14" s="130">
        <f t="shared" si="0"/>
        <v>0</v>
      </c>
    </row>
    <row r="15" spans="1:126" ht="33" x14ac:dyDescent="0.35">
      <c r="A15" s="6">
        <v>11</v>
      </c>
      <c r="B15" s="7" t="s">
        <v>219</v>
      </c>
      <c r="C15" s="111">
        <v>6700</v>
      </c>
      <c r="D15" s="12" t="s">
        <v>220</v>
      </c>
      <c r="E15" s="11"/>
      <c r="F15" s="11"/>
      <c r="G15" s="11"/>
      <c r="H15" s="11"/>
      <c r="I15" s="11"/>
      <c r="J15" s="11"/>
      <c r="K15" s="11"/>
      <c r="L15" s="11"/>
      <c r="M15" s="11"/>
      <c r="N15" s="11"/>
      <c r="O15" s="28"/>
      <c r="P15" s="28"/>
      <c r="Q15" s="28"/>
      <c r="R15" s="28"/>
      <c r="S15" s="28"/>
      <c r="T15" s="28"/>
      <c r="U15" s="28"/>
      <c r="V15" s="32"/>
      <c r="W15" s="32"/>
      <c r="X15" s="113"/>
      <c r="Y15" s="113"/>
      <c r="Z15" s="32"/>
      <c r="AA15" s="32"/>
      <c r="AB15" s="32"/>
      <c r="AC15" s="32"/>
      <c r="AD15" s="32"/>
      <c r="AE15" s="32"/>
      <c r="AF15" s="32"/>
      <c r="AG15" s="37"/>
      <c r="AH15" s="37"/>
      <c r="AI15" s="37"/>
      <c r="AJ15" s="37"/>
      <c r="AK15" s="37"/>
      <c r="AL15" s="37"/>
      <c r="AM15" s="37"/>
      <c r="AN15" s="37"/>
      <c r="AO15" s="41"/>
      <c r="AP15" s="41"/>
      <c r="AQ15" s="41"/>
      <c r="AR15" s="41"/>
      <c r="AS15" s="41"/>
      <c r="AT15" s="41"/>
      <c r="AU15" s="41"/>
      <c r="AV15" s="41"/>
      <c r="AW15" s="41"/>
      <c r="AX15" s="41"/>
      <c r="AY15" s="41"/>
      <c r="AZ15" s="50"/>
      <c r="BA15" s="150"/>
      <c r="BB15" s="50"/>
      <c r="BC15" s="50"/>
      <c r="BD15" s="50"/>
      <c r="BE15" s="50"/>
      <c r="BF15" s="50"/>
      <c r="BG15" s="50"/>
      <c r="BH15" s="50"/>
      <c r="BI15" s="50"/>
      <c r="BJ15" s="69"/>
      <c r="BK15" s="69"/>
      <c r="BL15" s="69"/>
      <c r="BM15" s="69"/>
      <c r="BN15" s="69"/>
      <c r="BO15" s="69"/>
      <c r="BP15" s="69"/>
      <c r="BQ15" s="69"/>
      <c r="BR15" s="69"/>
      <c r="BS15" s="69"/>
      <c r="BT15" s="81"/>
      <c r="BU15" s="81"/>
      <c r="BV15" s="81"/>
      <c r="BW15" s="81"/>
      <c r="BX15" s="81"/>
      <c r="BY15" s="81"/>
      <c r="BZ15" s="81"/>
      <c r="CA15" s="81"/>
      <c r="CB15" s="81"/>
      <c r="CC15" s="81"/>
      <c r="CD15" s="81"/>
      <c r="CE15" s="69"/>
      <c r="CF15" s="69"/>
      <c r="CG15" s="69"/>
      <c r="CH15" s="180"/>
      <c r="CI15" s="180"/>
      <c r="CJ15" s="180"/>
      <c r="CK15" s="180"/>
      <c r="CL15" s="180"/>
      <c r="CM15" s="180"/>
      <c r="CN15" s="180"/>
      <c r="CO15" s="169"/>
      <c r="CP15" s="169"/>
      <c r="CQ15" s="169"/>
      <c r="CR15" s="169"/>
      <c r="CS15" s="169"/>
      <c r="CT15" s="169"/>
      <c r="CU15" s="169"/>
      <c r="CV15" s="169"/>
      <c r="CW15" s="169"/>
      <c r="CX15" s="185"/>
      <c r="CY15" s="185"/>
      <c r="CZ15" s="185"/>
      <c r="DA15" s="185"/>
      <c r="DB15" s="185"/>
      <c r="DC15" s="185"/>
      <c r="DD15" s="185"/>
      <c r="DE15" s="185"/>
      <c r="DF15" s="185"/>
      <c r="DG15" s="185"/>
      <c r="DH15" s="187"/>
      <c r="DI15" s="187"/>
      <c r="DJ15" s="28"/>
      <c r="DK15" s="28"/>
      <c r="DL15" s="28"/>
      <c r="DM15" s="28"/>
      <c r="DN15" s="28"/>
      <c r="DO15" s="28"/>
      <c r="DP15" s="28"/>
      <c r="DQ15" s="28"/>
      <c r="DR15" s="28"/>
      <c r="DS15" s="28"/>
      <c r="DT15" s="28"/>
      <c r="DU15" s="130">
        <f t="shared" si="0"/>
        <v>0</v>
      </c>
    </row>
    <row r="16" spans="1:126" ht="33" x14ac:dyDescent="0.35">
      <c r="A16" s="6">
        <v>12</v>
      </c>
      <c r="B16" s="7" t="s">
        <v>221</v>
      </c>
      <c r="C16" s="111">
        <v>5500</v>
      </c>
      <c r="D16" s="12" t="s">
        <v>222</v>
      </c>
      <c r="E16" s="11">
        <v>0</v>
      </c>
      <c r="F16" s="11">
        <v>0</v>
      </c>
      <c r="G16" s="11">
        <v>0</v>
      </c>
      <c r="H16" s="11">
        <v>0</v>
      </c>
      <c r="I16" s="11">
        <v>1000</v>
      </c>
      <c r="J16" s="11"/>
      <c r="K16" s="11"/>
      <c r="L16" s="11"/>
      <c r="M16" s="11"/>
      <c r="N16" s="11"/>
      <c r="O16" s="28"/>
      <c r="P16" s="28"/>
      <c r="Q16" s="28"/>
      <c r="R16" s="28"/>
      <c r="S16" s="28"/>
      <c r="T16" s="28"/>
      <c r="U16" s="28"/>
      <c r="V16" s="32"/>
      <c r="W16" s="32"/>
      <c r="X16" s="113"/>
      <c r="Y16" s="113"/>
      <c r="Z16" s="32"/>
      <c r="AA16" s="32"/>
      <c r="AB16" s="32"/>
      <c r="AC16" s="32"/>
      <c r="AD16" s="32"/>
      <c r="AE16" s="32"/>
      <c r="AF16" s="32"/>
      <c r="AG16" s="37"/>
      <c r="AH16" s="37"/>
      <c r="AI16" s="37"/>
      <c r="AJ16" s="37"/>
      <c r="AK16" s="37"/>
      <c r="AL16" s="37"/>
      <c r="AM16" s="37"/>
      <c r="AN16" s="37"/>
      <c r="AO16" s="41"/>
      <c r="AP16" s="41"/>
      <c r="AQ16" s="41"/>
      <c r="AR16" s="41"/>
      <c r="AS16" s="41"/>
      <c r="AT16" s="41"/>
      <c r="AU16" s="41"/>
      <c r="AV16" s="41"/>
      <c r="AW16" s="41"/>
      <c r="AX16" s="41"/>
      <c r="AY16" s="41"/>
      <c r="AZ16" s="50"/>
      <c r="BA16" s="50"/>
      <c r="BB16" s="50"/>
      <c r="BC16" s="50"/>
      <c r="BD16" s="50"/>
      <c r="BE16" s="50"/>
      <c r="BF16" s="50"/>
      <c r="BG16" s="50"/>
      <c r="BH16" s="150"/>
      <c r="BI16" s="50"/>
      <c r="BJ16" s="69"/>
      <c r="BK16" s="69"/>
      <c r="BL16" s="69"/>
      <c r="BM16" s="69"/>
      <c r="BN16" s="69"/>
      <c r="BO16" s="69"/>
      <c r="BP16" s="69"/>
      <c r="BQ16" s="69"/>
      <c r="BR16" s="69"/>
      <c r="BS16" s="69"/>
      <c r="BT16" s="81"/>
      <c r="BU16" s="81"/>
      <c r="BV16" s="81"/>
      <c r="BW16" s="81"/>
      <c r="BX16" s="81"/>
      <c r="BY16" s="81"/>
      <c r="BZ16" s="81"/>
      <c r="CA16" s="81"/>
      <c r="CB16" s="81"/>
      <c r="CC16" s="81"/>
      <c r="CD16" s="81"/>
      <c r="CE16" s="69"/>
      <c r="CF16" s="69"/>
      <c r="CG16" s="69"/>
      <c r="CH16" s="69"/>
      <c r="CI16" s="69"/>
      <c r="CJ16" s="69"/>
      <c r="CK16" s="69"/>
      <c r="CL16" s="69"/>
      <c r="CM16" s="69"/>
      <c r="CN16" s="69"/>
      <c r="CO16" s="169"/>
      <c r="CP16" s="169"/>
      <c r="CQ16" s="169"/>
      <c r="CR16" s="169"/>
      <c r="CS16" s="169"/>
      <c r="CT16" s="169"/>
      <c r="CU16" s="169"/>
      <c r="CV16" s="169"/>
      <c r="CW16" s="169"/>
      <c r="CX16" s="185"/>
      <c r="CY16" s="185"/>
      <c r="CZ16" s="185"/>
      <c r="DA16" s="185"/>
      <c r="DB16" s="185"/>
      <c r="DC16" s="185"/>
      <c r="DD16" s="185"/>
      <c r="DE16" s="185"/>
      <c r="DF16" s="185"/>
      <c r="DG16" s="185"/>
      <c r="DH16" s="187"/>
      <c r="DI16" s="187"/>
      <c r="DJ16" s="28"/>
      <c r="DK16" s="28"/>
      <c r="DL16" s="28"/>
      <c r="DM16" s="28"/>
      <c r="DN16" s="28"/>
      <c r="DO16" s="28"/>
      <c r="DP16" s="28"/>
      <c r="DQ16" s="28">
        <v>0</v>
      </c>
      <c r="DR16" s="28">
        <v>0</v>
      </c>
      <c r="DS16" s="28">
        <v>0</v>
      </c>
      <c r="DT16" s="28">
        <v>0</v>
      </c>
      <c r="DU16" s="130">
        <f t="shared" si="0"/>
        <v>1000</v>
      </c>
      <c r="DV16" s="2">
        <f>DU16/12/30</f>
        <v>2.7777777777777777</v>
      </c>
    </row>
    <row r="17" spans="1:126" ht="33" hidden="1" x14ac:dyDescent="0.35">
      <c r="A17" s="6">
        <v>13</v>
      </c>
      <c r="B17" s="7" t="s">
        <v>223</v>
      </c>
      <c r="C17" s="111">
        <v>5500</v>
      </c>
      <c r="D17" s="12" t="s">
        <v>224</v>
      </c>
      <c r="E17" s="11"/>
      <c r="F17" s="11"/>
      <c r="G17" s="11"/>
      <c r="H17" s="11"/>
      <c r="I17" s="11"/>
      <c r="J17" s="11"/>
      <c r="K17" s="11"/>
      <c r="L17" s="11"/>
      <c r="M17" s="11"/>
      <c r="N17" s="11"/>
      <c r="O17" s="28"/>
      <c r="P17" s="28"/>
      <c r="Q17" s="28"/>
      <c r="R17" s="28"/>
      <c r="S17" s="28"/>
      <c r="T17" s="28"/>
      <c r="U17" s="28"/>
      <c r="V17" s="32"/>
      <c r="W17" s="32"/>
      <c r="X17" s="113"/>
      <c r="Y17" s="113"/>
      <c r="Z17" s="32"/>
      <c r="AA17" s="32"/>
      <c r="AB17" s="32"/>
      <c r="AC17" s="32"/>
      <c r="AD17" s="32"/>
      <c r="AE17" s="32"/>
      <c r="AF17" s="32"/>
      <c r="AG17" s="37"/>
      <c r="AH17" s="37"/>
      <c r="AI17" s="37"/>
      <c r="AJ17" s="37"/>
      <c r="AK17" s="37"/>
      <c r="AL17" s="37"/>
      <c r="AM17" s="37"/>
      <c r="AN17" s="37"/>
      <c r="AO17" s="41"/>
      <c r="AP17" s="41"/>
      <c r="AQ17" s="41"/>
      <c r="AR17" s="41"/>
      <c r="AS17" s="41"/>
      <c r="AT17" s="41"/>
      <c r="AU17" s="41"/>
      <c r="AV17" s="41"/>
      <c r="AW17" s="41"/>
      <c r="AX17" s="41"/>
      <c r="AY17" s="41"/>
      <c r="AZ17" s="50"/>
      <c r="BA17" s="50"/>
      <c r="BB17" s="50"/>
      <c r="BC17" s="50"/>
      <c r="BD17" s="50"/>
      <c r="BE17" s="50"/>
      <c r="BF17" s="50"/>
      <c r="BG17" s="50"/>
      <c r="BH17" s="50"/>
      <c r="BI17" s="50"/>
      <c r="BJ17" s="69"/>
      <c r="BK17" s="69"/>
      <c r="BL17" s="69"/>
      <c r="BM17" s="69"/>
      <c r="BN17" s="69"/>
      <c r="BO17" s="69"/>
      <c r="BP17" s="69"/>
      <c r="BQ17" s="69"/>
      <c r="BR17" s="69"/>
      <c r="BS17" s="69"/>
      <c r="BT17" s="81"/>
      <c r="BU17" s="81"/>
      <c r="BV17" s="81"/>
      <c r="BW17" s="81"/>
      <c r="BX17" s="81"/>
      <c r="BY17" s="81"/>
      <c r="BZ17" s="81"/>
      <c r="CA17" s="81"/>
      <c r="CB17" s="81"/>
      <c r="CC17" s="81"/>
      <c r="CD17" s="81"/>
      <c r="CE17" s="69"/>
      <c r="CF17" s="69"/>
      <c r="CG17" s="69"/>
      <c r="CH17" s="180"/>
      <c r="CI17" s="180"/>
      <c r="CJ17" s="180"/>
      <c r="CK17" s="180"/>
      <c r="CL17" s="180"/>
      <c r="CM17" s="180"/>
      <c r="CN17" s="180"/>
      <c r="CO17" s="169"/>
      <c r="CP17" s="169"/>
      <c r="CQ17" s="169"/>
      <c r="CR17" s="169"/>
      <c r="CS17" s="169"/>
      <c r="CT17" s="169"/>
      <c r="CU17" s="169"/>
      <c r="CV17" s="169"/>
      <c r="CW17" s="169"/>
      <c r="CX17" s="185"/>
      <c r="CY17" s="185"/>
      <c r="CZ17" s="185"/>
      <c r="DA17" s="185"/>
      <c r="DB17" s="185"/>
      <c r="DC17" s="185"/>
      <c r="DD17" s="185"/>
      <c r="DE17" s="185"/>
      <c r="DF17" s="185"/>
      <c r="DG17" s="185"/>
      <c r="DH17" s="187"/>
      <c r="DI17" s="187"/>
      <c r="DJ17" s="28"/>
      <c r="DK17" s="28"/>
      <c r="DL17" s="28"/>
      <c r="DM17" s="28"/>
      <c r="DN17" s="28"/>
      <c r="DO17" s="28"/>
      <c r="DP17" s="28"/>
      <c r="DQ17" s="28"/>
      <c r="DR17" s="28"/>
      <c r="DS17" s="28"/>
      <c r="DT17" s="28"/>
      <c r="DU17" s="130">
        <f t="shared" si="0"/>
        <v>0</v>
      </c>
    </row>
    <row r="18" spans="1:126" ht="33" hidden="1" x14ac:dyDescent="0.35">
      <c r="A18" s="6">
        <v>14</v>
      </c>
      <c r="B18" s="7" t="s">
        <v>225</v>
      </c>
      <c r="C18" s="111">
        <v>5500</v>
      </c>
      <c r="D18" s="12" t="s">
        <v>226</v>
      </c>
      <c r="E18" s="11"/>
      <c r="F18" s="11"/>
      <c r="G18" s="11"/>
      <c r="H18" s="11"/>
      <c r="I18" s="11"/>
      <c r="J18" s="11"/>
      <c r="K18" s="11"/>
      <c r="L18" s="11"/>
      <c r="M18" s="11"/>
      <c r="N18" s="11"/>
      <c r="O18" s="28"/>
      <c r="P18" s="28"/>
      <c r="Q18" s="28"/>
      <c r="R18" s="28"/>
      <c r="S18" s="28"/>
      <c r="T18" s="28"/>
      <c r="U18" s="28"/>
      <c r="V18" s="32"/>
      <c r="W18" s="32"/>
      <c r="X18" s="113"/>
      <c r="Y18" s="113"/>
      <c r="Z18" s="32"/>
      <c r="AA18" s="32"/>
      <c r="AB18" s="32"/>
      <c r="AC18" s="32"/>
      <c r="AD18" s="32"/>
      <c r="AE18" s="32"/>
      <c r="AF18" s="32"/>
      <c r="AG18" s="37"/>
      <c r="AH18" s="37"/>
      <c r="AI18" s="37"/>
      <c r="AJ18" s="37"/>
      <c r="AK18" s="37"/>
      <c r="AL18" s="37"/>
      <c r="AM18" s="37"/>
      <c r="AN18" s="37"/>
      <c r="AO18" s="41"/>
      <c r="AP18" s="41"/>
      <c r="AQ18" s="41"/>
      <c r="AR18" s="41"/>
      <c r="AS18" s="41"/>
      <c r="AT18" s="41"/>
      <c r="AU18" s="41"/>
      <c r="AV18" s="41"/>
      <c r="AW18" s="41"/>
      <c r="AX18" s="41"/>
      <c r="AY18" s="41"/>
      <c r="AZ18" s="50"/>
      <c r="BA18" s="50"/>
      <c r="BB18" s="50"/>
      <c r="BC18" s="50"/>
      <c r="BD18" s="50"/>
      <c r="BE18" s="50"/>
      <c r="BF18" s="50"/>
      <c r="BG18" s="50"/>
      <c r="BH18" s="50"/>
      <c r="BI18" s="50"/>
      <c r="BJ18" s="69"/>
      <c r="BK18" s="69"/>
      <c r="BL18" s="69"/>
      <c r="BM18" s="69"/>
      <c r="BN18" s="69"/>
      <c r="BO18" s="69"/>
      <c r="BP18" s="69"/>
      <c r="BQ18" s="69"/>
      <c r="BR18" s="69"/>
      <c r="BS18" s="69"/>
      <c r="BT18" s="81"/>
      <c r="BU18" s="81"/>
      <c r="BV18" s="81"/>
      <c r="BW18" s="81"/>
      <c r="BX18" s="81"/>
      <c r="BY18" s="81"/>
      <c r="BZ18" s="81"/>
      <c r="CA18" s="81"/>
      <c r="CB18" s="81"/>
      <c r="CC18" s="81"/>
      <c r="CD18" s="81"/>
      <c r="CE18" s="69"/>
      <c r="CF18" s="69"/>
      <c r="CG18" s="69"/>
      <c r="CH18" s="180"/>
      <c r="CI18" s="180"/>
      <c r="CJ18" s="180"/>
      <c r="CK18" s="180"/>
      <c r="CL18" s="180"/>
      <c r="CM18" s="180"/>
      <c r="CN18" s="180"/>
      <c r="CO18" s="169"/>
      <c r="CP18" s="169"/>
      <c r="CQ18" s="169"/>
      <c r="CR18" s="169"/>
      <c r="CS18" s="169"/>
      <c r="CT18" s="169"/>
      <c r="CU18" s="169"/>
      <c r="CV18" s="169"/>
      <c r="CW18" s="169"/>
      <c r="CX18" s="185"/>
      <c r="CY18" s="185"/>
      <c r="CZ18" s="185"/>
      <c r="DA18" s="185"/>
      <c r="DB18" s="185"/>
      <c r="DC18" s="185"/>
      <c r="DD18" s="185"/>
      <c r="DE18" s="185"/>
      <c r="DF18" s="185"/>
      <c r="DG18" s="185"/>
      <c r="DH18" s="187"/>
      <c r="DI18" s="187"/>
      <c r="DJ18" s="28"/>
      <c r="DK18" s="28"/>
      <c r="DL18" s="28"/>
      <c r="DM18" s="28"/>
      <c r="DN18" s="28"/>
      <c r="DO18" s="28"/>
      <c r="DP18" s="28"/>
      <c r="DQ18" s="28"/>
      <c r="DR18" s="28"/>
      <c r="DS18" s="28"/>
      <c r="DT18" s="28"/>
      <c r="DU18" s="130">
        <f t="shared" si="0"/>
        <v>0</v>
      </c>
    </row>
    <row r="19" spans="1:126" ht="32.15" customHeight="1" x14ac:dyDescent="0.35">
      <c r="A19" s="6">
        <v>15</v>
      </c>
      <c r="B19" s="7" t="s">
        <v>227</v>
      </c>
      <c r="C19" s="111">
        <v>5500</v>
      </c>
      <c r="D19" s="12" t="s">
        <v>228</v>
      </c>
      <c r="E19" s="11">
        <v>2200</v>
      </c>
      <c r="F19" s="11">
        <v>2200</v>
      </c>
      <c r="G19" s="11">
        <v>1200</v>
      </c>
      <c r="H19" s="11">
        <v>800</v>
      </c>
      <c r="I19" s="11">
        <v>2000</v>
      </c>
      <c r="J19" s="11">
        <v>1400</v>
      </c>
      <c r="K19" s="11">
        <v>3000</v>
      </c>
      <c r="L19" s="11">
        <v>3160</v>
      </c>
      <c r="M19" s="11">
        <v>3200</v>
      </c>
      <c r="N19" s="11">
        <v>4000</v>
      </c>
      <c r="O19" s="28"/>
      <c r="P19" s="28"/>
      <c r="Q19" s="28"/>
      <c r="R19" s="28"/>
      <c r="S19" s="28"/>
      <c r="T19" s="28"/>
      <c r="U19" s="28"/>
      <c r="V19" s="32"/>
      <c r="W19" s="32"/>
      <c r="X19" s="113"/>
      <c r="Y19" s="113"/>
      <c r="Z19" s="32"/>
      <c r="AA19" s="32"/>
      <c r="AB19" s="32"/>
      <c r="AC19" s="32"/>
      <c r="AD19" s="32"/>
      <c r="AE19" s="32"/>
      <c r="AF19" s="32"/>
      <c r="AG19" s="37"/>
      <c r="AH19" s="37"/>
      <c r="AI19" s="37"/>
      <c r="AJ19" s="37"/>
      <c r="AK19" s="37"/>
      <c r="AL19" s="37"/>
      <c r="AM19" s="37"/>
      <c r="AN19" s="37"/>
      <c r="AO19" s="41"/>
      <c r="AP19" s="41"/>
      <c r="AQ19" s="41"/>
      <c r="AR19" s="41"/>
      <c r="AS19" s="41"/>
      <c r="AT19" s="41"/>
      <c r="AU19" s="41"/>
      <c r="AV19" s="41"/>
      <c r="AW19" s="41"/>
      <c r="AX19" s="41"/>
      <c r="AY19" s="41"/>
      <c r="AZ19" s="50"/>
      <c r="BA19" s="50"/>
      <c r="BB19" s="50"/>
      <c r="BC19" s="50"/>
      <c r="BD19" s="50"/>
      <c r="BE19" s="50"/>
      <c r="BF19" s="50"/>
      <c r="BG19" s="50"/>
      <c r="BH19" s="50"/>
      <c r="BI19" s="50"/>
      <c r="BJ19" s="69"/>
      <c r="BK19" s="69"/>
      <c r="BL19" s="69"/>
      <c r="BM19" s="69"/>
      <c r="BN19" s="69"/>
      <c r="BO19" s="69"/>
      <c r="BP19" s="69"/>
      <c r="BQ19" s="69"/>
      <c r="BR19" s="69"/>
      <c r="BS19" s="69"/>
      <c r="BT19" s="81"/>
      <c r="BU19" s="81"/>
      <c r="BV19" s="81"/>
      <c r="BW19" s="81"/>
      <c r="BX19" s="81"/>
      <c r="BY19" s="81"/>
      <c r="BZ19" s="81"/>
      <c r="CA19" s="81"/>
      <c r="CB19" s="81"/>
      <c r="CC19" s="81"/>
      <c r="CD19" s="81"/>
      <c r="CE19" s="69"/>
      <c r="CF19" s="69"/>
      <c r="CG19" s="69"/>
      <c r="CH19" s="69"/>
      <c r="CI19" s="69"/>
      <c r="CJ19" s="69"/>
      <c r="CK19" s="69"/>
      <c r="CL19" s="69"/>
      <c r="CM19" s="69"/>
      <c r="CN19" s="69"/>
      <c r="CO19" s="169"/>
      <c r="CP19" s="169"/>
      <c r="CQ19" s="169"/>
      <c r="CR19" s="169"/>
      <c r="CS19" s="169"/>
      <c r="CT19" s="169"/>
      <c r="CU19" s="169"/>
      <c r="CV19" s="169"/>
      <c r="CW19" s="169"/>
      <c r="CX19" s="185"/>
      <c r="CY19" s="185"/>
      <c r="CZ19" s="185"/>
      <c r="DA19" s="185"/>
      <c r="DB19" s="185"/>
      <c r="DC19" s="185"/>
      <c r="DD19" s="185"/>
      <c r="DE19" s="185"/>
      <c r="DF19" s="185"/>
      <c r="DG19" s="185"/>
      <c r="DH19" s="187"/>
      <c r="DI19" s="187"/>
      <c r="DJ19" s="28"/>
      <c r="DK19" s="28"/>
      <c r="DL19" s="28"/>
      <c r="DM19" s="28"/>
      <c r="DN19" s="28"/>
      <c r="DO19" s="28"/>
      <c r="DP19" s="28"/>
      <c r="DQ19" s="28">
        <v>2200</v>
      </c>
      <c r="DR19" s="28">
        <v>2200</v>
      </c>
      <c r="DS19" s="28">
        <v>1200</v>
      </c>
      <c r="DT19" s="28">
        <v>800</v>
      </c>
      <c r="DU19" s="130">
        <f t="shared" si="0"/>
        <v>29560</v>
      </c>
      <c r="DV19" s="2">
        <f>DU19/12/30</f>
        <v>82.111111111111114</v>
      </c>
    </row>
    <row r="20" spans="1:126" ht="50.5" hidden="1" customHeight="1" x14ac:dyDescent="0.35">
      <c r="A20" s="6">
        <v>16</v>
      </c>
      <c r="B20" s="7" t="s">
        <v>229</v>
      </c>
      <c r="C20" s="111">
        <v>5500</v>
      </c>
      <c r="D20" s="12" t="s">
        <v>230</v>
      </c>
      <c r="E20" s="11"/>
      <c r="F20" s="11"/>
      <c r="G20" s="11"/>
      <c r="H20" s="11"/>
      <c r="I20" s="11"/>
      <c r="J20" s="11"/>
      <c r="K20" s="11"/>
      <c r="L20" s="11"/>
      <c r="M20" s="11"/>
      <c r="N20" s="11"/>
      <c r="O20" s="28"/>
      <c r="P20" s="28"/>
      <c r="Q20" s="28"/>
      <c r="R20" s="28"/>
      <c r="S20" s="28"/>
      <c r="T20" s="28"/>
      <c r="U20" s="28"/>
      <c r="V20" s="32"/>
      <c r="W20" s="32"/>
      <c r="X20" s="113"/>
      <c r="Y20" s="113"/>
      <c r="Z20" s="32"/>
      <c r="AA20" s="32"/>
      <c r="AB20" s="32"/>
      <c r="AC20" s="32"/>
      <c r="AD20" s="32"/>
      <c r="AE20" s="32"/>
      <c r="AF20" s="32"/>
      <c r="AG20" s="37"/>
      <c r="AH20" s="37"/>
      <c r="AI20" s="37"/>
      <c r="AJ20" s="37"/>
      <c r="AK20" s="37"/>
      <c r="AL20" s="37"/>
      <c r="AM20" s="37"/>
      <c r="AN20" s="37"/>
      <c r="AO20" s="41"/>
      <c r="AP20" s="41"/>
      <c r="AQ20" s="41"/>
      <c r="AR20" s="41"/>
      <c r="AS20" s="41"/>
      <c r="AT20" s="41"/>
      <c r="AU20" s="41"/>
      <c r="AV20" s="41"/>
      <c r="AW20" s="41"/>
      <c r="AX20" s="41"/>
      <c r="AY20" s="41"/>
      <c r="AZ20" s="50"/>
      <c r="BA20" s="50"/>
      <c r="BB20" s="50"/>
      <c r="BC20" s="50"/>
      <c r="BD20" s="50"/>
      <c r="BE20" s="50"/>
      <c r="BF20" s="50"/>
      <c r="BG20" s="50"/>
      <c r="BH20" s="50"/>
      <c r="BI20" s="50"/>
      <c r="BJ20" s="69"/>
      <c r="BK20" s="69"/>
      <c r="BL20" s="69"/>
      <c r="BM20" s="69"/>
      <c r="BN20" s="69"/>
      <c r="BO20" s="69"/>
      <c r="BP20" s="69"/>
      <c r="BQ20" s="69"/>
      <c r="BR20" s="69"/>
      <c r="BS20" s="69"/>
      <c r="BT20" s="81"/>
      <c r="BU20" s="81"/>
      <c r="BV20" s="81"/>
      <c r="BW20" s="81"/>
      <c r="BX20" s="81"/>
      <c r="BY20" s="81"/>
      <c r="BZ20" s="81"/>
      <c r="CA20" s="81"/>
      <c r="CB20" s="81"/>
      <c r="CC20" s="81"/>
      <c r="CD20" s="81"/>
      <c r="CE20" s="69"/>
      <c r="CF20" s="69"/>
      <c r="CG20" s="69"/>
      <c r="CH20" s="180"/>
      <c r="CI20" s="180"/>
      <c r="CJ20" s="180"/>
      <c r="CK20" s="180"/>
      <c r="CL20" s="180"/>
      <c r="CM20" s="180"/>
      <c r="CN20" s="180"/>
      <c r="CO20" s="169"/>
      <c r="CP20" s="169"/>
      <c r="CQ20" s="169"/>
      <c r="CR20" s="169"/>
      <c r="CS20" s="169"/>
      <c r="CT20" s="169"/>
      <c r="CU20" s="169"/>
      <c r="CV20" s="169"/>
      <c r="CW20" s="169"/>
      <c r="CX20" s="185"/>
      <c r="CY20" s="185"/>
      <c r="CZ20" s="185"/>
      <c r="DA20" s="185"/>
      <c r="DB20" s="185"/>
      <c r="DC20" s="185"/>
      <c r="DD20" s="185"/>
      <c r="DE20" s="185"/>
      <c r="DF20" s="185"/>
      <c r="DG20" s="185"/>
      <c r="DH20" s="187"/>
      <c r="DI20" s="187"/>
      <c r="DJ20" s="28"/>
      <c r="DK20" s="28"/>
      <c r="DL20" s="28"/>
      <c r="DM20" s="28"/>
      <c r="DN20" s="28"/>
      <c r="DO20" s="28"/>
      <c r="DP20" s="28"/>
      <c r="DQ20" s="28"/>
      <c r="DR20" s="28"/>
      <c r="DS20" s="28"/>
      <c r="DT20" s="28"/>
      <c r="DU20" s="130">
        <f t="shared" si="0"/>
        <v>0</v>
      </c>
    </row>
    <row r="21" spans="1:126" ht="33" hidden="1" x14ac:dyDescent="0.35">
      <c r="A21" s="6">
        <v>17</v>
      </c>
      <c r="B21" s="7" t="s">
        <v>231</v>
      </c>
      <c r="C21" s="111">
        <v>5500</v>
      </c>
      <c r="D21" s="9" t="s">
        <v>232</v>
      </c>
      <c r="E21" s="11"/>
      <c r="F21" s="11"/>
      <c r="G21" s="11"/>
      <c r="H21" s="11"/>
      <c r="I21" s="11"/>
      <c r="J21" s="11"/>
      <c r="K21" s="11"/>
      <c r="L21" s="11"/>
      <c r="M21" s="11"/>
      <c r="N21" s="11"/>
      <c r="O21" s="28"/>
      <c r="P21" s="28"/>
      <c r="Q21" s="28"/>
      <c r="R21" s="28"/>
      <c r="S21" s="28"/>
      <c r="T21" s="28"/>
      <c r="U21" s="28"/>
      <c r="V21" s="32"/>
      <c r="W21" s="32"/>
      <c r="X21" s="113"/>
      <c r="Y21" s="113"/>
      <c r="Z21" s="32"/>
      <c r="AA21" s="32"/>
      <c r="AB21" s="32"/>
      <c r="AC21" s="32"/>
      <c r="AD21" s="32"/>
      <c r="AE21" s="32"/>
      <c r="AF21" s="32"/>
      <c r="AG21" s="37"/>
      <c r="AH21" s="37"/>
      <c r="AI21" s="37"/>
      <c r="AJ21" s="37"/>
      <c r="AK21" s="37"/>
      <c r="AL21" s="37"/>
      <c r="AM21" s="37"/>
      <c r="AN21" s="37"/>
      <c r="AO21" s="41"/>
      <c r="AP21" s="41"/>
      <c r="AQ21" s="41"/>
      <c r="AR21" s="41"/>
      <c r="AS21" s="41"/>
      <c r="AT21" s="41"/>
      <c r="AU21" s="41"/>
      <c r="AV21" s="41"/>
      <c r="AW21" s="41"/>
      <c r="AX21" s="41"/>
      <c r="AY21" s="41"/>
      <c r="AZ21" s="50"/>
      <c r="BA21" s="50"/>
      <c r="BB21" s="50"/>
      <c r="BC21" s="50"/>
      <c r="BD21" s="50"/>
      <c r="BE21" s="50"/>
      <c r="BF21" s="50"/>
      <c r="BG21" s="50"/>
      <c r="BH21" s="50"/>
      <c r="BI21" s="50"/>
      <c r="BJ21" s="69"/>
      <c r="BK21" s="69"/>
      <c r="BL21" s="69"/>
      <c r="BM21" s="69"/>
      <c r="BN21" s="69"/>
      <c r="BO21" s="69"/>
      <c r="BP21" s="69"/>
      <c r="BQ21" s="69"/>
      <c r="BR21" s="69"/>
      <c r="BS21" s="69"/>
      <c r="BT21" s="81"/>
      <c r="BU21" s="81"/>
      <c r="BV21" s="81"/>
      <c r="BW21" s="81"/>
      <c r="BX21" s="81"/>
      <c r="BY21" s="81"/>
      <c r="BZ21" s="81"/>
      <c r="CA21" s="81"/>
      <c r="CB21" s="81"/>
      <c r="CC21" s="81"/>
      <c r="CD21" s="81"/>
      <c r="CE21" s="69"/>
      <c r="CF21" s="69"/>
      <c r="CG21" s="69"/>
      <c r="CH21" s="180"/>
      <c r="CI21" s="180"/>
      <c r="CJ21" s="180"/>
      <c r="CK21" s="180"/>
      <c r="CL21" s="180"/>
      <c r="CM21" s="180"/>
      <c r="CN21" s="180"/>
      <c r="CO21" s="169"/>
      <c r="CP21" s="169"/>
      <c r="CQ21" s="169"/>
      <c r="CR21" s="169"/>
      <c r="CS21" s="169"/>
      <c r="CT21" s="169"/>
      <c r="CU21" s="169"/>
      <c r="CV21" s="169"/>
      <c r="CW21" s="169"/>
      <c r="CX21" s="185"/>
      <c r="CY21" s="185"/>
      <c r="CZ21" s="185"/>
      <c r="DA21" s="185"/>
      <c r="DB21" s="185"/>
      <c r="DC21" s="185"/>
      <c r="DD21" s="185"/>
      <c r="DE21" s="185"/>
      <c r="DF21" s="185"/>
      <c r="DG21" s="185"/>
      <c r="DH21" s="187"/>
      <c r="DI21" s="187"/>
      <c r="DJ21" s="28"/>
      <c r="DK21" s="28"/>
      <c r="DL21" s="28"/>
      <c r="DM21" s="28"/>
      <c r="DN21" s="28"/>
      <c r="DO21" s="28"/>
      <c r="DP21" s="28"/>
      <c r="DQ21" s="28"/>
      <c r="DR21" s="28"/>
      <c r="DS21" s="28"/>
      <c r="DT21" s="28"/>
      <c r="DU21" s="130">
        <f t="shared" si="0"/>
        <v>0</v>
      </c>
    </row>
    <row r="22" spans="1:126" ht="38.5" customHeight="1" x14ac:dyDescent="0.35">
      <c r="A22" s="6">
        <v>18</v>
      </c>
      <c r="B22" s="7" t="s">
        <v>233</v>
      </c>
      <c r="C22" s="111">
        <v>6700</v>
      </c>
      <c r="D22" s="12" t="s">
        <v>234</v>
      </c>
      <c r="E22" s="11"/>
      <c r="F22" s="11"/>
      <c r="G22" s="11">
        <v>300</v>
      </c>
      <c r="H22" s="11"/>
      <c r="I22" s="11"/>
      <c r="J22" s="11">
        <v>0</v>
      </c>
      <c r="K22" s="11">
        <v>400</v>
      </c>
      <c r="L22" s="11">
        <v>0</v>
      </c>
      <c r="M22" s="11">
        <v>0</v>
      </c>
      <c r="N22" s="11">
        <v>350</v>
      </c>
      <c r="O22" s="28"/>
      <c r="P22" s="28"/>
      <c r="Q22" s="28"/>
      <c r="R22" s="28"/>
      <c r="S22" s="28"/>
      <c r="T22" s="28"/>
      <c r="U22" s="28"/>
      <c r="V22" s="32"/>
      <c r="W22" s="32"/>
      <c r="X22" s="113"/>
      <c r="Y22" s="113"/>
      <c r="Z22" s="32"/>
      <c r="AA22" s="32"/>
      <c r="AB22" s="32"/>
      <c r="AC22" s="32"/>
      <c r="AD22" s="32"/>
      <c r="AE22" s="32"/>
      <c r="AF22" s="32"/>
      <c r="AG22" s="37"/>
      <c r="AH22" s="37"/>
      <c r="AI22" s="37"/>
      <c r="AJ22" s="37"/>
      <c r="AK22" s="37"/>
      <c r="AL22" s="37"/>
      <c r="AM22" s="37"/>
      <c r="AN22" s="37"/>
      <c r="AO22" s="41"/>
      <c r="AP22" s="41"/>
      <c r="AQ22" s="41"/>
      <c r="AR22" s="41"/>
      <c r="AS22" s="41"/>
      <c r="AT22" s="41"/>
      <c r="AU22" s="41"/>
      <c r="AV22" s="41"/>
      <c r="AW22" s="41"/>
      <c r="AX22" s="41"/>
      <c r="AY22" s="41"/>
      <c r="AZ22" s="50"/>
      <c r="BA22" s="50"/>
      <c r="BB22" s="50"/>
      <c r="BC22" s="50"/>
      <c r="BD22" s="50"/>
      <c r="BE22" s="50"/>
      <c r="BF22" s="50"/>
      <c r="BG22" s="50"/>
      <c r="BH22" s="50"/>
      <c r="BI22" s="50"/>
      <c r="BJ22" s="69"/>
      <c r="BK22" s="69"/>
      <c r="BL22" s="69"/>
      <c r="BM22" s="69"/>
      <c r="BN22" s="69"/>
      <c r="BO22" s="69"/>
      <c r="BP22" s="69"/>
      <c r="BQ22" s="69"/>
      <c r="BR22" s="69"/>
      <c r="BS22" s="69"/>
      <c r="BT22" s="81"/>
      <c r="BU22" s="81"/>
      <c r="BV22" s="81"/>
      <c r="BW22" s="81"/>
      <c r="BX22" s="81"/>
      <c r="BY22" s="81"/>
      <c r="BZ22" s="81"/>
      <c r="CA22" s="81"/>
      <c r="CB22" s="81"/>
      <c r="CC22" s="81"/>
      <c r="CD22" s="81"/>
      <c r="CE22" s="69"/>
      <c r="CF22" s="69"/>
      <c r="CG22" s="69"/>
      <c r="CH22" s="180"/>
      <c r="CI22" s="69"/>
      <c r="CJ22" s="180"/>
      <c r="CK22" s="180"/>
      <c r="CL22" s="180"/>
      <c r="CM22" s="69"/>
      <c r="CN22" s="69"/>
      <c r="CO22" s="169"/>
      <c r="CP22" s="169"/>
      <c r="CQ22" s="169"/>
      <c r="CR22" s="169"/>
      <c r="CS22" s="169"/>
      <c r="CT22" s="169"/>
      <c r="CU22" s="169"/>
      <c r="CV22" s="169"/>
      <c r="CW22" s="169"/>
      <c r="CX22" s="185"/>
      <c r="CY22" s="185"/>
      <c r="CZ22" s="185"/>
      <c r="DA22" s="185"/>
      <c r="DB22" s="185"/>
      <c r="DC22" s="185"/>
      <c r="DD22" s="185"/>
      <c r="DE22" s="185"/>
      <c r="DF22" s="185"/>
      <c r="DG22" s="185"/>
      <c r="DH22" s="187"/>
      <c r="DI22" s="187"/>
      <c r="DJ22" s="28"/>
      <c r="DK22" s="28"/>
      <c r="DL22" s="28"/>
      <c r="DM22" s="28"/>
      <c r="DN22" s="28"/>
      <c r="DO22" s="28"/>
      <c r="DP22" s="28"/>
      <c r="DQ22" s="28"/>
      <c r="DR22" s="28"/>
      <c r="DS22" s="28">
        <v>300</v>
      </c>
      <c r="DT22" s="28"/>
      <c r="DU22" s="130">
        <f t="shared" si="0"/>
        <v>1350</v>
      </c>
    </row>
    <row r="23" spans="1:126" ht="33.5" thickBot="1" x14ac:dyDescent="0.4">
      <c r="A23" s="6">
        <v>19</v>
      </c>
      <c r="B23" s="7" t="s">
        <v>235</v>
      </c>
      <c r="C23" s="111">
        <v>5500</v>
      </c>
      <c r="D23" s="12" t="s">
        <v>236</v>
      </c>
      <c r="E23" s="11">
        <v>800</v>
      </c>
      <c r="F23" s="11">
        <v>800</v>
      </c>
      <c r="G23" s="11">
        <v>200</v>
      </c>
      <c r="H23" s="11">
        <v>200</v>
      </c>
      <c r="I23" s="11">
        <v>1000</v>
      </c>
      <c r="J23" s="11">
        <v>2000</v>
      </c>
      <c r="K23" s="11">
        <v>800</v>
      </c>
      <c r="L23" s="11">
        <v>500</v>
      </c>
      <c r="M23" s="11">
        <v>1200</v>
      </c>
      <c r="N23" s="11">
        <v>800</v>
      </c>
      <c r="O23" s="28"/>
      <c r="P23" s="28"/>
      <c r="Q23" s="28"/>
      <c r="R23" s="28"/>
      <c r="S23" s="28"/>
      <c r="T23" s="28"/>
      <c r="U23" s="28"/>
      <c r="V23" s="32"/>
      <c r="W23" s="32"/>
      <c r="X23" s="113"/>
      <c r="Y23" s="113"/>
      <c r="Z23" s="113"/>
      <c r="AA23" s="113"/>
      <c r="AB23" s="113"/>
      <c r="AC23" s="113"/>
      <c r="AD23" s="113"/>
      <c r="AE23" s="113"/>
      <c r="AF23" s="113"/>
      <c r="AG23" s="37"/>
      <c r="AH23" s="37"/>
      <c r="AI23" s="37"/>
      <c r="AJ23" s="37"/>
      <c r="AK23" s="37"/>
      <c r="AL23" s="37"/>
      <c r="AM23" s="37"/>
      <c r="AN23" s="37"/>
      <c r="AO23" s="41"/>
      <c r="AP23" s="41"/>
      <c r="AQ23" s="41"/>
      <c r="AR23" s="41"/>
      <c r="AS23" s="41"/>
      <c r="AT23" s="41"/>
      <c r="AU23" s="41"/>
      <c r="AV23" s="41"/>
      <c r="AW23" s="41"/>
      <c r="AX23" s="41"/>
      <c r="AY23" s="41"/>
      <c r="AZ23" s="50"/>
      <c r="BA23" s="50"/>
      <c r="BB23" s="50"/>
      <c r="BC23" s="50"/>
      <c r="BD23" s="50"/>
      <c r="BE23" s="50"/>
      <c r="BF23" s="50"/>
      <c r="BG23" s="50"/>
      <c r="BH23" s="50"/>
      <c r="BI23" s="50"/>
      <c r="BJ23" s="69"/>
      <c r="BK23" s="69"/>
      <c r="BL23" s="69"/>
      <c r="BM23" s="69"/>
      <c r="BN23" s="69"/>
      <c r="BO23" s="69"/>
      <c r="BP23" s="69"/>
      <c r="BQ23" s="69"/>
      <c r="BR23" s="69"/>
      <c r="BS23" s="69"/>
      <c r="BT23" s="81"/>
      <c r="BU23" s="81"/>
      <c r="BV23" s="81"/>
      <c r="BW23" s="81"/>
      <c r="BX23" s="81"/>
      <c r="BY23" s="81"/>
      <c r="BZ23" s="81"/>
      <c r="CA23" s="81"/>
      <c r="CB23" s="81"/>
      <c r="CC23" s="81"/>
      <c r="CD23" s="81"/>
      <c r="CE23" s="69"/>
      <c r="CF23" s="69"/>
      <c r="CG23" s="69"/>
      <c r="CH23" s="69"/>
      <c r="CI23" s="69"/>
      <c r="CJ23" s="69"/>
      <c r="CK23" s="69"/>
      <c r="CL23" s="69"/>
      <c r="CM23" s="69"/>
      <c r="CN23" s="69"/>
      <c r="CO23" s="169"/>
      <c r="CP23" s="169"/>
      <c r="CQ23" s="169"/>
      <c r="CR23" s="169"/>
      <c r="CS23" s="169"/>
      <c r="CT23" s="169"/>
      <c r="CU23" s="169"/>
      <c r="CV23" s="169"/>
      <c r="CW23" s="169"/>
      <c r="CX23" s="185"/>
      <c r="CY23" s="185"/>
      <c r="CZ23" s="185"/>
      <c r="DA23" s="185"/>
      <c r="DB23" s="185"/>
      <c r="DC23" s="185"/>
      <c r="DD23" s="185"/>
      <c r="DE23" s="185"/>
      <c r="DF23" s="185"/>
      <c r="DG23" s="185"/>
      <c r="DH23" s="187"/>
      <c r="DI23" s="187"/>
      <c r="DJ23" s="28"/>
      <c r="DK23" s="28"/>
      <c r="DL23" s="28"/>
      <c r="DM23" s="28"/>
      <c r="DN23" s="28"/>
      <c r="DO23" s="28"/>
      <c r="DP23" s="28"/>
      <c r="DQ23" s="28">
        <v>800</v>
      </c>
      <c r="DR23" s="28">
        <v>800</v>
      </c>
      <c r="DS23" s="28">
        <v>200</v>
      </c>
      <c r="DT23" s="28">
        <v>200</v>
      </c>
      <c r="DU23" s="130">
        <f t="shared" si="0"/>
        <v>10300</v>
      </c>
    </row>
    <row r="24" spans="1:126" ht="34.5" hidden="1" customHeight="1" x14ac:dyDescent="0.35">
      <c r="A24" s="6"/>
      <c r="B24" s="7"/>
      <c r="C24" s="111"/>
      <c r="D24" s="12"/>
      <c r="E24" s="28"/>
      <c r="F24" s="28"/>
      <c r="G24" s="28"/>
      <c r="H24" s="28"/>
      <c r="I24" s="28"/>
      <c r="J24" s="11"/>
      <c r="K24" s="11"/>
      <c r="L24" s="11"/>
      <c r="M24" s="11"/>
      <c r="N24" s="11"/>
      <c r="O24" s="28"/>
      <c r="P24" s="28"/>
      <c r="Q24" s="28"/>
      <c r="R24" s="28"/>
      <c r="S24" s="28"/>
      <c r="T24" s="28"/>
      <c r="U24" s="28"/>
      <c r="V24" s="32"/>
      <c r="W24" s="32"/>
      <c r="X24" s="113"/>
      <c r="Y24" s="113"/>
      <c r="Z24" s="113"/>
      <c r="AA24" s="113"/>
      <c r="AB24" s="113"/>
      <c r="AC24" s="113"/>
      <c r="AD24" s="113"/>
      <c r="AE24" s="113"/>
      <c r="AF24" s="113"/>
      <c r="AG24" s="37"/>
      <c r="AH24" s="37"/>
      <c r="AI24" s="37"/>
      <c r="AJ24" s="37"/>
      <c r="AK24" s="37"/>
      <c r="AL24" s="37"/>
      <c r="AM24" s="37"/>
      <c r="AN24" s="37"/>
      <c r="AO24" s="41"/>
      <c r="AP24" s="41"/>
      <c r="AQ24" s="41"/>
      <c r="AR24" s="41"/>
      <c r="AS24" s="41"/>
      <c r="AT24" s="41"/>
      <c r="AU24" s="41"/>
      <c r="AV24" s="41"/>
      <c r="AW24" s="41"/>
      <c r="AX24" s="41"/>
      <c r="AY24" s="41"/>
      <c r="AZ24" s="50"/>
      <c r="BA24" s="50"/>
      <c r="BB24" s="50"/>
      <c r="BC24" s="50"/>
      <c r="BD24" s="50"/>
      <c r="BE24" s="50"/>
      <c r="BF24" s="50"/>
      <c r="BG24" s="50"/>
      <c r="BH24" s="50"/>
      <c r="BI24" s="50"/>
      <c r="BJ24" s="69"/>
      <c r="BK24" s="69"/>
      <c r="BL24" s="69"/>
      <c r="BM24" s="69"/>
      <c r="BN24" s="69"/>
      <c r="BO24" s="69"/>
      <c r="BP24" s="69"/>
      <c r="BQ24" s="69"/>
      <c r="BR24" s="69"/>
      <c r="BS24" s="69"/>
      <c r="BT24" s="81"/>
      <c r="BU24" s="81"/>
      <c r="BV24" s="81"/>
      <c r="BW24" s="81"/>
      <c r="BX24" s="81"/>
      <c r="BY24" s="81"/>
      <c r="BZ24" s="81"/>
      <c r="CA24" s="81"/>
      <c r="CB24" s="81"/>
      <c r="CC24" s="81"/>
      <c r="CD24" s="81"/>
      <c r="CE24" s="190"/>
      <c r="CF24" s="190"/>
      <c r="CG24" s="190"/>
      <c r="CH24" s="190"/>
      <c r="CI24" s="190"/>
      <c r="CJ24" s="190"/>
      <c r="CK24" s="190"/>
      <c r="CL24" s="190"/>
      <c r="CM24" s="190"/>
      <c r="CN24" s="190"/>
      <c r="CO24" s="191"/>
      <c r="CP24" s="191"/>
      <c r="CQ24" s="191"/>
      <c r="CR24" s="191"/>
      <c r="CS24" s="191"/>
      <c r="CT24" s="191"/>
      <c r="CU24" s="191"/>
      <c r="CV24" s="191"/>
      <c r="CW24" s="191"/>
      <c r="CX24" s="185"/>
      <c r="CY24" s="185"/>
      <c r="CZ24" s="185"/>
      <c r="DA24" s="185"/>
      <c r="DB24" s="185"/>
      <c r="DC24" s="185"/>
      <c r="DD24" s="185"/>
      <c r="DE24" s="185"/>
      <c r="DF24" s="185"/>
      <c r="DG24" s="185"/>
      <c r="DH24" s="187"/>
      <c r="DI24" s="187"/>
      <c r="DJ24" s="28"/>
      <c r="DK24" s="28"/>
      <c r="DL24" s="28"/>
      <c r="DM24" s="28"/>
      <c r="DN24" s="28"/>
      <c r="DO24" s="28"/>
      <c r="DP24" s="28"/>
      <c r="DQ24" s="28"/>
      <c r="DR24" s="28"/>
      <c r="DS24" s="28"/>
      <c r="DT24" s="28"/>
      <c r="DU24" s="130"/>
    </row>
    <row r="25" spans="1:126" s="3" customFormat="1" ht="14.5" hidden="1" customHeight="1" thickBot="1" x14ac:dyDescent="0.4">
      <c r="A25" s="13"/>
      <c r="B25" s="14" t="s">
        <v>71</v>
      </c>
      <c r="C25" s="15"/>
      <c r="D25" s="16"/>
      <c r="E25" s="187"/>
      <c r="F25" s="187"/>
      <c r="G25" s="187"/>
      <c r="H25" s="187"/>
      <c r="I25" s="187"/>
      <c r="J25" s="18">
        <f t="shared" ref="J25:K25" si="1">SUM(J5:J23)</f>
        <v>5310</v>
      </c>
      <c r="K25" s="18">
        <f t="shared" si="1"/>
        <v>5950</v>
      </c>
      <c r="L25" s="18">
        <f t="shared" ref="L25:M25" si="2">SUM(L5:L23)</f>
        <v>5090</v>
      </c>
      <c r="M25" s="18">
        <f t="shared" si="2"/>
        <v>6430</v>
      </c>
      <c r="N25" s="18">
        <f t="shared" ref="N25" si="3">SUM(N5:N23)</f>
        <v>6100</v>
      </c>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185"/>
      <c r="CY25" s="185"/>
      <c r="CZ25" s="185"/>
      <c r="DA25" s="185"/>
      <c r="DB25" s="185"/>
      <c r="DC25" s="185"/>
      <c r="DD25" s="185"/>
      <c r="DE25" s="185"/>
      <c r="DF25" s="185"/>
      <c r="DG25" s="185"/>
      <c r="DH25" s="187"/>
      <c r="DI25" s="187"/>
      <c r="DJ25" s="28"/>
      <c r="DK25" s="28"/>
      <c r="DL25" s="28"/>
      <c r="DM25" s="187"/>
      <c r="DN25" s="187"/>
      <c r="DO25" s="187"/>
      <c r="DP25" s="187"/>
      <c r="DQ25" s="187"/>
      <c r="DR25" s="187"/>
      <c r="DS25" s="187"/>
      <c r="DT25" s="187"/>
      <c r="DU25" s="130">
        <f>SUM(E25:DT25)</f>
        <v>28880</v>
      </c>
    </row>
    <row r="26" spans="1:126" s="164" customFormat="1" ht="29.25" customHeight="1" thickBot="1" x14ac:dyDescent="0.4">
      <c r="A26" s="151"/>
      <c r="B26" s="152" t="s">
        <v>72</v>
      </c>
      <c r="C26" s="153"/>
      <c r="D26" s="154"/>
      <c r="E26" s="192">
        <f t="shared" ref="E26" si="4">E5*$C$5+E6*$C$6+E7*$C$7+E8*$C$8+E9*$C$9+E10*$C$10+E11*$C$11+E12*$C$12+E13*$C$13+E14*$C$14+E15*$C$15+E16*$C$16+E17*$C$17+E18*$C$18+E19*$C$19+E20*$C$20+E21*$C$21+E23*$C$23</f>
        <v>33149500</v>
      </c>
      <c r="F26" s="192">
        <f>F5*$C$5+F6*$C$6+F7*$C$7+F8*$C$8+F9*$C$9+F10*$C$10+F11*$C$11+F12*$C$12+F13*$C$13+F14*$C$14+F15*$C$15+F16*$C$16+F17*$C$17+F18*$C$18+F19*$C$19+F20*$C$20+F21*$C$21+F23*$C$23</f>
        <v>25076000</v>
      </c>
      <c r="G26" s="192">
        <f>G5*$C$5+G6*$C$6+G7*$C$7+G8*$C$8+G9*$C$9+G10*$C$10+G11*$C$11+G12*$C$12+G13*$C$13+G14*$C$14+G15*$C$15+G16*$C$16+G17*$C$17+G18*$C$18+G19*$C$19+G20*$C$20+G21*$C$21+G23*$C$23+G22*C22</f>
        <v>28470000</v>
      </c>
      <c r="H26" s="192">
        <f>H5*$C$5+H6*$C$6+H7*$C$7+H8*$C$8+H9*$C$9+H10*$C$10+H11*$C$11+H12*$C$12+H13*$C$13+H14*$C$14+H15*$C$15+H16*$C$16+H17*$C$17+H18*$C$18+H19*$C$19+H20*$C$20+H21*$C$21+H23*$C$23+H22*C22</f>
        <v>17198200</v>
      </c>
      <c r="I26" s="192">
        <f>I5*$C$5+I6*$C$6+I7*$C$7+I8*$C$8+I9*$C$9+I10*$C$10+I11*$C$11+I12*$C$12+I13*$C$13+I14*$C$14+I15*$C$15+I16*$C$16+I17*$C$17+I18*$C$18+I19*$C$19+I20*$C$20+I21*$C$21+I23*$C$23+I22*C22</f>
        <v>25484000</v>
      </c>
      <c r="J26" s="155">
        <f>J5*$C$5+J6*$C$6+J7*$C$7+J8*$C$8+J9*$C$9+J10*$C$10+J11*$C$11+J12*$C$12+J13*$C$13+J14*$C$14+J15*$C$15+J16*$C$16+J17*$C$17+J18*$C$18+J19*$C$19+J20*$C$20+J21*$C$21+J23*$C$23+J22*C22</f>
        <v>31497000</v>
      </c>
      <c r="K26" s="155">
        <f>K5*$C$5+K6*$C$6+K7*$C$7+K8*$C$8+K9*$C$9+K10*$C$10+K11*$C$11+K12*$C$12+K13*$C$13+K14*$C$14+K15*$C$15+K16*$C$16+K17*$C$17+K18*$C$18+K19*$C$19+K20*$C$20+K21*$C$21+K23*$C$23+K22*C22</f>
        <v>35305000</v>
      </c>
      <c r="L26" s="155">
        <f>L5*$C$5+L6*$C$6+L7*$C$7+L8*$C$8+L9*$C$9+L10*$C$10+L11*$C$11+L12*$C$12+L13*$C$13+L14*$C$14+L15*$C$15+L16*$C$16+L17*$C$17+L18*$C$18+L19*$C$19+L20*$C$20+L21*$C$21+L23*$C$23+L22*C22</f>
        <v>29711000</v>
      </c>
      <c r="M26" s="155">
        <f>M5*$C$5+M6*$C$6+M7*$C$7+M8*$C$8+M9*$C$9+M10*$C$10+M11*$C$11+M12*$C$12+M13*$C$13+M14*$C$14+M15*$C$15+M16*$C$16+M17*$C$17+M18*$C$18+M19*$C$19+M20*$C$20+M21*$C$21+M23*$C$23+M22*C22</f>
        <v>37801000</v>
      </c>
      <c r="N26" s="155">
        <f>N5*$C$5+N6*$C$6+N7*$C$7+N8*$C$8+N9*$C$9+N10*$C$10+N11*$C$11+N12*$C$12+N13*$C$13+N14*$C$14+N15*$C$15+N16*$C$16+N17*$C$17+N18*$C$18+N19*$C$19+N20*$C$20+N21*$C$21+N23*$C$23+N22*C22</f>
        <v>35110000</v>
      </c>
      <c r="O26" s="156"/>
      <c r="P26" s="156"/>
      <c r="Q26" s="156"/>
      <c r="R26" s="156"/>
      <c r="S26" s="156"/>
      <c r="T26" s="156"/>
      <c r="U26" s="156"/>
      <c r="V26" s="157"/>
      <c r="W26" s="157"/>
      <c r="X26" s="157"/>
      <c r="Y26" s="157"/>
      <c r="Z26" s="157"/>
      <c r="AA26" s="157"/>
      <c r="AB26" s="157"/>
      <c r="AC26" s="157"/>
      <c r="AD26" s="157"/>
      <c r="AE26" s="157"/>
      <c r="AF26" s="157"/>
      <c r="AG26" s="158"/>
      <c r="AH26" s="158"/>
      <c r="AI26" s="158"/>
      <c r="AJ26" s="158"/>
      <c r="AK26" s="158"/>
      <c r="AL26" s="158"/>
      <c r="AM26" s="158"/>
      <c r="AN26" s="158"/>
      <c r="AO26" s="159"/>
      <c r="AP26" s="159"/>
      <c r="AQ26" s="159"/>
      <c r="AR26" s="159"/>
      <c r="AS26" s="159"/>
      <c r="AT26" s="159"/>
      <c r="AU26" s="159"/>
      <c r="AV26" s="159"/>
      <c r="AW26" s="159"/>
      <c r="AX26" s="159"/>
      <c r="AY26" s="159"/>
      <c r="AZ26" s="160"/>
      <c r="BA26" s="160"/>
      <c r="BB26" s="160"/>
      <c r="BC26" s="160"/>
      <c r="BD26" s="160"/>
      <c r="BE26" s="160"/>
      <c r="BF26" s="160"/>
      <c r="BG26" s="160"/>
      <c r="BH26" s="160"/>
      <c r="BI26" s="160"/>
      <c r="BJ26" s="161"/>
      <c r="BK26" s="161"/>
      <c r="BL26" s="161"/>
      <c r="BM26" s="161"/>
      <c r="BN26" s="161"/>
      <c r="BO26" s="161"/>
      <c r="BP26" s="161"/>
      <c r="BQ26" s="161"/>
      <c r="BR26" s="161"/>
      <c r="BS26" s="161"/>
      <c r="BT26" s="162"/>
      <c r="BU26" s="189"/>
      <c r="BV26" s="162"/>
      <c r="BW26" s="162"/>
      <c r="BX26" s="162"/>
      <c r="BY26" s="162"/>
      <c r="BZ26" s="162"/>
      <c r="CA26" s="162"/>
      <c r="CB26" s="162"/>
      <c r="CC26" s="162"/>
      <c r="CD26" s="162"/>
      <c r="CE26" s="168"/>
      <c r="CF26" s="168"/>
      <c r="CG26" s="168"/>
      <c r="CH26" s="168"/>
      <c r="CI26" s="168"/>
      <c r="CJ26" s="168"/>
      <c r="CK26" s="168"/>
      <c r="CL26" s="168"/>
      <c r="CM26" s="168"/>
      <c r="CN26" s="168"/>
      <c r="CO26" s="181"/>
      <c r="CP26" s="181"/>
      <c r="CQ26" s="181"/>
      <c r="CR26" s="181"/>
      <c r="CS26" s="181"/>
      <c r="CT26" s="181"/>
      <c r="CU26" s="181"/>
      <c r="CV26" s="181"/>
      <c r="CW26" s="181"/>
      <c r="CX26" s="168"/>
      <c r="CY26" s="168"/>
      <c r="CZ26" s="168"/>
      <c r="DA26" s="168"/>
      <c r="DB26" s="168"/>
      <c r="DC26" s="168"/>
      <c r="DD26" s="168"/>
      <c r="DE26" s="168"/>
      <c r="DF26" s="168"/>
      <c r="DG26" s="168"/>
      <c r="DH26" s="188">
        <f t="shared" ref="DH26:DM26" si="5">DH5*$C$5+DH6*$C$6+DH7*$C$7+DH8*$C$8+DH9*$C$9+DH10*$C$10+DH11*$C$11+DH12*$C$12+DH13*$C$13+DH14*$C$14+DH15*$C$15+DH16*$C$16+DH17*$C$17+DH18*$C$18+DH19*$C$19+DH20*$C$20+DH21*$C$21+DH23*$C$23</f>
        <v>0</v>
      </c>
      <c r="DI26" s="188">
        <f t="shared" ref="DI26" si="6">DI5*$C$5+DI6*$C$6+DI7*$C$7+DI8*$C$8+DI9*$C$9+DI10*$C$10+DI11*$C$11+DI12*$C$12+DI13*$C$13+DI14*$C$14+DI15*$C$15+DI16*$C$16+DI17*$C$17+DI18*$C$18+DI19*$C$19+DI20*$C$20+DI21*$C$21+DI23*$C$23</f>
        <v>0</v>
      </c>
      <c r="DJ26" s="188">
        <f t="shared" si="5"/>
        <v>0</v>
      </c>
      <c r="DK26" s="188">
        <f t="shared" ref="DK26:DL26" si="7">DK5*$C$5+DK6*$C$6+DK7*$C$7+DK8*$C$8+DK9*$C$9+DK10*$C$10+DK11*$C$11+DK12*$C$12+DK13*$C$13+DK14*$C$14+DK15*$C$15+DK16*$C$16+DK17*$C$17+DK18*$C$18+DK19*$C$19+DK20*$C$20+DK21*$C$21+DK23*$C$23</f>
        <v>0</v>
      </c>
      <c r="DL26" s="188">
        <f t="shared" si="7"/>
        <v>0</v>
      </c>
      <c r="DM26" s="188">
        <f t="shared" si="5"/>
        <v>0</v>
      </c>
      <c r="DN26" s="188">
        <f t="shared" ref="DN26:DP26" si="8">DN5*$C$5+DN6*$C$6+DN7*$C$7+DN8*$C$8+DN9*$C$9+DN10*$C$10+DN11*$C$11+DN12*$C$12+DN13*$C$13+DN14*$C$14+DN15*$C$15+DN16*$C$16+DN17*$C$17+DN18*$C$18+DN19*$C$19+DN20*$C$20+DN21*$C$21+DN23*$C$23</f>
        <v>0</v>
      </c>
      <c r="DO26" s="188">
        <f t="shared" si="8"/>
        <v>0</v>
      </c>
      <c r="DP26" s="188">
        <f t="shared" si="8"/>
        <v>0</v>
      </c>
      <c r="DQ26" s="188">
        <f t="shared" ref="DQ26:DT26" si="9">DQ5*$C$5+DQ6*$C$6+DQ7*$C$7+DQ8*$C$8+DQ9*$C$9+DQ10*$C$10+DQ11*$C$11+DQ12*$C$12+DQ13*$C$13+DQ14*$C$14+DQ15*$C$15+DQ16*$C$16+DQ17*$C$17+DQ18*$C$18+DQ19*$C$19+DQ20*$C$20+DQ21*$C$21+DQ23*$C$23</f>
        <v>33149500</v>
      </c>
      <c r="DR26" s="188">
        <f t="shared" ref="DR26:DS26" si="10">DR5*$C$5+DR6*$C$6+DR7*$C$7+DR8*$C$8+DR9*$C$9+DR10*$C$10+DR11*$C$11+DR12*$C$12+DR13*$C$13+DR14*$C$14+DR15*$C$15+DR16*$C$16+DR17*$C$17+DR18*$C$18+DR19*$C$19+DR20*$C$20+DR21*$C$21+DR23*$C$23</f>
        <v>25076000</v>
      </c>
      <c r="DS26" s="188">
        <f t="shared" si="10"/>
        <v>26460000</v>
      </c>
      <c r="DT26" s="188">
        <f t="shared" si="9"/>
        <v>17198200</v>
      </c>
      <c r="DU26" s="163">
        <f>SUM(E26:DT26)</f>
        <v>400685400</v>
      </c>
    </row>
    <row r="27" spans="1:126" s="164" customFormat="1" ht="29.9" customHeight="1" thickBot="1" x14ac:dyDescent="0.4">
      <c r="A27" s="151"/>
      <c r="B27" s="167" t="s">
        <v>237</v>
      </c>
      <c r="C27" s="153"/>
      <c r="D27" s="154"/>
      <c r="E27" s="192">
        <f t="shared" ref="E27" si="11">+E26*8%</f>
        <v>2651960</v>
      </c>
      <c r="F27" s="192">
        <f t="shared" ref="F27" si="12">+F26*8%</f>
        <v>2006080</v>
      </c>
      <c r="G27" s="192">
        <f t="shared" ref="G27" si="13">+G26*8%</f>
        <v>2277600</v>
      </c>
      <c r="H27" s="192">
        <f t="shared" ref="H27:L27" si="14">+H26*8%</f>
        <v>1375856</v>
      </c>
      <c r="I27" s="192">
        <f t="shared" si="14"/>
        <v>2038720</v>
      </c>
      <c r="J27" s="155">
        <f t="shared" si="14"/>
        <v>2519760</v>
      </c>
      <c r="K27" s="155">
        <f t="shared" si="14"/>
        <v>2824400</v>
      </c>
      <c r="L27" s="155">
        <f t="shared" si="14"/>
        <v>2376880</v>
      </c>
      <c r="M27" s="155">
        <f t="shared" ref="M27:N27" si="15">+M26*8%</f>
        <v>3024080</v>
      </c>
      <c r="N27" s="155">
        <f t="shared" si="15"/>
        <v>2808800</v>
      </c>
      <c r="O27" s="156"/>
      <c r="P27" s="156"/>
      <c r="Q27" s="156"/>
      <c r="R27" s="156"/>
      <c r="S27" s="156"/>
      <c r="T27" s="156"/>
      <c r="U27" s="156"/>
      <c r="V27" s="155"/>
      <c r="W27" s="155"/>
      <c r="X27" s="155"/>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61"/>
      <c r="BK27" s="161"/>
      <c r="BL27" s="161"/>
      <c r="BM27" s="161"/>
      <c r="BN27" s="161"/>
      <c r="BO27" s="161"/>
      <c r="BP27" s="161"/>
      <c r="BQ27" s="161"/>
      <c r="BR27" s="161"/>
      <c r="BS27" s="161"/>
      <c r="BT27" s="162"/>
      <c r="BU27" s="162"/>
      <c r="BV27" s="162"/>
      <c r="BW27" s="162"/>
      <c r="BX27" s="162"/>
      <c r="BY27" s="162"/>
      <c r="BZ27" s="162"/>
      <c r="CA27" s="162"/>
      <c r="CB27" s="162"/>
      <c r="CC27" s="162"/>
      <c r="CD27" s="162"/>
      <c r="CE27" s="168"/>
      <c r="CF27" s="168"/>
      <c r="CG27" s="168"/>
      <c r="CH27" s="168"/>
      <c r="CI27" s="168"/>
      <c r="CJ27" s="168"/>
      <c r="CK27" s="168"/>
      <c r="CL27" s="168"/>
      <c r="CM27" s="168"/>
      <c r="CN27" s="168"/>
      <c r="CO27" s="181"/>
      <c r="CP27" s="181"/>
      <c r="CQ27" s="181"/>
      <c r="CR27" s="181"/>
      <c r="CS27" s="181"/>
      <c r="CT27" s="181"/>
      <c r="CU27" s="181"/>
      <c r="CV27" s="181"/>
      <c r="CW27" s="181"/>
      <c r="CX27" s="168"/>
      <c r="CY27" s="168"/>
      <c r="CZ27" s="168"/>
      <c r="DA27" s="168"/>
      <c r="DB27" s="168"/>
      <c r="DC27" s="168"/>
      <c r="DD27" s="168"/>
      <c r="DE27" s="168"/>
      <c r="DF27" s="168"/>
      <c r="DG27" s="168"/>
      <c r="DH27" s="188">
        <f t="shared" ref="DH27" si="16">+DH26*8%</f>
        <v>0</v>
      </c>
      <c r="DI27" s="188">
        <f t="shared" ref="DI27" si="17">+DI26*8%</f>
        <v>0</v>
      </c>
      <c r="DJ27" s="188">
        <f t="shared" ref="DJ27" si="18">+DJ26*8%</f>
        <v>0</v>
      </c>
      <c r="DK27" s="188">
        <f t="shared" ref="DK27:DL27" si="19">+DK26*8%</f>
        <v>0</v>
      </c>
      <c r="DL27" s="188">
        <f t="shared" si="19"/>
        <v>0</v>
      </c>
      <c r="DM27" s="188">
        <f t="shared" ref="DM27" si="20">+DM26*8%</f>
        <v>0</v>
      </c>
      <c r="DN27" s="188">
        <f t="shared" ref="DN27:DO27" si="21">+DN26*8%</f>
        <v>0</v>
      </c>
      <c r="DO27" s="188">
        <f t="shared" si="21"/>
        <v>0</v>
      </c>
      <c r="DP27" s="188">
        <f t="shared" ref="DP27:DU27" si="22">+DP26*8%</f>
        <v>0</v>
      </c>
      <c r="DQ27" s="188">
        <f t="shared" si="22"/>
        <v>2651960</v>
      </c>
      <c r="DR27" s="188">
        <f t="shared" si="22"/>
        <v>2006080</v>
      </c>
      <c r="DS27" s="188">
        <f t="shared" si="22"/>
        <v>2116800</v>
      </c>
      <c r="DT27" s="188">
        <f t="shared" si="22"/>
        <v>1375856</v>
      </c>
      <c r="DU27" s="163">
        <f t="shared" si="22"/>
        <v>32054832</v>
      </c>
    </row>
    <row r="28" spans="1:126" s="3" customFormat="1" ht="29.25" customHeight="1" thickBot="1" x14ac:dyDescent="0.4">
      <c r="A28" s="13"/>
      <c r="B28" s="14" t="s">
        <v>74</v>
      </c>
      <c r="C28" s="19"/>
      <c r="D28" s="16"/>
      <c r="E28" s="192">
        <f t="shared" ref="E28" si="23">+E26+E27</f>
        <v>35801460</v>
      </c>
      <c r="F28" s="192">
        <f t="shared" ref="F28" si="24">+F26+F27</f>
        <v>27082080</v>
      </c>
      <c r="G28" s="192">
        <f t="shared" ref="G28" si="25">+G26+G27</f>
        <v>30747600</v>
      </c>
      <c r="H28" s="192">
        <f t="shared" ref="H28:L28" si="26">+H26+H27</f>
        <v>18574056</v>
      </c>
      <c r="I28" s="192">
        <f t="shared" si="26"/>
        <v>27522720</v>
      </c>
      <c r="J28" s="22">
        <f t="shared" si="26"/>
        <v>34016760</v>
      </c>
      <c r="K28" s="22">
        <f t="shared" si="26"/>
        <v>38129400</v>
      </c>
      <c r="L28" s="22">
        <f t="shared" si="26"/>
        <v>32087880</v>
      </c>
      <c r="M28" s="22">
        <f t="shared" ref="M28:N28" si="27">+M26+M27</f>
        <v>40825080</v>
      </c>
      <c r="N28" s="22">
        <f t="shared" si="27"/>
        <v>37918800</v>
      </c>
      <c r="O28" s="171"/>
      <c r="P28" s="171"/>
      <c r="Q28" s="171"/>
      <c r="R28" s="31"/>
      <c r="S28" s="31"/>
      <c r="T28" s="31"/>
      <c r="U28" s="31"/>
      <c r="V28" s="35"/>
      <c r="W28" s="35"/>
      <c r="X28" s="35"/>
      <c r="Y28" s="35"/>
      <c r="Z28" s="35"/>
      <c r="AA28" s="35"/>
      <c r="AB28" s="35"/>
      <c r="AC28" s="35"/>
      <c r="AD28" s="35"/>
      <c r="AE28" s="35"/>
      <c r="AF28" s="35"/>
      <c r="AG28" s="119"/>
      <c r="AH28" s="119"/>
      <c r="AI28" s="119"/>
      <c r="AJ28" s="119"/>
      <c r="AK28" s="119"/>
      <c r="AL28" s="119"/>
      <c r="AM28" s="119"/>
      <c r="AN28" s="119"/>
      <c r="AO28" s="44"/>
      <c r="AP28" s="44"/>
      <c r="AQ28" s="44"/>
      <c r="AR28" s="44"/>
      <c r="AS28" s="44"/>
      <c r="AT28" s="44"/>
      <c r="AU28" s="44"/>
      <c r="AV28" s="44"/>
      <c r="AW28" s="44"/>
      <c r="AX28" s="44"/>
      <c r="AY28" s="44"/>
      <c r="AZ28" s="53"/>
      <c r="BA28" s="53"/>
      <c r="BB28" s="53"/>
      <c r="BC28" s="53"/>
      <c r="BD28" s="53"/>
      <c r="BE28" s="53"/>
      <c r="BF28" s="53"/>
      <c r="BG28" s="53"/>
      <c r="BH28" s="53"/>
      <c r="BI28" s="53"/>
      <c r="BJ28" s="72"/>
      <c r="BK28" s="72"/>
      <c r="BL28" s="72"/>
      <c r="BM28" s="72"/>
      <c r="BN28" s="72"/>
      <c r="BO28" s="72"/>
      <c r="BP28" s="72"/>
      <c r="BQ28" s="72"/>
      <c r="BR28" s="72"/>
      <c r="BS28" s="72"/>
      <c r="BT28" s="178"/>
      <c r="BU28" s="178"/>
      <c r="BV28" s="178"/>
      <c r="BW28" s="178"/>
      <c r="BX28" s="178"/>
      <c r="BY28" s="178"/>
      <c r="BZ28" s="178"/>
      <c r="CA28" s="178"/>
      <c r="CB28" s="178"/>
      <c r="CC28" s="178"/>
      <c r="CD28" s="178"/>
      <c r="CE28" s="168"/>
      <c r="CF28" s="168"/>
      <c r="CG28" s="168"/>
      <c r="CH28" s="168"/>
      <c r="CI28" s="168"/>
      <c r="CJ28" s="168"/>
      <c r="CK28" s="168"/>
      <c r="CL28" s="168"/>
      <c r="CM28" s="168"/>
      <c r="CN28" s="168"/>
      <c r="CO28" s="181"/>
      <c r="CP28" s="181"/>
      <c r="CQ28" s="181"/>
      <c r="CR28" s="181"/>
      <c r="CS28" s="181"/>
      <c r="CT28" s="181"/>
      <c r="CU28" s="181"/>
      <c r="CV28" s="181"/>
      <c r="CW28" s="181"/>
      <c r="CX28" s="168"/>
      <c r="CY28" s="168"/>
      <c r="CZ28" s="168"/>
      <c r="DA28" s="168"/>
      <c r="DB28" s="168"/>
      <c r="DC28" s="168"/>
      <c r="DD28" s="168"/>
      <c r="DE28" s="168"/>
      <c r="DF28" s="168"/>
      <c r="DG28" s="168"/>
      <c r="DH28" s="188">
        <f t="shared" ref="DH28" si="28">+DH26+DH27</f>
        <v>0</v>
      </c>
      <c r="DI28" s="188">
        <f t="shared" ref="DI28" si="29">+DI26+DI27</f>
        <v>0</v>
      </c>
      <c r="DJ28" s="188">
        <f t="shared" ref="DJ28" si="30">+DJ26+DJ27</f>
        <v>0</v>
      </c>
      <c r="DK28" s="188">
        <f t="shared" ref="DK28:DL28" si="31">+DK26+DK27</f>
        <v>0</v>
      </c>
      <c r="DL28" s="188">
        <f t="shared" si="31"/>
        <v>0</v>
      </c>
      <c r="DM28" s="188">
        <f t="shared" ref="DM28" si="32">+DM26+DM27</f>
        <v>0</v>
      </c>
      <c r="DN28" s="188">
        <f t="shared" ref="DN28:DO28" si="33">+DN26+DN27</f>
        <v>0</v>
      </c>
      <c r="DO28" s="188">
        <f t="shared" si="33"/>
        <v>0</v>
      </c>
      <c r="DP28" s="188">
        <f t="shared" ref="DP28:DU28" si="34">+DP26+DP27</f>
        <v>0</v>
      </c>
      <c r="DQ28" s="188">
        <f t="shared" si="34"/>
        <v>35801460</v>
      </c>
      <c r="DR28" s="188">
        <f t="shared" si="34"/>
        <v>27082080</v>
      </c>
      <c r="DS28" s="188">
        <f t="shared" si="34"/>
        <v>28576800</v>
      </c>
      <c r="DT28" s="188">
        <f t="shared" si="34"/>
        <v>18574056</v>
      </c>
      <c r="DU28" s="131">
        <f t="shared" si="34"/>
        <v>432740232</v>
      </c>
      <c r="DV28" s="24"/>
    </row>
    <row r="29" spans="1:126" s="3" customFormat="1" ht="29.25" customHeight="1" x14ac:dyDescent="0.35">
      <c r="A29" s="16" t="s">
        <v>238</v>
      </c>
      <c r="B29" s="177"/>
      <c r="C29" s="177"/>
      <c r="D29" s="177"/>
      <c r="E29" s="225">
        <f>SUM(E28:N28)</f>
        <v>322705836</v>
      </c>
      <c r="F29" s="225"/>
      <c r="G29" s="225"/>
      <c r="H29" s="225"/>
      <c r="I29" s="225"/>
      <c r="J29" s="225"/>
      <c r="K29" s="225"/>
      <c r="L29" s="225"/>
      <c r="M29" s="225"/>
      <c r="N29" s="225"/>
      <c r="O29" s="216"/>
      <c r="P29" s="216"/>
      <c r="Q29" s="216"/>
      <c r="R29" s="216"/>
      <c r="S29" s="216"/>
      <c r="T29" s="216"/>
      <c r="U29" s="216"/>
      <c r="V29" s="220"/>
      <c r="W29" s="221"/>
      <c r="X29" s="221"/>
      <c r="Y29" s="221"/>
      <c r="Z29" s="221"/>
      <c r="AA29" s="221"/>
      <c r="AB29" s="221"/>
      <c r="AC29" s="221"/>
      <c r="AD29" s="221"/>
      <c r="AE29" s="221"/>
      <c r="AF29" s="222"/>
      <c r="AG29" s="217"/>
      <c r="AH29" s="218"/>
      <c r="AI29" s="218"/>
      <c r="AJ29" s="218"/>
      <c r="AK29" s="218"/>
      <c r="AL29" s="218"/>
      <c r="AM29" s="218"/>
      <c r="AN29" s="219"/>
      <c r="AO29" s="197"/>
      <c r="AP29" s="198"/>
      <c r="AQ29" s="198"/>
      <c r="AR29" s="198"/>
      <c r="AS29" s="198"/>
      <c r="AT29" s="198"/>
      <c r="AU29" s="198"/>
      <c r="AV29" s="198"/>
      <c r="AW29" s="198"/>
      <c r="AX29" s="198"/>
      <c r="AY29" s="199"/>
      <c r="AZ29" s="204"/>
      <c r="BA29" s="205"/>
      <c r="BB29" s="205"/>
      <c r="BC29" s="205"/>
      <c r="BD29" s="205"/>
      <c r="BE29" s="205"/>
      <c r="BF29" s="205"/>
      <c r="BG29" s="205"/>
      <c r="BH29" s="205"/>
      <c r="BI29" s="205"/>
      <c r="BJ29" s="200"/>
      <c r="BK29" s="201"/>
      <c r="BL29" s="201"/>
      <c r="BM29" s="201"/>
      <c r="BN29" s="201"/>
      <c r="BO29" s="201"/>
      <c r="BP29" s="201"/>
      <c r="BQ29" s="201"/>
      <c r="BR29" s="201"/>
      <c r="BS29" s="201"/>
      <c r="BT29" s="202"/>
      <c r="BU29" s="202"/>
      <c r="BV29" s="202"/>
      <c r="BW29" s="202"/>
      <c r="BX29" s="202"/>
      <c r="BY29" s="202"/>
      <c r="BZ29" s="202"/>
      <c r="CA29" s="202"/>
      <c r="CB29" s="202"/>
      <c r="CC29" s="202"/>
      <c r="CD29" s="203"/>
      <c r="CE29" s="206"/>
      <c r="CF29" s="207"/>
      <c r="CG29" s="207"/>
      <c r="CH29" s="207"/>
      <c r="CI29" s="207"/>
      <c r="CJ29" s="207"/>
      <c r="CK29" s="207"/>
      <c r="CL29" s="207"/>
      <c r="CM29" s="207"/>
      <c r="CN29" s="208"/>
      <c r="CO29" s="212"/>
      <c r="CP29" s="213"/>
      <c r="CQ29" s="213"/>
      <c r="CR29" s="213"/>
      <c r="CS29" s="213"/>
      <c r="CT29" s="213"/>
      <c r="CU29" s="213"/>
      <c r="CV29" s="213"/>
      <c r="CW29" s="214"/>
      <c r="CX29" s="209"/>
      <c r="CY29" s="210"/>
      <c r="CZ29" s="210"/>
      <c r="DA29" s="210"/>
      <c r="DB29" s="210"/>
      <c r="DC29" s="210"/>
      <c r="DD29" s="210"/>
      <c r="DE29" s="210"/>
      <c r="DF29" s="210"/>
      <c r="DG29" s="211"/>
      <c r="DH29" s="215">
        <f>SUM(DH28:DT28)</f>
        <v>110034396</v>
      </c>
      <c r="DI29" s="216"/>
      <c r="DJ29" s="216"/>
      <c r="DK29" s="216"/>
      <c r="DL29" s="216"/>
      <c r="DM29" s="216"/>
      <c r="DN29" s="216"/>
      <c r="DO29" s="216"/>
      <c r="DP29" s="216"/>
      <c r="DQ29" s="216"/>
      <c r="DR29" s="216"/>
      <c r="DS29" s="216"/>
      <c r="DT29" s="216"/>
      <c r="DU29" s="131"/>
      <c r="DV29" s="24"/>
    </row>
    <row r="30" spans="1:126" ht="16.5" customHeight="1" x14ac:dyDescent="0.35">
      <c r="A30" s="136"/>
      <c r="B30" s="136"/>
      <c r="C30" s="136"/>
      <c r="D30" s="136"/>
      <c r="J30" s="26"/>
      <c r="K30" s="26"/>
      <c r="L30" s="26"/>
      <c r="M30" s="26"/>
      <c r="N30" s="26"/>
      <c r="O30" s="26"/>
      <c r="P30" s="26"/>
      <c r="Q30" s="26"/>
      <c r="Z30" s="26"/>
      <c r="AA30" s="26"/>
      <c r="AB30" s="26"/>
      <c r="AC30" s="26"/>
      <c r="AD30" s="26"/>
      <c r="AE30" s="26"/>
      <c r="AF30" s="26"/>
      <c r="AO30" s="166"/>
      <c r="AP30" s="166"/>
      <c r="AY30" s="26"/>
    </row>
    <row r="31" spans="1:126" ht="16.5" customHeight="1" x14ac:dyDescent="0.35">
      <c r="J31" s="165"/>
      <c r="K31" s="165"/>
      <c r="L31" s="165"/>
      <c r="M31" s="165"/>
      <c r="O31" s="165"/>
      <c r="P31" s="165"/>
      <c r="Q31" s="165"/>
      <c r="Z31" s="165"/>
      <c r="AA31" s="165"/>
      <c r="AB31" s="165"/>
      <c r="AC31" s="165"/>
      <c r="AD31" s="165"/>
      <c r="AE31" s="165"/>
      <c r="AF31" s="165"/>
      <c r="AQ31" s="165"/>
      <c r="AR31" s="165"/>
      <c r="AS31" s="165"/>
      <c r="AT31" s="165"/>
      <c r="AU31" s="165"/>
      <c r="AV31" s="165"/>
      <c r="AW31" s="165"/>
      <c r="AX31" s="165"/>
      <c r="AY31" s="165"/>
      <c r="BR31" s="183"/>
    </row>
    <row r="32" spans="1:126" ht="16.5" customHeight="1" x14ac:dyDescent="0.35">
      <c r="J32" s="26"/>
      <c r="K32" s="26"/>
      <c r="L32" s="26"/>
      <c r="M32" s="26"/>
      <c r="N32" s="165"/>
      <c r="O32" s="26"/>
      <c r="P32" s="26"/>
      <c r="Q32" s="26"/>
      <c r="Z32" s="26"/>
      <c r="AA32" s="26"/>
      <c r="AB32" s="26"/>
      <c r="AC32" s="26"/>
      <c r="AD32" s="26"/>
      <c r="AE32" s="26"/>
      <c r="AF32" s="26"/>
      <c r="AQ32" s="165"/>
      <c r="AR32" s="165"/>
      <c r="AS32" s="165"/>
      <c r="AT32" s="165"/>
      <c r="AU32" s="165"/>
      <c r="AV32" s="165"/>
      <c r="AW32" s="165"/>
      <c r="AX32" s="165"/>
      <c r="AY32" s="26"/>
    </row>
    <row r="33" spans="15:101" ht="16.5" customHeight="1" x14ac:dyDescent="0.35">
      <c r="AG33" s="26"/>
      <c r="AH33" s="26"/>
      <c r="AI33" s="26"/>
      <c r="AJ33" s="26"/>
      <c r="AK33" s="26"/>
      <c r="AL33" s="26"/>
      <c r="AM33" s="26"/>
      <c r="AN33" s="26"/>
      <c r="AW33" s="26"/>
    </row>
    <row r="38" spans="15:101" ht="16.5" customHeight="1" x14ac:dyDescent="0.35">
      <c r="O38" s="165"/>
      <c r="P38" s="165"/>
      <c r="Q38" s="165"/>
      <c r="V38" s="165"/>
      <c r="AO38" s="165"/>
      <c r="AP38" s="165"/>
      <c r="BJ38" s="165"/>
      <c r="BK38" s="165"/>
      <c r="CO38" s="183"/>
      <c r="CP38" s="183"/>
      <c r="CQ38" s="183"/>
      <c r="CR38" s="183"/>
      <c r="CS38" s="183"/>
      <c r="CT38" s="183"/>
      <c r="CU38" s="183"/>
      <c r="CV38" s="183"/>
      <c r="CW38" s="183"/>
    </row>
    <row r="40" spans="15:101" ht="16.5" customHeight="1" x14ac:dyDescent="0.35">
      <c r="BT40" s="165"/>
    </row>
  </sheetData>
  <autoFilter ref="A4:DV36" xr:uid="{00000000-0009-0000-0000-000003000000}"/>
  <mergeCells count="23">
    <mergeCell ref="AG29:AN29"/>
    <mergeCell ref="O29:U29"/>
    <mergeCell ref="V3:AF3"/>
    <mergeCell ref="V29:AF29"/>
    <mergeCell ref="E3:N3"/>
    <mergeCell ref="E29:N29"/>
    <mergeCell ref="O3:U3"/>
    <mergeCell ref="CE3:CN3"/>
    <mergeCell ref="CE29:CN29"/>
    <mergeCell ref="DH3:DT3"/>
    <mergeCell ref="CX3:DG3"/>
    <mergeCell ref="CX29:DG29"/>
    <mergeCell ref="CO29:CW29"/>
    <mergeCell ref="CO3:CW3"/>
    <mergeCell ref="DH29:DT29"/>
    <mergeCell ref="AO3:AY3"/>
    <mergeCell ref="AO29:AY29"/>
    <mergeCell ref="BJ29:BS29"/>
    <mergeCell ref="BT3:CD3"/>
    <mergeCell ref="BT29:CD29"/>
    <mergeCell ref="AZ29:BI29"/>
    <mergeCell ref="AZ3:BI3"/>
    <mergeCell ref="BJ3:BS3"/>
  </mergeCells>
  <pageMargins left="0.7" right="0.7" top="0.75" bottom="0.75" header="0.3" footer="0.3"/>
  <pageSetup scale="50" orientation="landscape"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22"/>
  <sheetViews>
    <sheetView workbookViewId="0">
      <selection activeCell="H25" sqref="H25"/>
    </sheetView>
  </sheetViews>
  <sheetFormatPr defaultRowHeight="14.5" x14ac:dyDescent="0.35"/>
  <sheetData>
    <row r="2" spans="1:1" x14ac:dyDescent="0.35">
      <c r="A2" t="s">
        <v>239</v>
      </c>
    </row>
    <row r="3" spans="1:1" x14ac:dyDescent="0.35">
      <c r="A3" t="s">
        <v>240</v>
      </c>
    </row>
    <row r="4" spans="1:1" x14ac:dyDescent="0.35">
      <c r="A4" t="s">
        <v>241</v>
      </c>
    </row>
    <row r="5" spans="1:1" x14ac:dyDescent="0.35">
      <c r="A5" t="s">
        <v>242</v>
      </c>
    </row>
    <row r="6" spans="1:1" x14ac:dyDescent="0.35">
      <c r="A6" s="149">
        <v>6700</v>
      </c>
    </row>
    <row r="7" spans="1:1" x14ac:dyDescent="0.35">
      <c r="A7" t="s">
        <v>243</v>
      </c>
    </row>
    <row r="8" spans="1:1" x14ac:dyDescent="0.35">
      <c r="A8" t="s">
        <v>244</v>
      </c>
    </row>
    <row r="9" spans="1:1" x14ac:dyDescent="0.35">
      <c r="A9" t="s">
        <v>245</v>
      </c>
    </row>
    <row r="10" spans="1:1" x14ac:dyDescent="0.35">
      <c r="A10" t="s">
        <v>246</v>
      </c>
    </row>
    <row r="11" spans="1:1" x14ac:dyDescent="0.35">
      <c r="A11" t="s">
        <v>247</v>
      </c>
    </row>
    <row r="12" spans="1:1" x14ac:dyDescent="0.35">
      <c r="A12" t="s">
        <v>248</v>
      </c>
    </row>
    <row r="13" spans="1:1" x14ac:dyDescent="0.35">
      <c r="A13" t="s">
        <v>249</v>
      </c>
    </row>
    <row r="14" spans="1:1" x14ac:dyDescent="0.35">
      <c r="A14" t="s">
        <v>250</v>
      </c>
    </row>
    <row r="15" spans="1:1" x14ac:dyDescent="0.35">
      <c r="A15" t="s">
        <v>251</v>
      </c>
    </row>
    <row r="16" spans="1:1" x14ac:dyDescent="0.35">
      <c r="A16" t="s">
        <v>252</v>
      </c>
    </row>
    <row r="17" spans="1:1" x14ac:dyDescent="0.35">
      <c r="A17" t="s">
        <v>253</v>
      </c>
    </row>
    <row r="18" spans="1:1" x14ac:dyDescent="0.35">
      <c r="A18" t="s">
        <v>254</v>
      </c>
    </row>
    <row r="19" spans="1:1" x14ac:dyDescent="0.35">
      <c r="A19" t="s">
        <v>255</v>
      </c>
    </row>
    <row r="20" spans="1:1" x14ac:dyDescent="0.35">
      <c r="A20" t="s">
        <v>256</v>
      </c>
    </row>
    <row r="21" spans="1:1" x14ac:dyDescent="0.35">
      <c r="A21" t="s">
        <v>257</v>
      </c>
    </row>
    <row r="22" spans="1:1" x14ac:dyDescent="0.35">
      <c r="A22" s="149">
        <v>5500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ription xmlns="329a25e9-1705-4637-a518-f1249ed4c130" xsi:nil="true"/>
    <Doc_x002e_Status xmlns="329a25e9-1705-4637-a518-f1249ed4c130" xsi:nil="true"/>
    <lcf76f155ced4ddcb4097134ff3c332f xmlns="329a25e9-1705-4637-a518-f1249ed4c130">
      <Terms xmlns="http://schemas.microsoft.com/office/infopath/2007/PartnerControls"/>
    </lcf76f155ced4ddcb4097134ff3c332f>
    <Year xmlns="329a25e9-1705-4637-a518-f1249ed4c130" xsi:nil="true"/>
    <Doc_x002e_Type xmlns="329a25e9-1705-4637-a518-f1249ed4c130" xsi:nil="true"/>
    <TaxCatchAll xmlns="8e6f99d7-7587-4b8f-b7d1-74511520459b" xsi:nil="true"/>
    <Category xmlns="329a25e9-1705-4637-a518-f1249ed4c130" xsi:nil="true"/>
    <Language xmlns="329a25e9-1705-4637-a518-f1249ed4c130" xsi:nil="true"/>
    <Retention xmlns="329a25e9-1705-4637-a518-f1249ed4c130">false</Retention>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D08AF1EC57F441B26AA9445629A4E4" ma:contentTypeVersion="26" ma:contentTypeDescription="Create a new document." ma:contentTypeScope="" ma:versionID="d3efab3c2aa873f61b0d81e58ce1dc6d">
  <xsd:schema xmlns:xsd="http://www.w3.org/2001/XMLSchema" xmlns:xs="http://www.w3.org/2001/XMLSchema" xmlns:p="http://schemas.microsoft.com/office/2006/metadata/properties" xmlns:ns2="329a25e9-1705-4637-a518-f1249ed4c130" xmlns:ns3="8e6f99d7-7587-4b8f-b7d1-74511520459b" targetNamespace="http://schemas.microsoft.com/office/2006/metadata/properties" ma:root="true" ma:fieldsID="0f8b0c115d683f65396cb327cf995129" ns2:_="" ns3:_="">
    <xsd:import namespace="329a25e9-1705-4637-a518-f1249ed4c130"/>
    <xsd:import namespace="8e6f99d7-7587-4b8f-b7d1-74511520459b"/>
    <xsd:element name="properties">
      <xsd:complexType>
        <xsd:sequence>
          <xsd:element name="documentManagement">
            <xsd:complexType>
              <xsd:all>
                <xsd:element ref="ns2:Doc_x002e_Type" minOccurs="0"/>
                <xsd:element ref="ns2:Doc_x002e_Status" minOccurs="0"/>
                <xsd:element ref="ns2:Category" minOccurs="0"/>
                <xsd:element ref="ns2:Year" minOccurs="0"/>
                <xsd:element ref="ns2:MediaServiceMetadata" minOccurs="0"/>
                <xsd:element ref="ns2:MediaServiceFastMetadata" minOccurs="0"/>
                <xsd:element ref="ns2:MediaServiceObjectDetectorVersions" minOccurs="0"/>
                <xsd:element ref="ns2:Language"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Description" minOccurs="0"/>
                <xsd:element ref="ns2:MediaServiceOCR" minOccurs="0"/>
                <xsd:element ref="ns3:SharedWithUsers" minOccurs="0"/>
                <xsd:element ref="ns3:SharedWithDetails" minOccurs="0"/>
                <xsd:element ref="ns2:MediaServiceLocation" minOccurs="0"/>
                <xsd:element ref="ns2:MediaLengthInSeconds" minOccurs="0"/>
                <xsd:element ref="ns2:MediaServiceSearchProperties" minOccurs="0"/>
                <xsd:element ref="ns2:MediaServiceBillingMetadata" minOccurs="0"/>
                <xsd:element ref="ns2:Reten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9a25e9-1705-4637-a518-f1249ed4c130" elementFormDefault="qualified">
    <xsd:import namespace="http://schemas.microsoft.com/office/2006/documentManagement/types"/>
    <xsd:import namespace="http://schemas.microsoft.com/office/infopath/2007/PartnerControls"/>
    <xsd:element name="Doc_x002e_Type" ma:index="8" nillable="true" ma:displayName="Doc. Type" ma:format="Dropdown" ma:internalName="Doc_x002e_Type">
      <xsd:simpleType>
        <xsd:restriction base="dms:Choice">
          <xsd:enumeration value="Official Letter"/>
          <xsd:enumeration value="Policy, procedure"/>
          <xsd:enumeration value="HSE Manual"/>
          <xsd:enumeration value="HSE Event Photos"/>
          <xsd:enumeration value="Factory layout"/>
          <xsd:enumeration value="Internal Report"/>
          <xsd:enumeration value="External Report"/>
          <xsd:enumeration value="Incident Report"/>
          <xsd:enumeration value="Accident Report"/>
          <xsd:enumeration value="Contract"/>
        </xsd:restriction>
      </xsd:simpleType>
    </xsd:element>
    <xsd:element name="Doc_x002e_Status" ma:index="9" nillable="true" ma:displayName="Doc. Status" ma:format="Dropdown" ma:internalName="Doc_x002e_Status">
      <xsd:simpleType>
        <xsd:restriction base="dms:Choice">
          <xsd:enumeration value="Approved"/>
          <xsd:enumeration value="For Reference Only"/>
        </xsd:restriction>
      </xsd:simpleType>
    </xsd:element>
    <xsd:element name="Category" ma:index="10" nillable="true" ma:displayName="Category" ma:format="Dropdown" ma:internalName="Category">
      <xsd:simpleType>
        <xsd:restriction base="dms:Choice">
          <xsd:enumeration value="Customer Audit"/>
          <xsd:enumeration value="Government Audit"/>
          <xsd:enumeration value="Internal Audit"/>
          <xsd:enumeration value="Internal Training"/>
          <xsd:enumeration value="External Training"/>
        </xsd:restriction>
      </xsd:simpleType>
    </xsd:element>
    <xsd:element name="Year" ma:index="11" nillable="true" ma:displayName="Year" ma:format="Dropdown" ma:internalName="Year">
      <xsd:simpleType>
        <xsd:union memberTypes="dms:Text">
          <xsd:simpleType>
            <xsd:restriction base="dms:Choice">
              <xsd:enumeration value="2023"/>
              <xsd:enumeration value="2022"/>
              <xsd:enumeration value="2024"/>
            </xsd:restriction>
          </xsd:simpleType>
        </xsd:un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anguage" ma:index="15" nillable="true" ma:displayName="Language" ma:format="Dropdown" ma:internalName="Language">
      <xsd:simpleType>
        <xsd:restriction base="dms:Choice">
          <xsd:enumeration value="Vietnamese"/>
          <xsd:enumeration value="English"/>
          <xsd:enumeration value="Lựa chọn 3"/>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5942997-4aa2-4ea7-9542-edab702aa68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Description" ma:index="22" nillable="true" ma:displayName="Description" ma:format="Dropdown" ma:internalName="Description">
      <xsd:simpleType>
        <xsd:restriction base="dms:Text">
          <xsd:maxLength value="255"/>
        </xsd:restriction>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Retention" ma:index="30" nillable="true" ma:displayName="Retention" ma:default="0" ma:format="Dropdown" ma:internalName="Retentio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e6f99d7-7587-4b8f-b7d1-74511520459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c2be5ab-ec5f-4815-bdd7-22f825ba5ef0}" ma:internalName="TaxCatchAll" ma:showField="CatchAllData" ma:web="8e6f99d7-7587-4b8f-b7d1-74511520459b">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6EB2C7-61B3-4C6D-A3C4-F79F70934ACF}">
  <ds:schemaRefs>
    <ds:schemaRef ds:uri="http://schemas.microsoft.com/sharepoint/v3/contenttype/forms"/>
  </ds:schemaRefs>
</ds:datastoreItem>
</file>

<file path=customXml/itemProps2.xml><?xml version="1.0" encoding="utf-8"?>
<ds:datastoreItem xmlns:ds="http://schemas.openxmlformats.org/officeDocument/2006/customXml" ds:itemID="{AF333EE3-CA0C-4F36-80BE-F5649EFA4884}">
  <ds:schemaRefs>
    <ds:schemaRef ds:uri="http://schemas.microsoft.com/office/2006/metadata/properties"/>
    <ds:schemaRef ds:uri="http://schemas.microsoft.com/office/infopath/2007/PartnerControls"/>
    <ds:schemaRef ds:uri="329a25e9-1705-4637-a518-f1249ed4c130"/>
    <ds:schemaRef ds:uri="8e6f99d7-7587-4b8f-b7d1-74511520459b"/>
  </ds:schemaRefs>
</ds:datastoreItem>
</file>

<file path=customXml/itemProps3.xml><?xml version="1.0" encoding="utf-8"?>
<ds:datastoreItem xmlns:ds="http://schemas.openxmlformats.org/officeDocument/2006/customXml" ds:itemID="{1C74AFAF-D56A-4640-BBF7-FD8BB792D6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9a25e9-1705-4637-a518-f1249ed4c130"/>
    <ds:schemaRef ds:uri="8e6f99d7-7587-4b8f-b7d1-7451152045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2017</vt:lpstr>
      <vt:lpstr>2018</vt:lpstr>
      <vt:lpstr>2019</vt:lpstr>
      <vt:lpstr>2026</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Ngoc, Ngo Thi Thuy / HSE Officer_P6</dc:creator>
  <cp:keywords/>
  <dc:description/>
  <cp:lastModifiedBy>Thuan, Nguyen Dinh / HSE Supervisor</cp:lastModifiedBy>
  <cp:revision/>
  <dcterms:created xsi:type="dcterms:W3CDTF">2017-02-09T08:58:46Z</dcterms:created>
  <dcterms:modified xsi:type="dcterms:W3CDTF">2026-06-06T02:06:28Z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0x010100B1D08AF1EC57F441B26AA9445629A4E4</vt:lpwstr>
  </property>
  <property fmtid="{D5CDD505-2E9C-101B-9397-08002B2CF9AE}" pid="3" name="MediaServiceImageTags">
    <vt:lpwstr/>
  </property>
</Properties>
</file>