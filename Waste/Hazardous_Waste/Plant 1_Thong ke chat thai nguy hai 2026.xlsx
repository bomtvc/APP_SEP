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rochdalespearsco.sharepoint.com/sites/BusinessSupportServices/HSE/Policy - Procedure/01. Environment/01. Quản lý rác thải/1. Chất thải nguy hại/P1 (Sao Nam)/2026/"/>
    </mc:Choice>
  </mc:AlternateContent>
  <xr:revisionPtr revIDLastSave="535" documentId="13_ncr:1_{4B88C3D8-58C0-47F7-98D4-ACA9F0DA9B1C}" xr6:coauthVersionLast="47" xr6:coauthVersionMax="47" xr10:uidLastSave="{AFCC9C58-B6EC-4590-B753-F8C5EDEA98FA}"/>
  <bookViews>
    <workbookView xWindow="28680" yWindow="-120" windowWidth="29040" windowHeight="15720" tabRatio="404" firstSheet="4" activeTab="4" xr2:uid="{00000000-000D-0000-FFFF-FFFF00000000}"/>
  </bookViews>
  <sheets>
    <sheet name="2017" sheetId="1" state="hidden" r:id="rId1"/>
    <sheet name="2018" sheetId="3" state="hidden" r:id="rId2"/>
    <sheet name="2019" sheetId="4" state="hidden" r:id="rId3"/>
    <sheet name="2024" sheetId="9" state="hidden" r:id="rId4"/>
    <sheet name="2026-TĐX" sheetId="11" r:id="rId5"/>
    <sheet name="2026" sheetId="10" r:id="rId6"/>
    <sheet name="2025" sheetId="5" state="hidden" r:id="rId7"/>
    <sheet name="Phuy" sheetId="7" state="hidden" r:id="rId8"/>
    <sheet name="Tính" sheetId="8" state="hidden" r:id="rId9"/>
    <sheet name="Sheet2" sheetId="6" state="hidden" r:id="rId10"/>
  </sheets>
  <externalReferences>
    <externalReference r:id="rId11"/>
  </externalReferences>
  <definedNames>
    <definedName name="_xlnm._FilterDatabase" localSheetId="3" hidden="1">'2024'!$A$4:$AM$41</definedName>
    <definedName name="_xlnm._FilterDatabase" localSheetId="6" hidden="1">'2025'!$A$4:$AH$28</definedName>
    <definedName name="_xlnm._FilterDatabase" localSheetId="5" hidden="1">'2026'!$A$4:$AE$28</definedName>
    <definedName name="_xlnm._FilterDatabase" localSheetId="4" hidden="1">'2026-TĐX'!$A$4:$Z$28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6" i="11" l="1"/>
  <c r="P27" i="11"/>
  <c r="Q26" i="11"/>
  <c r="Q25" i="11"/>
  <c r="Q24" i="11"/>
  <c r="Q23" i="11"/>
  <c r="L40" i="11"/>
  <c r="K40" i="11"/>
  <c r="O23" i="11" l="1"/>
  <c r="O24" i="11"/>
  <c r="N24" i="11"/>
  <c r="L39" i="11" s="1"/>
  <c r="L42" i="11" s="1"/>
  <c r="N23" i="11"/>
  <c r="E24" i="11"/>
  <c r="E25" i="11" s="1"/>
  <c r="E26" i="11" s="1"/>
  <c r="E27" i="11" s="1"/>
  <c r="X24" i="11"/>
  <c r="X25" i="11" s="1"/>
  <c r="X26" i="11" s="1"/>
  <c r="W24" i="11"/>
  <c r="W25" i="11" s="1"/>
  <c r="W26" i="11" s="1"/>
  <c r="V24" i="11"/>
  <c r="U24" i="11"/>
  <c r="T24" i="11"/>
  <c r="S24" i="11"/>
  <c r="R24" i="11"/>
  <c r="R25" i="11" s="1"/>
  <c r="R26" i="11" s="1"/>
  <c r="P24" i="11"/>
  <c r="P25" i="11" s="1"/>
  <c r="N25" i="11"/>
  <c r="N26" i="11" s="1"/>
  <c r="M24" i="11"/>
  <c r="M25" i="11" s="1"/>
  <c r="M26" i="11" s="1"/>
  <c r="L24" i="11"/>
  <c r="K24" i="11"/>
  <c r="K39" i="11" s="1"/>
  <c r="K42" i="11" s="1"/>
  <c r="J24" i="11"/>
  <c r="J25" i="11" s="1"/>
  <c r="J26" i="11" s="1"/>
  <c r="I24" i="11"/>
  <c r="I25" i="11" s="1"/>
  <c r="I26" i="11" s="1"/>
  <c r="H24" i="11"/>
  <c r="H25" i="11" s="1"/>
  <c r="G24" i="11"/>
  <c r="F24" i="11"/>
  <c r="F25" i="11" s="1"/>
  <c r="F26" i="11" s="1"/>
  <c r="X23" i="11"/>
  <c r="W23" i="11"/>
  <c r="V23" i="11"/>
  <c r="U23" i="11"/>
  <c r="T23" i="11"/>
  <c r="S23" i="11"/>
  <c r="R23" i="11"/>
  <c r="P23" i="11"/>
  <c r="M23" i="11"/>
  <c r="L23" i="11"/>
  <c r="K23" i="11"/>
  <c r="J23" i="11"/>
  <c r="I23" i="11"/>
  <c r="H23" i="11"/>
  <c r="G23" i="11"/>
  <c r="F23" i="11"/>
  <c r="E23" i="11"/>
  <c r="Y22" i="11"/>
  <c r="Y21" i="11"/>
  <c r="Y20" i="11"/>
  <c r="Y19" i="11"/>
  <c r="Y18" i="11"/>
  <c r="Y17" i="11"/>
  <c r="Y16" i="11"/>
  <c r="Y15" i="11"/>
  <c r="Y14" i="11"/>
  <c r="Y13" i="11"/>
  <c r="Y12" i="11"/>
  <c r="Y11" i="11"/>
  <c r="Y10" i="11"/>
  <c r="Y9" i="11"/>
  <c r="Y8" i="11"/>
  <c r="Y7" i="11"/>
  <c r="Y6" i="11"/>
  <c r="Y5" i="11"/>
  <c r="Z5" i="11" s="1"/>
  <c r="AC24" i="10"/>
  <c r="AC25" i="10" s="1"/>
  <c r="AB24" i="10"/>
  <c r="AB25" i="10" s="1"/>
  <c r="AA24" i="10"/>
  <c r="Z24" i="10"/>
  <c r="Z25" i="10" s="1"/>
  <c r="Z26" i="10" s="1"/>
  <c r="Y24" i="10"/>
  <c r="X24" i="10"/>
  <c r="X25" i="10" s="1"/>
  <c r="W24" i="10"/>
  <c r="W25" i="10" s="1"/>
  <c r="W26" i="10" s="1"/>
  <c r="V24" i="10"/>
  <c r="V25" i="10" s="1"/>
  <c r="U24" i="10"/>
  <c r="U25" i="10" s="1"/>
  <c r="T24" i="10"/>
  <c r="T25" i="10" s="1"/>
  <c r="S24" i="10"/>
  <c r="R24" i="10"/>
  <c r="R25" i="10" s="1"/>
  <c r="R26" i="10" s="1"/>
  <c r="Q24" i="10"/>
  <c r="P24" i="10"/>
  <c r="P25" i="10" s="1"/>
  <c r="O24" i="10"/>
  <c r="O25" i="10" s="1"/>
  <c r="O26" i="10" s="1"/>
  <c r="N24" i="10"/>
  <c r="N25" i="10" s="1"/>
  <c r="M24" i="10"/>
  <c r="M25" i="10" s="1"/>
  <c r="L24" i="10"/>
  <c r="L25" i="10" s="1"/>
  <c r="K24" i="10"/>
  <c r="J24" i="10"/>
  <c r="J25" i="10" s="1"/>
  <c r="J26" i="10" s="1"/>
  <c r="I24" i="10"/>
  <c r="H24" i="10"/>
  <c r="H25" i="10" s="1"/>
  <c r="G24" i="10"/>
  <c r="G25" i="10" s="1"/>
  <c r="G26" i="10" s="1"/>
  <c r="F24" i="10"/>
  <c r="F25" i="10" s="1"/>
  <c r="E24" i="10"/>
  <c r="E25" i="10" s="1"/>
  <c r="E26" i="10" s="1"/>
  <c r="AC23" i="10"/>
  <c r="AB23" i="10"/>
  <c r="AA23" i="10"/>
  <c r="Z23" i="10"/>
  <c r="Y23" i="10"/>
  <c r="X23" i="10"/>
  <c r="W23" i="10"/>
  <c r="V23" i="10"/>
  <c r="U23" i="10"/>
  <c r="T23" i="10"/>
  <c r="S23" i="10"/>
  <c r="R23" i="10"/>
  <c r="Q23" i="10"/>
  <c r="P23" i="10"/>
  <c r="O23" i="10"/>
  <c r="N23" i="10"/>
  <c r="M23" i="10"/>
  <c r="L23" i="10"/>
  <c r="K23" i="10"/>
  <c r="J23" i="10"/>
  <c r="I23" i="10"/>
  <c r="H23" i="10"/>
  <c r="G23" i="10"/>
  <c r="F23" i="10"/>
  <c r="E23" i="10"/>
  <c r="AD22" i="10"/>
  <c r="AD21" i="10"/>
  <c r="AD20" i="10"/>
  <c r="AD19" i="10"/>
  <c r="AD18" i="10"/>
  <c r="AD17" i="10"/>
  <c r="AD16" i="10"/>
  <c r="AD15" i="10"/>
  <c r="AD14" i="10"/>
  <c r="AD13" i="10"/>
  <c r="AD12" i="10"/>
  <c r="AD11" i="10"/>
  <c r="AD10" i="10"/>
  <c r="AD9" i="10"/>
  <c r="AD8" i="10"/>
  <c r="AD7" i="10"/>
  <c r="AD6" i="10"/>
  <c r="AD5" i="10"/>
  <c r="AE5" i="10" s="1"/>
  <c r="T24" i="5"/>
  <c r="T25" i="5" s="1"/>
  <c r="T23" i="5"/>
  <c r="S23" i="5"/>
  <c r="S24" i="5"/>
  <c r="S25" i="5" s="1"/>
  <c r="M24" i="5"/>
  <c r="L24" i="5"/>
  <c r="O23" i="5"/>
  <c r="O24" i="5"/>
  <c r="O25" i="5" s="1"/>
  <c r="N23" i="5"/>
  <c r="N24" i="5"/>
  <c r="N25" i="5" s="1"/>
  <c r="K23" i="5"/>
  <c r="K24" i="5"/>
  <c r="K25" i="5" s="1"/>
  <c r="A168" i="7"/>
  <c r="A167" i="7"/>
  <c r="A166" i="7"/>
  <c r="A165" i="7"/>
  <c r="A164" i="7"/>
  <c r="J24" i="5"/>
  <c r="J25" i="5" s="1"/>
  <c r="A163" i="7"/>
  <c r="I23" i="5"/>
  <c r="I24" i="5"/>
  <c r="I25" i="5" s="1"/>
  <c r="A162" i="7"/>
  <c r="A161" i="7"/>
  <c r="A160" i="7"/>
  <c r="F23" i="5"/>
  <c r="E23" i="5"/>
  <c r="H23" i="5"/>
  <c r="H24" i="5"/>
  <c r="H25" i="5" s="1"/>
  <c r="G24" i="5"/>
  <c r="G23" i="5"/>
  <c r="A159" i="7"/>
  <c r="F24" i="5"/>
  <c r="AK24" i="9"/>
  <c r="AJ24" i="9"/>
  <c r="AI24" i="9"/>
  <c r="AH24" i="9"/>
  <c r="AH25" i="9" s="1"/>
  <c r="AH26" i="9" s="1"/>
  <c r="AG24" i="9"/>
  <c r="AG25" i="9" s="1"/>
  <c r="AF24" i="9"/>
  <c r="AF25" i="9" s="1"/>
  <c r="AF26" i="9" s="1"/>
  <c r="AE24" i="9"/>
  <c r="AD24" i="9"/>
  <c r="AC24" i="9"/>
  <c r="AB24" i="9"/>
  <c r="AA24" i="9"/>
  <c r="Z24" i="9"/>
  <c r="Z25" i="9" s="1"/>
  <c r="Z26" i="9" s="1"/>
  <c r="Y24" i="9"/>
  <c r="Y25" i="9" s="1"/>
  <c r="X24" i="9"/>
  <c r="X25" i="9" s="1"/>
  <c r="X26" i="9" s="1"/>
  <c r="W24" i="9"/>
  <c r="V24" i="9"/>
  <c r="U24" i="9"/>
  <c r="T24" i="9"/>
  <c r="S24" i="9"/>
  <c r="R24" i="9"/>
  <c r="R25" i="9" s="1"/>
  <c r="R26" i="9" s="1"/>
  <c r="Q24" i="9"/>
  <c r="Q25" i="9" s="1"/>
  <c r="P24" i="9"/>
  <c r="P25" i="9" s="1"/>
  <c r="P26" i="9" s="1"/>
  <c r="O24" i="9"/>
  <c r="N24" i="9"/>
  <c r="M24" i="9"/>
  <c r="L24" i="9"/>
  <c r="K24" i="9"/>
  <c r="J24" i="9"/>
  <c r="J25" i="9" s="1"/>
  <c r="J26" i="9" s="1"/>
  <c r="I24" i="9"/>
  <c r="I25" i="9" s="1"/>
  <c r="H24" i="9"/>
  <c r="H25" i="9" s="1"/>
  <c r="H26" i="9" s="1"/>
  <c r="H27" i="9" s="1"/>
  <c r="G24" i="9"/>
  <c r="F24" i="9"/>
  <c r="E24" i="9"/>
  <c r="AK23" i="9"/>
  <c r="AJ23" i="9"/>
  <c r="AI23" i="9"/>
  <c r="AH23" i="9"/>
  <c r="AG23" i="9"/>
  <c r="AF23" i="9"/>
  <c r="AE23" i="9"/>
  <c r="AD23" i="9"/>
  <c r="AC23" i="9"/>
  <c r="AB23" i="9"/>
  <c r="AA23" i="9"/>
  <c r="Z23" i="9"/>
  <c r="Y23" i="9"/>
  <c r="X23" i="9"/>
  <c r="W23" i="9"/>
  <c r="V23" i="9"/>
  <c r="U23" i="9"/>
  <c r="T23" i="9"/>
  <c r="S23" i="9"/>
  <c r="R23" i="9"/>
  <c r="Q23" i="9"/>
  <c r="P23" i="9"/>
  <c r="O23" i="9"/>
  <c r="N23" i="9"/>
  <c r="M23" i="9"/>
  <c r="L23" i="9"/>
  <c r="K23" i="9"/>
  <c r="J23" i="9"/>
  <c r="I23" i="9"/>
  <c r="H23" i="9"/>
  <c r="G23" i="9"/>
  <c r="F23" i="9"/>
  <c r="E23" i="9"/>
  <c r="AL22" i="9"/>
  <c r="AL21" i="9"/>
  <c r="AL20" i="9"/>
  <c r="AL19" i="9"/>
  <c r="AL18" i="9"/>
  <c r="AL17" i="9"/>
  <c r="AL16" i="9"/>
  <c r="AL15" i="9"/>
  <c r="AL14" i="9"/>
  <c r="AL13" i="9"/>
  <c r="AL12" i="9"/>
  <c r="AL11" i="9"/>
  <c r="AL10" i="9"/>
  <c r="AL9" i="9"/>
  <c r="AL8" i="9"/>
  <c r="AL7" i="9"/>
  <c r="AL6" i="9"/>
  <c r="AL5" i="9"/>
  <c r="AM5" i="9" s="1"/>
  <c r="A158" i="7"/>
  <c r="A157" i="7"/>
  <c r="A150" i="7"/>
  <c r="A151" i="7"/>
  <c r="A152" i="7"/>
  <c r="A153" i="7"/>
  <c r="A154" i="7"/>
  <c r="A155" i="7"/>
  <c r="A156" i="7"/>
  <c r="A148" i="7"/>
  <c r="A149" i="7"/>
  <c r="E24" i="5"/>
  <c r="A147" i="7"/>
  <c r="A146" i="7"/>
  <c r="A145" i="7"/>
  <c r="AD24" i="5"/>
  <c r="AD23" i="5"/>
  <c r="A144" i="7"/>
  <c r="A143" i="7"/>
  <c r="A142" i="7"/>
  <c r="A141" i="7"/>
  <c r="AC24" i="5"/>
  <c r="AC23" i="5"/>
  <c r="A139" i="7"/>
  <c r="A140" i="7"/>
  <c r="A138" i="7"/>
  <c r="AA23" i="5"/>
  <c r="AA24" i="5"/>
  <c r="AA25" i="5" s="1"/>
  <c r="AA26" i="5" s="1"/>
  <c r="A137" i="7"/>
  <c r="A136" i="7"/>
  <c r="A135" i="7"/>
  <c r="A134" i="7"/>
  <c r="A133" i="7"/>
  <c r="A132" i="7"/>
  <c r="A131" i="7"/>
  <c r="A130" i="7"/>
  <c r="A129" i="7"/>
  <c r="A128" i="7"/>
  <c r="A127" i="7"/>
  <c r="A126" i="7"/>
  <c r="O25" i="11" l="1"/>
  <c r="O26" i="11" s="1"/>
  <c r="N27" i="11" s="1"/>
  <c r="I27" i="11"/>
  <c r="Y23" i="11"/>
  <c r="W27" i="11"/>
  <c r="G25" i="11"/>
  <c r="G26" i="11" s="1"/>
  <c r="F27" i="11" s="1"/>
  <c r="T25" i="11"/>
  <c r="T26" i="11" s="1"/>
  <c r="U25" i="11"/>
  <c r="U26" i="11" s="1"/>
  <c r="L25" i="11"/>
  <c r="L26" i="11" s="1"/>
  <c r="V25" i="11"/>
  <c r="V26" i="11" s="1"/>
  <c r="V27" i="11" s="1"/>
  <c r="H26" i="11"/>
  <c r="H27" i="11" s="1"/>
  <c r="S25" i="11"/>
  <c r="S26" i="11" s="1"/>
  <c r="R27" i="11" s="1"/>
  <c r="K25" i="11"/>
  <c r="K26" i="11" s="1"/>
  <c r="K27" i="11" s="1"/>
  <c r="Y24" i="11"/>
  <c r="AD23" i="10"/>
  <c r="I25" i="10"/>
  <c r="I26" i="10" s="1"/>
  <c r="M26" i="10"/>
  <c r="U26" i="10"/>
  <c r="AC26" i="10"/>
  <c r="AD24" i="10"/>
  <c r="Q25" i="10"/>
  <c r="Q26" i="10" s="1"/>
  <c r="Y25" i="10"/>
  <c r="Y26" i="10" s="1"/>
  <c r="Y27" i="10" s="1"/>
  <c r="L26" i="10"/>
  <c r="T26" i="10"/>
  <c r="AB26" i="10"/>
  <c r="K25" i="10"/>
  <c r="K26" i="10" s="1"/>
  <c r="S25" i="10"/>
  <c r="S26" i="10" s="1"/>
  <c r="R27" i="10" s="1"/>
  <c r="AA25" i="10"/>
  <c r="AA26" i="10" s="1"/>
  <c r="AA27" i="10" s="1"/>
  <c r="F26" i="10"/>
  <c r="F27" i="10" s="1"/>
  <c r="N26" i="10"/>
  <c r="V26" i="10"/>
  <c r="V27" i="10" s="1"/>
  <c r="H26" i="10"/>
  <c r="G27" i="10" s="1"/>
  <c r="P26" i="10"/>
  <c r="X26" i="10"/>
  <c r="W27" i="10" s="1"/>
  <c r="T26" i="5"/>
  <c r="S26" i="5"/>
  <c r="O26" i="5"/>
  <c r="N26" i="5"/>
  <c r="K26" i="5"/>
  <c r="I26" i="5"/>
  <c r="I27" i="5" s="1"/>
  <c r="H26" i="5"/>
  <c r="G25" i="5"/>
  <c r="G26" i="5" s="1"/>
  <c r="F25" i="5"/>
  <c r="F26" i="5" s="1"/>
  <c r="O25" i="9"/>
  <c r="O26" i="9" s="1"/>
  <c r="W25" i="9"/>
  <c r="W26" i="9" s="1"/>
  <c r="AE25" i="9"/>
  <c r="AE26" i="9" s="1"/>
  <c r="AL23" i="9"/>
  <c r="K25" i="9"/>
  <c r="K26" i="9" s="1"/>
  <c r="S25" i="9"/>
  <c r="S26" i="9" s="1"/>
  <c r="AA25" i="9"/>
  <c r="AA26" i="9" s="1"/>
  <c r="AI25" i="9"/>
  <c r="AI26" i="9" s="1"/>
  <c r="I26" i="9"/>
  <c r="I27" i="9" s="1"/>
  <c r="Q26" i="9"/>
  <c r="Y26" i="9"/>
  <c r="X27" i="9" s="1"/>
  <c r="AG26" i="9"/>
  <c r="AL24" i="9"/>
  <c r="T25" i="9"/>
  <c r="T26" i="9" s="1"/>
  <c r="AJ25" i="9"/>
  <c r="AJ26" i="9" s="1"/>
  <c r="E25" i="9"/>
  <c r="E26" i="9" s="1"/>
  <c r="E27" i="9" s="1"/>
  <c r="M25" i="9"/>
  <c r="M26" i="9" s="1"/>
  <c r="U25" i="9"/>
  <c r="U26" i="9" s="1"/>
  <c r="AC25" i="9"/>
  <c r="AC26" i="9" s="1"/>
  <c r="AK25" i="9"/>
  <c r="AK26" i="9" s="1"/>
  <c r="L25" i="9"/>
  <c r="L26" i="9" s="1"/>
  <c r="AB25" i="9"/>
  <c r="AB26" i="9" s="1"/>
  <c r="F25" i="9"/>
  <c r="F26" i="9" s="1"/>
  <c r="N25" i="9"/>
  <c r="N26" i="9" s="1"/>
  <c r="V25" i="9"/>
  <c r="V26" i="9" s="1"/>
  <c r="AD25" i="9"/>
  <c r="AD26" i="9" s="1"/>
  <c r="G25" i="9"/>
  <c r="G26" i="9" s="1"/>
  <c r="AC25" i="5"/>
  <c r="AC26" i="5" s="1"/>
  <c r="E25" i="5"/>
  <c r="T27" i="11" l="1"/>
  <c r="Y25" i="11"/>
  <c r="Y26" i="11" s="1"/>
  <c r="S30" i="11" s="1"/>
  <c r="I27" i="10"/>
  <c r="E27" i="10"/>
  <c r="M27" i="10"/>
  <c r="T27" i="10"/>
  <c r="AB27" i="10"/>
  <c r="AD25" i="10"/>
  <c r="AD26" i="10" s="1"/>
  <c r="X30" i="10" s="1"/>
  <c r="F27" i="9"/>
  <c r="K27" i="9"/>
  <c r="N27" i="9"/>
  <c r="T27" i="9"/>
  <c r="AD27" i="9"/>
  <c r="AA27" i="9"/>
  <c r="AL25" i="9"/>
  <c r="AL26" i="9" s="1"/>
  <c r="Q27" i="9"/>
  <c r="AI27" i="9"/>
  <c r="X24" i="5"/>
  <c r="X25" i="5" s="1"/>
  <c r="V24" i="5"/>
  <c r="V25" i="5" s="1"/>
  <c r="E62" i="7" l="1"/>
  <c r="A69" i="7"/>
  <c r="A70" i="7"/>
  <c r="A71" i="7"/>
  <c r="A72" i="7"/>
  <c r="A73" i="7"/>
  <c r="A74" i="7"/>
  <c r="A75" i="7"/>
  <c r="A76" i="7"/>
  <c r="A77" i="7"/>
  <c r="A78" i="7"/>
  <c r="A79" i="7"/>
  <c r="A80" i="7"/>
  <c r="A81" i="7"/>
  <c r="A82" i="7"/>
  <c r="A83" i="7"/>
  <c r="A84" i="7"/>
  <c r="A85" i="7"/>
  <c r="A86" i="7"/>
  <c r="A87" i="7"/>
  <c r="A88" i="7"/>
  <c r="A89" i="7"/>
  <c r="A90" i="7"/>
  <c r="A91" i="7"/>
  <c r="A92" i="7"/>
  <c r="A93" i="7"/>
  <c r="A94" i="7"/>
  <c r="A95" i="7"/>
  <c r="A96" i="7"/>
  <c r="A97" i="7"/>
  <c r="A98" i="7"/>
  <c r="A99" i="7"/>
  <c r="A100" i="7"/>
  <c r="A101" i="7"/>
  <c r="A102" i="7"/>
  <c r="A103" i="7"/>
  <c r="A104" i="7"/>
  <c r="A105" i="7"/>
  <c r="A106" i="7"/>
  <c r="A107" i="7"/>
  <c r="A108" i="7"/>
  <c r="A109" i="7"/>
  <c r="A110" i="7"/>
  <c r="A111" i="7"/>
  <c r="A112" i="7"/>
  <c r="A113" i="7"/>
  <c r="A114" i="7"/>
  <c r="A115" i="7"/>
  <c r="A116" i="7"/>
  <c r="A117" i="7"/>
  <c r="A118" i="7"/>
  <c r="A119" i="7"/>
  <c r="A120" i="7"/>
  <c r="A121" i="7"/>
  <c r="A122" i="7"/>
  <c r="A123" i="7"/>
  <c r="A124" i="7"/>
  <c r="A125" i="7"/>
  <c r="A59" i="7"/>
  <c r="A60" i="7"/>
  <c r="A61" i="7"/>
  <c r="A62" i="7"/>
  <c r="A63" i="7"/>
  <c r="A64" i="7"/>
  <c r="A65" i="7"/>
  <c r="A66" i="7"/>
  <c r="A67" i="7"/>
  <c r="A68" i="7"/>
  <c r="A54" i="7"/>
  <c r="A55" i="7"/>
  <c r="A56" i="7"/>
  <c r="A57" i="7"/>
  <c r="A58" i="7"/>
  <c r="A53" i="7"/>
  <c r="A43" i="7"/>
  <c r="A44" i="7"/>
  <c r="A45" i="7"/>
  <c r="A46" i="7"/>
  <c r="A47" i="7"/>
  <c r="A48" i="7"/>
  <c r="A49" i="7"/>
  <c r="A50" i="7"/>
  <c r="A51" i="7"/>
  <c r="A52" i="7"/>
  <c r="A37" i="7"/>
  <c r="A36" i="7"/>
  <c r="E31" i="7"/>
  <c r="A38" i="7"/>
  <c r="A39" i="7"/>
  <c r="A40" i="7"/>
  <c r="A41" i="7"/>
  <c r="A42" i="7"/>
  <c r="A28" i="7" l="1"/>
  <c r="A29" i="7"/>
  <c r="A30" i="7"/>
  <c r="A31" i="7"/>
  <c r="A32" i="7"/>
  <c r="A33" i="7"/>
  <c r="A34" i="7"/>
  <c r="A35" i="7"/>
  <c r="L6" i="8" l="1"/>
  <c r="L21" i="8" l="1"/>
  <c r="R20" i="8"/>
  <c r="G12" i="8" s="1"/>
  <c r="L16" i="8"/>
  <c r="Q13" i="8"/>
  <c r="Q11" i="8"/>
  <c r="L11" i="8"/>
  <c r="Q8" i="8" s="1"/>
  <c r="Q9" i="8"/>
  <c r="Q7" i="8"/>
  <c r="Q6" i="8" l="1"/>
  <c r="G6" i="8" s="1"/>
  <c r="Q12" i="8" s="1"/>
  <c r="R23" i="8"/>
  <c r="A6" i="7"/>
  <c r="A7" i="7"/>
  <c r="A8" i="7"/>
  <c r="A9" i="7"/>
  <c r="A10" i="7"/>
  <c r="A11" i="7"/>
  <c r="A12" i="7"/>
  <c r="A13" i="7"/>
  <c r="A14" i="7"/>
  <c r="A15" i="7"/>
  <c r="A16" i="7"/>
  <c r="A17" i="7"/>
  <c r="A18" i="7"/>
  <c r="A19" i="7"/>
  <c r="A20" i="7"/>
  <c r="A21" i="7"/>
  <c r="A22" i="7"/>
  <c r="A23" i="7"/>
  <c r="A24" i="7"/>
  <c r="A25" i="7"/>
  <c r="A26" i="7"/>
  <c r="A27" i="7"/>
  <c r="A5" i="7"/>
  <c r="F5" i="7"/>
  <c r="C6" i="7" s="1"/>
  <c r="F6" i="7" s="1"/>
  <c r="C7" i="7" s="1"/>
  <c r="F7" i="7" s="1"/>
  <c r="C8" i="7" s="1"/>
  <c r="F8" i="7" s="1"/>
  <c r="C9" i="7" s="1"/>
  <c r="F9" i="7" s="1"/>
  <c r="C10" i="7" s="1"/>
  <c r="F10" i="7" s="1"/>
  <c r="C11" i="7" s="1"/>
  <c r="F11" i="7" s="1"/>
  <c r="C12" i="7" s="1"/>
  <c r="F12" i="7" s="1"/>
  <c r="C13" i="7" s="1"/>
  <c r="F13" i="7" s="1"/>
  <c r="C14" i="7" s="1"/>
  <c r="F14" i="7" s="1"/>
  <c r="C15" i="7" s="1"/>
  <c r="F15" i="7" s="1"/>
  <c r="C16" i="7" l="1"/>
  <c r="F16" i="7" s="1"/>
  <c r="C17" i="7" s="1"/>
  <c r="F17" i="7" s="1"/>
  <c r="C18" i="7" s="1"/>
  <c r="F18" i="7" s="1"/>
  <c r="C19" i="7" s="1"/>
  <c r="F19" i="7" s="1"/>
  <c r="C20" i="7" s="1"/>
  <c r="F20" i="7" s="1"/>
  <c r="C21" i="7" s="1"/>
  <c r="F21" i="7" s="1"/>
  <c r="C22" i="7" s="1"/>
  <c r="F22" i="7" s="1"/>
  <c r="C23" i="7" s="1"/>
  <c r="F23" i="7" s="1"/>
  <c r="C24" i="7" s="1"/>
  <c r="F24" i="7" s="1"/>
  <c r="C25" i="7" s="1"/>
  <c r="F25" i="7" s="1"/>
  <c r="C26" i="7" s="1"/>
  <c r="F26" i="7" s="1"/>
  <c r="C27" i="7" s="1"/>
  <c r="F27" i="7" s="1"/>
  <c r="C28" i="7" s="1"/>
  <c r="F28" i="7" s="1"/>
  <c r="C29" i="7" s="1"/>
  <c r="F29" i="7" s="1"/>
  <c r="C30" i="7" s="1"/>
  <c r="F30" i="7" s="1"/>
  <c r="C31" i="7" s="1"/>
  <c r="F31" i="7" s="1"/>
  <c r="C32" i="7" s="1"/>
  <c r="F32" i="7" s="1"/>
  <c r="C33" i="7" s="1"/>
  <c r="F33" i="7" s="1"/>
  <c r="C34" i="7" s="1"/>
  <c r="F34" i="7" s="1"/>
  <c r="C35" i="7" s="1"/>
  <c r="F35" i="7" s="1"/>
  <c r="C36" i="7" s="1"/>
  <c r="F36" i="7" s="1"/>
  <c r="C37" i="7" s="1"/>
  <c r="F37" i="7" s="1"/>
  <c r="C38" i="7" s="1"/>
  <c r="F38" i="7" s="1"/>
  <c r="C39" i="7" s="1"/>
  <c r="F39" i="7" s="1"/>
  <c r="C40" i="7" s="1"/>
  <c r="F40" i="7" s="1"/>
  <c r="C41" i="7" s="1"/>
  <c r="F41" i="7" s="1"/>
  <c r="C42" i="7" s="1"/>
  <c r="F42" i="7" s="1"/>
  <c r="C43" i="7" s="1"/>
  <c r="F43" i="7" s="1"/>
  <c r="C44" i="7" s="1"/>
  <c r="F44" i="7" s="1"/>
  <c r="C45" i="7" s="1"/>
  <c r="F45" i="7" s="1"/>
  <c r="C46" i="7" s="1"/>
  <c r="F46" i="7" s="1"/>
  <c r="C47" i="7" s="1"/>
  <c r="F47" i="7" s="1"/>
  <c r="C48" i="7" s="1"/>
  <c r="F48" i="7" s="1"/>
  <c r="C49" i="7" s="1"/>
  <c r="F49" i="7" s="1"/>
  <c r="C50" i="7" s="1"/>
  <c r="F50" i="7" s="1"/>
  <c r="C51" i="7" s="1"/>
  <c r="F51" i="7" s="1"/>
  <c r="C52" i="7" s="1"/>
  <c r="F52" i="7" s="1"/>
  <c r="C53" i="7" s="1"/>
  <c r="F53" i="7" s="1"/>
  <c r="C54" i="7" s="1"/>
  <c r="F54" i="7" s="1"/>
  <c r="C55" i="7" s="1"/>
  <c r="F55" i="7" s="1"/>
  <c r="C56" i="7" s="1"/>
  <c r="F56" i="7" s="1"/>
  <c r="C57" i="7" s="1"/>
  <c r="F57" i="7" s="1"/>
  <c r="C58" i="7" s="1"/>
  <c r="F58" i="7" s="1"/>
  <c r="C59" i="7" s="1"/>
  <c r="F59" i="7" s="1"/>
  <c r="L25" i="5"/>
  <c r="L23" i="5"/>
  <c r="C60" i="7" l="1"/>
  <c r="F60" i="7" s="1"/>
  <c r="C61" i="7" s="1"/>
  <c r="F61" i="7" s="1"/>
  <c r="C62" i="7" s="1"/>
  <c r="F62" i="7" s="1"/>
  <c r="C63" i="7" s="1"/>
  <c r="F63" i="7" s="1"/>
  <c r="C64" i="7" s="1"/>
  <c r="F64" i="7" s="1"/>
  <c r="C65" i="7" s="1"/>
  <c r="F65" i="7" s="1"/>
  <c r="C66" i="7" s="1"/>
  <c r="F66" i="7" s="1"/>
  <c r="C67" i="7" s="1"/>
  <c r="F67" i="7" s="1"/>
  <c r="C68" i="7" s="1"/>
  <c r="F68" i="7" s="1"/>
  <c r="C69" i="7" s="1"/>
  <c r="F69" i="7" s="1"/>
  <c r="C70" i="7" s="1"/>
  <c r="F70" i="7" s="1"/>
  <c r="C71" i="7" s="1"/>
  <c r="F71" i="7" s="1"/>
  <c r="C72" i="7" s="1"/>
  <c r="F72" i="7" s="1"/>
  <c r="C73" i="7" s="1"/>
  <c r="F73" i="7" s="1"/>
  <c r="C74" i="7" s="1"/>
  <c r="F74" i="7" s="1"/>
  <c r="C75" i="7" s="1"/>
  <c r="F75" i="7" s="1"/>
  <c r="C76" i="7" s="1"/>
  <c r="F76" i="7" s="1"/>
  <c r="C77" i="7" s="1"/>
  <c r="F77" i="7" s="1"/>
  <c r="C78" i="7" s="1"/>
  <c r="F78" i="7" s="1"/>
  <c r="C79" i="7" s="1"/>
  <c r="F79" i="7" s="1"/>
  <c r="C80" i="7" s="1"/>
  <c r="F80" i="7" s="1"/>
  <c r="C81" i="7" s="1"/>
  <c r="F81" i="7" s="1"/>
  <c r="C82" i="7" s="1"/>
  <c r="F82" i="7" s="1"/>
  <c r="C83" i="7" s="1"/>
  <c r="F83" i="7" s="1"/>
  <c r="C84" i="7" s="1"/>
  <c r="F84" i="7" s="1"/>
  <c r="C85" i="7" s="1"/>
  <c r="F85" i="7" s="1"/>
  <c r="C86" i="7" s="1"/>
  <c r="F86" i="7" s="1"/>
  <c r="C87" i="7" s="1"/>
  <c r="F87" i="7" s="1"/>
  <c r="C88" i="7" s="1"/>
  <c r="F88" i="7" s="1"/>
  <c r="C89" i="7" s="1"/>
  <c r="F89" i="7" s="1"/>
  <c r="C90" i="7" s="1"/>
  <c r="F90" i="7" s="1"/>
  <c r="C91" i="7" s="1"/>
  <c r="F91" i="7" s="1"/>
  <c r="C92" i="7" s="1"/>
  <c r="F92" i="7" s="1"/>
  <c r="C93" i="7" s="1"/>
  <c r="F93" i="7" s="1"/>
  <c r="C94" i="7" s="1"/>
  <c r="F94" i="7" s="1"/>
  <c r="C95" i="7" s="1"/>
  <c r="F95" i="7" s="1"/>
  <c r="C96" i="7" s="1"/>
  <c r="F96" i="7" s="1"/>
  <c r="C97" i="7" s="1"/>
  <c r="F97" i="7" s="1"/>
  <c r="C98" i="7" s="1"/>
  <c r="F98" i="7" s="1"/>
  <c r="C99" i="7" s="1"/>
  <c r="F99" i="7" s="1"/>
  <c r="C100" i="7" s="1"/>
  <c r="F100" i="7" s="1"/>
  <c r="C101" i="7" s="1"/>
  <c r="F101" i="7" s="1"/>
  <c r="C102" i="7" s="1"/>
  <c r="F102" i="7" s="1"/>
  <c r="C103" i="7" s="1"/>
  <c r="F103" i="7" s="1"/>
  <c r="C104" i="7" s="1"/>
  <c r="F104" i="7" s="1"/>
  <c r="C105" i="7" s="1"/>
  <c r="F105" i="7" s="1"/>
  <c r="C106" i="7" s="1"/>
  <c r="F106" i="7" s="1"/>
  <c r="C107" i="7" s="1"/>
  <c r="F107" i="7" s="1"/>
  <c r="C108" i="7" s="1"/>
  <c r="F108" i="7" s="1"/>
  <c r="C109" i="7" s="1"/>
  <c r="F109" i="7" s="1"/>
  <c r="C110" i="7" s="1"/>
  <c r="F110" i="7" s="1"/>
  <c r="C111" i="7" s="1"/>
  <c r="F111" i="7" s="1"/>
  <c r="C112" i="7" s="1"/>
  <c r="F112" i="7" s="1"/>
  <c r="C113" i="7" s="1"/>
  <c r="F113" i="7" s="1"/>
  <c r="C114" i="7" s="1"/>
  <c r="F114" i="7" s="1"/>
  <c r="C115" i="7" s="1"/>
  <c r="F115" i="7" s="1"/>
  <c r="C116" i="7" s="1"/>
  <c r="F116" i="7" s="1"/>
  <c r="C117" i="7" s="1"/>
  <c r="F117" i="7" s="1"/>
  <c r="C118" i="7" s="1"/>
  <c r="F118" i="7" s="1"/>
  <c r="C119" i="7" s="1"/>
  <c r="F119" i="7" s="1"/>
  <c r="C120" i="7" s="1"/>
  <c r="F120" i="7" s="1"/>
  <c r="C121" i="7" s="1"/>
  <c r="F121" i="7" s="1"/>
  <c r="C122" i="7" s="1"/>
  <c r="F122" i="7" s="1"/>
  <c r="C123" i="7" s="1"/>
  <c r="F123" i="7" s="1"/>
  <c r="C124" i="7" s="1"/>
  <c r="F124" i="7" s="1"/>
  <c r="C125" i="7" s="1"/>
  <c r="F125" i="7" s="1"/>
  <c r="C126" i="7" s="1"/>
  <c r="F126" i="7" s="1"/>
  <c r="C127" i="7" s="1"/>
  <c r="F127" i="7" s="1"/>
  <c r="C128" i="7" s="1"/>
  <c r="F128" i="7" s="1"/>
  <c r="C129" i="7" s="1"/>
  <c r="F129" i="7" s="1"/>
  <c r="C130" i="7" s="1"/>
  <c r="F130" i="7" s="1"/>
  <c r="C131" i="7" s="1"/>
  <c r="F131" i="7" s="1"/>
  <c r="C132" i="7" s="1"/>
  <c r="F132" i="7" s="1"/>
  <c r="C133" i="7" s="1"/>
  <c r="F133" i="7" s="1"/>
  <c r="C134" i="7" s="1"/>
  <c r="F134" i="7" s="1"/>
  <c r="C135" i="7" s="1"/>
  <c r="F135" i="7" s="1"/>
  <c r="C136" i="7" s="1"/>
  <c r="F136" i="7" s="1"/>
  <c r="C137" i="7" s="1"/>
  <c r="F137" i="7" s="1"/>
  <c r="C138" i="7" s="1"/>
  <c r="F138" i="7" s="1"/>
  <c r="C139" i="7" s="1"/>
  <c r="F139" i="7" s="1"/>
  <c r="C140" i="7" s="1"/>
  <c r="F140" i="7" s="1"/>
  <c r="C141" i="7" s="1"/>
  <c r="F141" i="7" s="1"/>
  <c r="C142" i="7" s="1"/>
  <c r="F142" i="7" s="1"/>
  <c r="C143" i="7" s="1"/>
  <c r="F143" i="7" s="1"/>
  <c r="C144" i="7" s="1"/>
  <c r="F144" i="7" s="1"/>
  <c r="C145" i="7" s="1"/>
  <c r="F145" i="7" s="1"/>
  <c r="C146" i="7" s="1"/>
  <c r="F146" i="7" s="1"/>
  <c r="C147" i="7" s="1"/>
  <c r="F147" i="7" s="1"/>
  <c r="C148" i="7" s="1"/>
  <c r="F148" i="7" s="1"/>
  <c r="C149" i="7" s="1"/>
  <c r="F149" i="7" s="1"/>
  <c r="L26" i="5"/>
  <c r="C150" i="7" l="1"/>
  <c r="F150" i="7" s="1"/>
  <c r="C151" i="7" s="1"/>
  <c r="F151" i="7" s="1"/>
  <c r="C152" i="7" s="1"/>
  <c r="F152" i="7" s="1"/>
  <c r="C153" i="7" s="1"/>
  <c r="F153" i="7" s="1"/>
  <c r="C154" i="7" s="1"/>
  <c r="F154" i="7" s="1"/>
  <c r="C155" i="7"/>
  <c r="F155" i="7" s="1"/>
  <c r="C156" i="7" s="1"/>
  <c r="F156" i="7" s="1"/>
  <c r="C157" i="7" s="1"/>
  <c r="F157" i="7" s="1"/>
  <c r="C158" i="7" s="1"/>
  <c r="F158" i="7" s="1"/>
  <c r="C159" i="7" s="1"/>
  <c r="F159" i="7" s="1"/>
  <c r="C160" i="7" s="1"/>
  <c r="F160" i="7" s="1"/>
  <c r="C161" i="7" s="1"/>
  <c r="F161" i="7" s="1"/>
  <c r="C162" i="7" s="1"/>
  <c r="F162" i="7" s="1"/>
  <c r="C163" i="7" s="1"/>
  <c r="F163" i="7" s="1"/>
  <c r="C164" i="7" s="1"/>
  <c r="F164" i="7" s="1"/>
  <c r="C165" i="7" s="1"/>
  <c r="F165" i="7" s="1"/>
  <c r="C166" i="7" s="1"/>
  <c r="F166" i="7" s="1"/>
  <c r="C167" i="7" s="1"/>
  <c r="F167" i="7" s="1"/>
  <c r="C168" i="7" s="1"/>
  <c r="F168" i="7" s="1"/>
  <c r="AG6" i="5"/>
  <c r="AG7" i="5"/>
  <c r="AG9" i="5"/>
  <c r="AG10" i="5"/>
  <c r="AG11" i="5"/>
  <c r="AG12" i="5"/>
  <c r="AG13" i="5"/>
  <c r="AG14" i="5"/>
  <c r="AG15" i="5"/>
  <c r="AG16" i="5"/>
  <c r="AG17" i="5"/>
  <c r="AG18" i="5"/>
  <c r="AG19" i="5"/>
  <c r="AG20" i="5"/>
  <c r="AG21" i="5"/>
  <c r="AG22" i="5"/>
  <c r="AD25" i="5" l="1"/>
  <c r="AE24" i="5"/>
  <c r="AE25" i="5" s="1"/>
  <c r="AF24" i="5"/>
  <c r="AF25" i="5" s="1"/>
  <c r="Z24" i="5"/>
  <c r="Z25" i="5" s="1"/>
  <c r="Z26" i="5" s="1"/>
  <c r="Z27" i="5" s="1"/>
  <c r="AE23" i="5"/>
  <c r="AF23" i="5"/>
  <c r="AF26" i="5" l="1"/>
  <c r="AE26" i="5"/>
  <c r="AE27" i="5" s="1"/>
  <c r="AD26" i="5"/>
  <c r="AD27" i="5" s="1"/>
  <c r="X23" i="5"/>
  <c r="W24" i="5"/>
  <c r="W25" i="5" l="1"/>
  <c r="X26" i="5"/>
  <c r="U24" i="5"/>
  <c r="U25" i="5" s="1"/>
  <c r="M25" i="5" l="1"/>
  <c r="P24" i="5"/>
  <c r="P25" i="5" s="1"/>
  <c r="Q24" i="5"/>
  <c r="Q25" i="5" s="1"/>
  <c r="R24" i="5"/>
  <c r="R25" i="5" s="1"/>
  <c r="Y24" i="5"/>
  <c r="Y23" i="5"/>
  <c r="W23" i="5"/>
  <c r="V23" i="5"/>
  <c r="U23" i="5"/>
  <c r="R23" i="5"/>
  <c r="Q23" i="5"/>
  <c r="P23" i="5"/>
  <c r="J23" i="5"/>
  <c r="Y25" i="5" l="1"/>
  <c r="Y26" i="5" s="1"/>
  <c r="V26" i="5"/>
  <c r="P26" i="5"/>
  <c r="M26" i="5"/>
  <c r="L27" i="5" s="1"/>
  <c r="J26" i="5"/>
  <c r="J27" i="5" s="1"/>
  <c r="E26" i="5"/>
  <c r="E27" i="5" s="1"/>
  <c r="W26" i="5"/>
  <c r="W27" i="5" s="1"/>
  <c r="M23" i="5"/>
  <c r="Z23" i="5"/>
  <c r="Q26" i="5"/>
  <c r="U26" i="5"/>
  <c r="R26" i="5"/>
  <c r="BP20" i="4"/>
  <c r="BQ20" i="4"/>
  <c r="BR20" i="4"/>
  <c r="BS20" i="4"/>
  <c r="BU20" i="4"/>
  <c r="BV20" i="4"/>
  <c r="BW20" i="4"/>
  <c r="BK20" i="4"/>
  <c r="BL20" i="4"/>
  <c r="BM20" i="4"/>
  <c r="BN20" i="4"/>
  <c r="BO20" i="4"/>
  <c r="BT20" i="4"/>
  <c r="BT21" i="4" s="1"/>
  <c r="BT22" i="4" s="1"/>
  <c r="P27" i="5" l="1"/>
  <c r="Y27" i="5"/>
  <c r="BS19" i="4"/>
  <c r="BT19" i="4"/>
  <c r="BU19" i="4"/>
  <c r="BV19" i="4"/>
  <c r="BW19" i="4"/>
  <c r="BV21" i="4"/>
  <c r="BW21" i="4"/>
  <c r="BW22" i="4" s="1"/>
  <c r="BU21" i="4"/>
  <c r="BU22" i="4" s="1"/>
  <c r="BR19" i="4"/>
  <c r="BR21" i="4"/>
  <c r="BR22" i="4" s="1"/>
  <c r="BS21" i="4" l="1"/>
  <c r="BS22" i="4" s="1"/>
  <c r="BV22" i="4"/>
  <c r="BS23" i="4" l="1"/>
  <c r="BJ6" i="4"/>
  <c r="BI19" i="4" l="1"/>
  <c r="BH20" i="4" l="1"/>
  <c r="BH19" i="4"/>
  <c r="BG19" i="4"/>
  <c r="BH21" i="4" l="1"/>
  <c r="BH22" i="4" s="1"/>
  <c r="BF6" i="4"/>
  <c r="BA20" i="4" l="1"/>
  <c r="AZ20" i="4"/>
  <c r="AY20" i="4"/>
  <c r="AW20" i="4"/>
  <c r="AW21" i="4" s="1"/>
  <c r="AV20" i="4"/>
  <c r="BA19" i="4"/>
  <c r="AZ19" i="4"/>
  <c r="AY19" i="4"/>
  <c r="AW19" i="4"/>
  <c r="AV19" i="4"/>
  <c r="AV21" i="4" l="1"/>
  <c r="AV22" i="4" s="1"/>
  <c r="BC6" i="4"/>
  <c r="BB6" i="4" l="1"/>
  <c r="AU6" i="4" l="1"/>
  <c r="AU20" i="4" l="1"/>
  <c r="AU19" i="4"/>
  <c r="AX6" i="4"/>
  <c r="AX19" i="4" l="1"/>
  <c r="AX20" i="4"/>
  <c r="AX21" i="4" s="1"/>
  <c r="AU21" i="4"/>
  <c r="AU22" i="4" s="1"/>
  <c r="N6" i="4"/>
  <c r="N19" i="4" s="1"/>
  <c r="O6" i="4"/>
  <c r="P6" i="4"/>
  <c r="P20" i="4" s="1"/>
  <c r="Q6" i="4"/>
  <c r="Q19" i="4" s="1"/>
  <c r="R6" i="4"/>
  <c r="R19" i="4" s="1"/>
  <c r="W6" i="4"/>
  <c r="W19" i="4" s="1"/>
  <c r="X6" i="4"/>
  <c r="X20" i="4" s="1"/>
  <c r="Y6" i="4"/>
  <c r="Y19" i="4" s="1"/>
  <c r="Z6" i="4"/>
  <c r="Z19" i="4" s="1"/>
  <c r="AA6" i="4"/>
  <c r="AA19" i="4" s="1"/>
  <c r="AB6" i="4"/>
  <c r="AB19" i="4" s="1"/>
  <c r="O13" i="4"/>
  <c r="M19" i="4"/>
  <c r="S19" i="4"/>
  <c r="T19" i="4"/>
  <c r="U19" i="4"/>
  <c r="V19" i="4"/>
  <c r="M20" i="4"/>
  <c r="S20" i="4"/>
  <c r="T20" i="4"/>
  <c r="T21" i="4" s="1"/>
  <c r="T22" i="4" s="1"/>
  <c r="U20" i="4"/>
  <c r="U21" i="4" s="1"/>
  <c r="V20" i="4"/>
  <c r="V21" i="4" s="1"/>
  <c r="V22" i="4" s="1"/>
  <c r="AF6" i="4"/>
  <c r="AF20" i="4" s="1"/>
  <c r="AC19" i="4"/>
  <c r="AD19" i="4"/>
  <c r="AE19" i="4"/>
  <c r="AE27" i="4" s="1"/>
  <c r="AG19" i="4"/>
  <c r="AC20" i="4"/>
  <c r="AC21" i="4" s="1"/>
  <c r="AD20" i="4"/>
  <c r="AE20" i="4"/>
  <c r="AE21" i="4" s="1"/>
  <c r="AG20" i="4"/>
  <c r="AG21" i="4" s="1"/>
  <c r="AE30" i="4"/>
  <c r="Z20" i="4" l="1"/>
  <c r="Z21" i="4" s="1"/>
  <c r="Z22" i="4" s="1"/>
  <c r="AF19" i="4"/>
  <c r="P19" i="4"/>
  <c r="R20" i="4"/>
  <c r="R21" i="4" s="1"/>
  <c r="R22" i="4" s="1"/>
  <c r="U22" i="4"/>
  <c r="N20" i="4"/>
  <c r="N21" i="4" s="1"/>
  <c r="N22" i="4" s="1"/>
  <c r="P21" i="4"/>
  <c r="P22" i="4" s="1"/>
  <c r="AB20" i="4"/>
  <c r="AB21" i="4" s="1"/>
  <c r="AB22" i="4" s="1"/>
  <c r="O19" i="4"/>
  <c r="X19" i="4"/>
  <c r="S21" i="4"/>
  <c r="S22" i="4" s="1"/>
  <c r="X21" i="4"/>
  <c r="X22" i="4" s="1"/>
  <c r="M21" i="4"/>
  <c r="M22" i="4" s="1"/>
  <c r="AC22" i="4"/>
  <c r="AA20" i="4"/>
  <c r="W20" i="4"/>
  <c r="O20" i="4"/>
  <c r="Y20" i="4"/>
  <c r="Q20" i="4"/>
  <c r="AG22" i="4"/>
  <c r="AD21" i="4"/>
  <c r="AD22" i="4" s="1"/>
  <c r="AF21" i="4"/>
  <c r="AF22" i="4" s="1"/>
  <c r="AE22" i="4"/>
  <c r="F20" i="4"/>
  <c r="G20" i="4"/>
  <c r="H20" i="4"/>
  <c r="I20" i="4"/>
  <c r="AH20" i="4"/>
  <c r="AI20" i="4"/>
  <c r="AK20" i="4"/>
  <c r="AN20" i="4"/>
  <c r="AO20" i="4"/>
  <c r="AP20" i="4"/>
  <c r="AQ20" i="4"/>
  <c r="AR20" i="4"/>
  <c r="AS20" i="4"/>
  <c r="BB20" i="4"/>
  <c r="BC20" i="4"/>
  <c r="BD20" i="4"/>
  <c r="BE20" i="4"/>
  <c r="BF20" i="4"/>
  <c r="BG20" i="4"/>
  <c r="BI20" i="4"/>
  <c r="BJ20" i="4"/>
  <c r="E20" i="4"/>
  <c r="Y21" i="4" l="1"/>
  <c r="Y22" i="4" s="1"/>
  <c r="O21" i="4"/>
  <c r="O22" i="4" s="1"/>
  <c r="M23" i="4" s="1"/>
  <c r="W21" i="4"/>
  <c r="W22" i="4" s="1"/>
  <c r="Q21" i="4"/>
  <c r="Q22" i="4" s="1"/>
  <c r="P23" i="4" s="1"/>
  <c r="AA21" i="4"/>
  <c r="AA22" i="4" s="1"/>
  <c r="AC23" i="4"/>
  <c r="AE31" i="4" s="1"/>
  <c r="E19" i="4"/>
  <c r="AR19" i="4"/>
  <c r="AS19" i="4"/>
  <c r="AT6" i="4"/>
  <c r="AI19" i="4"/>
  <c r="AK19" i="4"/>
  <c r="AN19" i="4"/>
  <c r="AO19" i="4"/>
  <c r="AP19" i="4"/>
  <c r="AQ19" i="4"/>
  <c r="BB19" i="4"/>
  <c r="BC19" i="4"/>
  <c r="BD19" i="4"/>
  <c r="BE19" i="4"/>
  <c r="BF19" i="4"/>
  <c r="BJ19" i="4"/>
  <c r="BK19" i="4"/>
  <c r="BL19" i="4"/>
  <c r="BM19" i="4"/>
  <c r="BN19" i="4"/>
  <c r="BO19" i="4"/>
  <c r="BP19" i="4"/>
  <c r="BQ19" i="4"/>
  <c r="AH19" i="4"/>
  <c r="F19" i="4"/>
  <c r="AT20" i="4" l="1"/>
  <c r="AT19" i="4"/>
  <c r="V23" i="4"/>
  <c r="AH21" i="4"/>
  <c r="I19" i="4" l="1"/>
  <c r="H19" i="4"/>
  <c r="AM6" i="4" l="1"/>
  <c r="AM20" i="4" l="1"/>
  <c r="AM19" i="4"/>
  <c r="AL6" i="4"/>
  <c r="AL20" i="4" l="1"/>
  <c r="AL19" i="4"/>
  <c r="AJ6" i="4"/>
  <c r="AJ20" i="4" l="1"/>
  <c r="AJ19" i="4"/>
  <c r="F21" i="4"/>
  <c r="F22" i="4" s="1"/>
  <c r="G19" i="4" l="1"/>
  <c r="L6" i="4" l="1"/>
  <c r="L20" i="4" l="1"/>
  <c r="L21" i="4" s="1"/>
  <c r="L22" i="4" s="1"/>
  <c r="L19" i="4"/>
  <c r="K6" i="4"/>
  <c r="J6" i="4"/>
  <c r="K20" i="4" l="1"/>
  <c r="K21" i="4" s="1"/>
  <c r="K22" i="4" s="1"/>
  <c r="K19" i="4"/>
  <c r="J20" i="4"/>
  <c r="J21" i="4" s="1"/>
  <c r="J22" i="4" s="1"/>
  <c r="J19" i="4"/>
  <c r="BQ21" i="4"/>
  <c r="BQ22" i="4" s="1"/>
  <c r="BO21" i="4"/>
  <c r="BN21" i="4"/>
  <c r="BM21" i="4"/>
  <c r="BM22" i="4" s="1"/>
  <c r="BK21" i="4"/>
  <c r="BJ21" i="4"/>
  <c r="BI21" i="4"/>
  <c r="BI22" i="4" s="1"/>
  <c r="BE21" i="4"/>
  <c r="BD21" i="4"/>
  <c r="BD22" i="4" s="1"/>
  <c r="BB21" i="4"/>
  <c r="AY21" i="4"/>
  <c r="AX22" i="4"/>
  <c r="AT21" i="4"/>
  <c r="AS21" i="4"/>
  <c r="AS22" i="4" s="1"/>
  <c r="AP21" i="4"/>
  <c r="AO21" i="4"/>
  <c r="AO22" i="4" s="1"/>
  <c r="AM21" i="4"/>
  <c r="AJ21" i="4"/>
  <c r="AI21" i="4"/>
  <c r="AI22" i="4" s="1"/>
  <c r="G21" i="4"/>
  <c r="E21" i="4"/>
  <c r="BX17" i="4"/>
  <c r="BX16" i="4"/>
  <c r="BX13" i="4"/>
  <c r="BX12" i="4"/>
  <c r="BX11" i="4"/>
  <c r="BX10" i="4"/>
  <c r="BX9" i="4"/>
  <c r="BX8" i="4"/>
  <c r="BX7" i="4"/>
  <c r="I21" i="4" l="1"/>
  <c r="I22" i="4" s="1"/>
  <c r="AL21" i="4"/>
  <c r="AL22" i="4" s="1"/>
  <c r="BA21" i="4"/>
  <c r="BA22" i="4" s="1"/>
  <c r="E22" i="4"/>
  <c r="AH22" i="4"/>
  <c r="AN21" i="4"/>
  <c r="AN22" i="4" s="1"/>
  <c r="AW22" i="4"/>
  <c r="BC21" i="4"/>
  <c r="BC22" i="4" s="1"/>
  <c r="BL21" i="4"/>
  <c r="BL22" i="4" s="1"/>
  <c r="BP21" i="4"/>
  <c r="BP22" i="4" s="1"/>
  <c r="AR21" i="4"/>
  <c r="AR22" i="4" s="1"/>
  <c r="BG21" i="4"/>
  <c r="BG22" i="4" s="1"/>
  <c r="AM22" i="4"/>
  <c r="BB22" i="4"/>
  <c r="BK22" i="4"/>
  <c r="BO22" i="4"/>
  <c r="H21" i="4"/>
  <c r="H22" i="4" s="1"/>
  <c r="AK21" i="4"/>
  <c r="AK22" i="4" s="1"/>
  <c r="AQ21" i="4"/>
  <c r="AQ22" i="4" s="1"/>
  <c r="AZ21" i="4"/>
  <c r="AZ22" i="4" s="1"/>
  <c r="BF21" i="4"/>
  <c r="BF22" i="4" s="1"/>
  <c r="G22" i="4"/>
  <c r="AJ22" i="4"/>
  <c r="AP22" i="4"/>
  <c r="AT22" i="4"/>
  <c r="AY22" i="4"/>
  <c r="BE22" i="4"/>
  <c r="BJ22" i="4"/>
  <c r="BN22" i="4"/>
  <c r="BX19" i="4"/>
  <c r="BX20" i="4"/>
  <c r="BX6" i="4"/>
  <c r="BI23" i="4" l="1"/>
  <c r="BN23" i="4"/>
  <c r="AM23" i="4"/>
  <c r="AH23" i="4"/>
  <c r="AU23" i="4"/>
  <c r="BB23" i="4"/>
  <c r="E23" i="4"/>
  <c r="BX21" i="4"/>
  <c r="BX22" i="4" s="1"/>
  <c r="CC16" i="3"/>
  <c r="CD16" i="3"/>
  <c r="CC15" i="3"/>
  <c r="CD15" i="3"/>
  <c r="CD17" i="3" l="1"/>
  <c r="CD18" i="3" s="1"/>
  <c r="CC17" i="3"/>
  <c r="CC18" i="3"/>
  <c r="BZ16" i="3"/>
  <c r="CA16" i="3"/>
  <c r="BZ15" i="3"/>
  <c r="CA15" i="3"/>
  <c r="BZ17" i="3" l="1"/>
  <c r="BZ18" i="3" s="1"/>
  <c r="CA17" i="3"/>
  <c r="CA18" i="3"/>
  <c r="BU16" i="3"/>
  <c r="BU15" i="3"/>
  <c r="BV16" i="3"/>
  <c r="BV15" i="3"/>
  <c r="BV17" i="3" l="1"/>
  <c r="BV18" i="3" s="1"/>
  <c r="BU17" i="3"/>
  <c r="BU18" i="3" s="1"/>
  <c r="BS16" i="3"/>
  <c r="BT16" i="3"/>
  <c r="BS15" i="3"/>
  <c r="BT15" i="3"/>
  <c r="BT17" i="3" l="1"/>
  <c r="BT18" i="3" s="1"/>
  <c r="BS17" i="3"/>
  <c r="BS18" i="3"/>
  <c r="BG16" i="3"/>
  <c r="BG15" i="3"/>
  <c r="BG17" i="3" l="1"/>
  <c r="BG18" i="3"/>
  <c r="BE16" i="3"/>
  <c r="BF16" i="3"/>
  <c r="BE15" i="3"/>
  <c r="BF15" i="3"/>
  <c r="BF17" i="3" l="1"/>
  <c r="BF18" i="3"/>
  <c r="BE17" i="3"/>
  <c r="BE18" i="3" s="1"/>
  <c r="AU16" i="3"/>
  <c r="AV16" i="3"/>
  <c r="AU15" i="3"/>
  <c r="AV15" i="3"/>
  <c r="AV17" i="3" l="1"/>
  <c r="AV18" i="3" s="1"/>
  <c r="AU17" i="3"/>
  <c r="AU18" i="3" s="1"/>
  <c r="AP16" i="3"/>
  <c r="AP15" i="3"/>
  <c r="AP17" i="3" l="1"/>
  <c r="AP18" i="3" s="1"/>
  <c r="AO16" i="3"/>
  <c r="AO17" i="3" s="1"/>
  <c r="AO18" i="3" s="1"/>
  <c r="AO15" i="3"/>
  <c r="AI16" i="3" l="1"/>
  <c r="AI17" i="3" s="1"/>
  <c r="AJ16" i="3"/>
  <c r="AI15" i="3"/>
  <c r="AJ15" i="3"/>
  <c r="AJ17" i="3" l="1"/>
  <c r="AJ18" i="3" s="1"/>
  <c r="AI18" i="3"/>
  <c r="AD16" i="3"/>
  <c r="AE16" i="3"/>
  <c r="AE17" i="3" s="1"/>
  <c r="AE18" i="3" s="1"/>
  <c r="AF16" i="3"/>
  <c r="AG16" i="3"/>
  <c r="AG17" i="3" s="1"/>
  <c r="AD15" i="3"/>
  <c r="AE15" i="3"/>
  <c r="AF15" i="3"/>
  <c r="AG15" i="3"/>
  <c r="AG18" i="3" l="1"/>
  <c r="AF17" i="3"/>
  <c r="AF18" i="3" s="1"/>
  <c r="AD17" i="3"/>
  <c r="AD18" i="3" s="1"/>
  <c r="AA16" i="3"/>
  <c r="AA17" i="3" s="1"/>
  <c r="AB16" i="3"/>
  <c r="AB17" i="3" s="1"/>
  <c r="AB18" i="3" s="1"/>
  <c r="AA15" i="3"/>
  <c r="AB15" i="3"/>
  <c r="AA18" i="3" l="1"/>
  <c r="Y16" i="3"/>
  <c r="Z16" i="3"/>
  <c r="Z17" i="3" s="1"/>
  <c r="Y15" i="3"/>
  <c r="Z15" i="3"/>
  <c r="Y17" i="3" l="1"/>
  <c r="Y18" i="3" s="1"/>
  <c r="Z18" i="3"/>
  <c r="U16" i="3"/>
  <c r="U17" i="3" s="1"/>
  <c r="U18" i="3" s="1"/>
  <c r="U15" i="3"/>
  <c r="T16" i="3" l="1"/>
  <c r="T17" i="3" s="1"/>
  <c r="T18" i="3" s="1"/>
  <c r="T15" i="3"/>
  <c r="N5" i="3" l="1"/>
  <c r="N16" i="3" s="1"/>
  <c r="N17" i="3" s="1"/>
  <c r="O16" i="3"/>
  <c r="O17" i="3" s="1"/>
  <c r="O18" i="3" s="1"/>
  <c r="O15" i="3"/>
  <c r="N15" i="3" l="1"/>
  <c r="N18" i="3"/>
  <c r="M16" i="3"/>
  <c r="M17" i="3" s="1"/>
  <c r="M18" i="3" s="1"/>
  <c r="M15" i="3"/>
  <c r="K16" i="3" l="1"/>
  <c r="K17" i="3" s="1"/>
  <c r="K18" i="3" s="1"/>
  <c r="K15" i="3"/>
  <c r="I16" i="3" l="1"/>
  <c r="I17" i="3" s="1"/>
  <c r="J16" i="3"/>
  <c r="J17" i="3" s="1"/>
  <c r="J18" i="3" s="1"/>
  <c r="I15" i="3"/>
  <c r="J15" i="3"/>
  <c r="I18" i="3" l="1"/>
  <c r="CE16" i="3"/>
  <c r="CF16" i="3"/>
  <c r="CG16" i="3"/>
  <c r="CH16" i="3"/>
  <c r="CI16" i="3"/>
  <c r="CJ16" i="3"/>
  <c r="CK16" i="3"/>
  <c r="CL16" i="3"/>
  <c r="BQ16" i="3"/>
  <c r="BR16" i="3"/>
  <c r="BW16" i="3"/>
  <c r="BX16" i="3"/>
  <c r="BY16" i="3"/>
  <c r="CB16" i="3"/>
  <c r="BJ16" i="3"/>
  <c r="BK16" i="3"/>
  <c r="BL16" i="3"/>
  <c r="BM16" i="3"/>
  <c r="BN16" i="3"/>
  <c r="BO16" i="3"/>
  <c r="BP16" i="3"/>
  <c r="AZ16" i="3"/>
  <c r="BA16" i="3"/>
  <c r="BB16" i="3"/>
  <c r="BC16" i="3"/>
  <c r="BD16" i="3"/>
  <c r="BH16" i="3"/>
  <c r="BI16" i="3"/>
  <c r="AK16" i="3"/>
  <c r="AL16" i="3"/>
  <c r="AM16" i="3"/>
  <c r="AN16" i="3"/>
  <c r="AQ16" i="3"/>
  <c r="AR16" i="3"/>
  <c r="AS16" i="3"/>
  <c r="AT16" i="3"/>
  <c r="AW16" i="3"/>
  <c r="AX16" i="3"/>
  <c r="AY16" i="3"/>
  <c r="V16" i="3"/>
  <c r="W16" i="3"/>
  <c r="X16" i="3"/>
  <c r="AC16" i="3"/>
  <c r="AH16" i="3"/>
  <c r="P16" i="3"/>
  <c r="Q16" i="3"/>
  <c r="R16" i="3"/>
  <c r="S16" i="3"/>
  <c r="L16" i="3"/>
  <c r="H16" i="3"/>
  <c r="H17" i="3" s="1"/>
  <c r="H18" i="3" s="1"/>
  <c r="G16" i="3"/>
  <c r="CB17" i="3" l="1"/>
  <c r="CB18" i="3"/>
  <c r="CM7" i="3"/>
  <c r="G32" i="3"/>
  <c r="CL17" i="3"/>
  <c r="CL18" i="3" s="1"/>
  <c r="CK17" i="3"/>
  <c r="CK18" i="3" s="1"/>
  <c r="CI17" i="3"/>
  <c r="CG17" i="3"/>
  <c r="CG18" i="3" s="1"/>
  <c r="CF17" i="3"/>
  <c r="CE17" i="3"/>
  <c r="BX17" i="3"/>
  <c r="BR17" i="3"/>
  <c r="BQ17" i="3"/>
  <c r="BP17" i="3"/>
  <c r="BO17" i="3"/>
  <c r="BO18" i="3" s="1"/>
  <c r="BM17" i="3"/>
  <c r="BK17" i="3"/>
  <c r="BK18" i="3" s="1"/>
  <c r="BI17" i="3"/>
  <c r="BC17" i="3"/>
  <c r="BB17" i="3"/>
  <c r="BA17" i="3"/>
  <c r="BA18" i="3" s="1"/>
  <c r="AY17" i="3"/>
  <c r="AW17" i="3"/>
  <c r="AW18" i="3" s="1"/>
  <c r="AS17" i="3"/>
  <c r="AQ17" i="3"/>
  <c r="AQ18" i="3" s="1"/>
  <c r="AM17" i="3"/>
  <c r="AL17" i="3"/>
  <c r="AK17" i="3"/>
  <c r="AK18" i="3" s="1"/>
  <c r="AH17" i="3"/>
  <c r="AC17" i="3"/>
  <c r="W17" i="3"/>
  <c r="S17" i="3"/>
  <c r="S18" i="3" s="1"/>
  <c r="Q17" i="3"/>
  <c r="G17" i="3"/>
  <c r="G18" i="3" s="1"/>
  <c r="F16" i="3"/>
  <c r="E16" i="3"/>
  <c r="E17" i="3" s="1"/>
  <c r="CL15" i="3"/>
  <c r="CK15" i="3"/>
  <c r="CJ15" i="3"/>
  <c r="CI15" i="3"/>
  <c r="CH15" i="3"/>
  <c r="CG15" i="3"/>
  <c r="CF15" i="3"/>
  <c r="CE15" i="3"/>
  <c r="CB15" i="3"/>
  <c r="BY15" i="3"/>
  <c r="BX15" i="3"/>
  <c r="BW15" i="3"/>
  <c r="BR15" i="3"/>
  <c r="BQ15" i="3"/>
  <c r="BP15" i="3"/>
  <c r="BO15" i="3"/>
  <c r="BN15" i="3"/>
  <c r="BM15" i="3"/>
  <c r="BL15" i="3"/>
  <c r="BK15" i="3"/>
  <c r="BJ15" i="3"/>
  <c r="BI15" i="3"/>
  <c r="BH15" i="3"/>
  <c r="BD15" i="3"/>
  <c r="BC15" i="3"/>
  <c r="BB15" i="3"/>
  <c r="BA15" i="3"/>
  <c r="AZ15" i="3"/>
  <c r="AY15" i="3"/>
  <c r="AX15" i="3"/>
  <c r="AW15" i="3"/>
  <c r="AT15" i="3"/>
  <c r="AS15" i="3"/>
  <c r="AR15" i="3"/>
  <c r="AQ15" i="3"/>
  <c r="AN15" i="3"/>
  <c r="AM15" i="3"/>
  <c r="AL15" i="3"/>
  <c r="AK15" i="3"/>
  <c r="AH15" i="3"/>
  <c r="AC15" i="3"/>
  <c r="X15" i="3"/>
  <c r="W15" i="3"/>
  <c r="V15" i="3"/>
  <c r="S15" i="3"/>
  <c r="R15" i="3"/>
  <c r="Q15" i="3"/>
  <c r="P15" i="3"/>
  <c r="L15" i="3"/>
  <c r="H15" i="3"/>
  <c r="G15" i="3"/>
  <c r="F15" i="3"/>
  <c r="E15" i="3"/>
  <c r="CM14" i="3"/>
  <c r="CM13" i="3"/>
  <c r="CM12" i="3"/>
  <c r="CM11" i="3"/>
  <c r="CM10" i="3"/>
  <c r="CM9" i="3"/>
  <c r="CM8" i="3"/>
  <c r="CM6" i="3"/>
  <c r="BH17" i="3" l="1"/>
  <c r="BH18" i="3" s="1"/>
  <c r="AC18" i="3"/>
  <c r="AL18" i="3"/>
  <c r="P17" i="3"/>
  <c r="P18" i="3" s="1"/>
  <c r="AR17" i="3"/>
  <c r="AR18" i="3" s="1"/>
  <c r="BL17" i="3"/>
  <c r="BL18" i="3" s="1"/>
  <c r="BW17" i="3"/>
  <c r="BW18" i="3" s="1"/>
  <c r="CH17" i="3"/>
  <c r="CH18" i="3" s="1"/>
  <c r="BB18" i="3"/>
  <c r="BP18" i="3"/>
  <c r="BR18" i="3"/>
  <c r="CF18" i="3"/>
  <c r="V17" i="3"/>
  <c r="V18" i="3" s="1"/>
  <c r="AX17" i="3"/>
  <c r="AX18" i="3" s="1"/>
  <c r="BN17" i="3"/>
  <c r="BN18" i="3" s="1"/>
  <c r="BY17" i="3"/>
  <c r="BY18" i="3" s="1"/>
  <c r="CJ17" i="3"/>
  <c r="CJ18" i="3" s="1"/>
  <c r="AT17" i="3"/>
  <c r="AT18" i="3" s="1"/>
  <c r="CM16" i="3"/>
  <c r="CM17" i="3" s="1"/>
  <c r="CM18" i="3" s="1"/>
  <c r="F17" i="3"/>
  <c r="L17" i="3"/>
  <c r="L18" i="3" s="1"/>
  <c r="R17" i="3"/>
  <c r="R18" i="3" s="1"/>
  <c r="X17" i="3"/>
  <c r="X18" i="3" s="1"/>
  <c r="AN17" i="3"/>
  <c r="AN18" i="3" s="1"/>
  <c r="AZ17" i="3"/>
  <c r="AZ18" i="3" s="1"/>
  <c r="BD17" i="3"/>
  <c r="BD18" i="3" s="1"/>
  <c r="BJ17" i="3"/>
  <c r="BJ18" i="3" s="1"/>
  <c r="E18" i="3"/>
  <c r="Q18" i="3"/>
  <c r="W18" i="3"/>
  <c r="AH18" i="3"/>
  <c r="AM18" i="3"/>
  <c r="AS18" i="3"/>
  <c r="AY18" i="3"/>
  <c r="BC18" i="3"/>
  <c r="BI18" i="3"/>
  <c r="BM18" i="3"/>
  <c r="BQ18" i="3"/>
  <c r="BX18" i="3"/>
  <c r="CE18" i="3"/>
  <c r="CI18" i="3"/>
  <c r="CM5" i="3"/>
  <c r="CM15" i="3"/>
  <c r="BJ15" i="1"/>
  <c r="BJ16" i="1" s="1"/>
  <c r="BK15" i="1"/>
  <c r="BK16" i="1" s="1"/>
  <c r="BK17" i="1" s="1"/>
  <c r="BJ14" i="1"/>
  <c r="BK14" i="1"/>
  <c r="F18" i="3" l="1"/>
  <c r="BJ17" i="1"/>
  <c r="BG15" i="1"/>
  <c r="BG16" i="1" s="1"/>
  <c r="BH15" i="1"/>
  <c r="BH16" i="1" s="1"/>
  <c r="BH17" i="1" s="1"/>
  <c r="BG14" i="1"/>
  <c r="BH14" i="1"/>
  <c r="BE15" i="1"/>
  <c r="BE16" i="1" s="1"/>
  <c r="BF15" i="1"/>
  <c r="BF16" i="1" s="1"/>
  <c r="BF17" i="1" s="1"/>
  <c r="BE14" i="1"/>
  <c r="BF14" i="1"/>
  <c r="BD15" i="1"/>
  <c r="BD16" i="1" s="1"/>
  <c r="BI15" i="1"/>
  <c r="BD14" i="1"/>
  <c r="BI14" i="1"/>
  <c r="BI16" i="1" l="1"/>
  <c r="BI17" i="1" s="1"/>
  <c r="BG17" i="1"/>
  <c r="BE17" i="1"/>
  <c r="BD17" i="1"/>
  <c r="AZ15" i="1"/>
  <c r="AZ16" i="1" s="1"/>
  <c r="BA15" i="1"/>
  <c r="BA16" i="1" s="1"/>
  <c r="BB15" i="1"/>
  <c r="BB16" i="1" s="1"/>
  <c r="AZ14" i="1"/>
  <c r="BA14" i="1"/>
  <c r="BB14" i="1"/>
  <c r="BB17" i="1" l="1"/>
  <c r="BA17" i="1"/>
  <c r="AZ17" i="1"/>
  <c r="AY15" i="1"/>
  <c r="AY16" i="1" s="1"/>
  <c r="BC15" i="1"/>
  <c r="BC16" i="1" s="1"/>
  <c r="BC17" i="1" s="1"/>
  <c r="AY14" i="1"/>
  <c r="BC14" i="1"/>
  <c r="AY17" i="1" l="1"/>
  <c r="AV15" i="1"/>
  <c r="AV16" i="1" s="1"/>
  <c r="AW15" i="1"/>
  <c r="AW16" i="1" s="1"/>
  <c r="AX15" i="1"/>
  <c r="AX16" i="1" s="1"/>
  <c r="AV14" i="1"/>
  <c r="AW14" i="1"/>
  <c r="AX14" i="1"/>
  <c r="AV17" i="1" l="1"/>
  <c r="AW17" i="1"/>
  <c r="AX17" i="1"/>
  <c r="AS15" i="1"/>
  <c r="AS16" i="1" s="1"/>
  <c r="AT15" i="1"/>
  <c r="AT16" i="1" s="1"/>
  <c r="AU15" i="1"/>
  <c r="AU16" i="1" s="1"/>
  <c r="AS14" i="1"/>
  <c r="AT14" i="1"/>
  <c r="AU14" i="1"/>
  <c r="AS17" i="1" l="1"/>
  <c r="AT17" i="1"/>
  <c r="AU17" i="1"/>
  <c r="AQ15" i="1"/>
  <c r="AQ16" i="1" s="1"/>
  <c r="AR15" i="1"/>
  <c r="AR16" i="1" s="1"/>
  <c r="AR17" i="1" s="1"/>
  <c r="AQ14" i="1"/>
  <c r="AR14" i="1"/>
  <c r="AQ17" i="1" l="1"/>
  <c r="AL26" i="1"/>
  <c r="AL24" i="1"/>
  <c r="AL15" i="1" l="1"/>
  <c r="AL16" i="1" s="1"/>
  <c r="AL17" i="1" s="1"/>
  <c r="AL14" i="1"/>
  <c r="AO15" i="1"/>
  <c r="AO16" i="1" s="1"/>
  <c r="AP15" i="1"/>
  <c r="AO14" i="1"/>
  <c r="AP14" i="1"/>
  <c r="AP16" i="1" l="1"/>
  <c r="AP17" i="1" s="1"/>
  <c r="AO17" i="1"/>
  <c r="AK15" i="1"/>
  <c r="AK16" i="1" s="1"/>
  <c r="AM15" i="1"/>
  <c r="AM16" i="1" s="1"/>
  <c r="AM17" i="1" s="1"/>
  <c r="AK14" i="1"/>
  <c r="AM14" i="1"/>
  <c r="AK17" i="1" l="1"/>
  <c r="AJ15" i="1"/>
  <c r="AJ16" i="1" s="1"/>
  <c r="AJ14" i="1"/>
  <c r="AH15" i="1"/>
  <c r="AH16" i="1" s="1"/>
  <c r="AI15" i="1"/>
  <c r="AI16" i="1" s="1"/>
  <c r="AI17" i="1" s="1"/>
  <c r="AH14" i="1"/>
  <c r="AI14" i="1"/>
  <c r="AJ17" i="1" l="1"/>
  <c r="AH17" i="1"/>
  <c r="AF15" i="1"/>
  <c r="AF16" i="1" s="1"/>
  <c r="AG15" i="1"/>
  <c r="AF14" i="1"/>
  <c r="AG14" i="1"/>
  <c r="AG16" i="1" l="1"/>
  <c r="AG17" i="1" s="1"/>
  <c r="AF17" i="1"/>
  <c r="G31" i="1"/>
  <c r="AD5" i="1"/>
  <c r="AD14" i="1" s="1"/>
  <c r="AC15" i="1"/>
  <c r="AD15" i="1"/>
  <c r="AD16" i="1" s="1"/>
  <c r="AE15" i="1"/>
  <c r="AE16" i="1" s="1"/>
  <c r="AC14" i="1"/>
  <c r="AE14" i="1"/>
  <c r="AC16" i="1" l="1"/>
  <c r="AC17" i="1" s="1"/>
  <c r="AD17" i="1"/>
  <c r="AE17" i="1"/>
  <c r="Y15" i="1"/>
  <c r="Z15" i="1"/>
  <c r="AA15" i="1"/>
  <c r="AA16" i="1" s="1"/>
  <c r="Y14" i="1"/>
  <c r="Z14" i="1"/>
  <c r="AA14" i="1"/>
  <c r="Z16" i="1" l="1"/>
  <c r="Z17" i="1" s="1"/>
  <c r="Y16" i="1"/>
  <c r="Y17" i="1" s="1"/>
  <c r="AA17" i="1"/>
  <c r="W15" i="1"/>
  <c r="W16" i="1" s="1"/>
  <c r="W17" i="1" s="1"/>
  <c r="X15" i="1"/>
  <c r="X16" i="1" s="1"/>
  <c r="X17" i="1" s="1"/>
  <c r="AB15" i="1"/>
  <c r="AB16" i="1" s="1"/>
  <c r="AB17" i="1" s="1"/>
  <c r="BL15" i="1"/>
  <c r="T15" i="1"/>
  <c r="U15" i="1"/>
  <c r="V15" i="1"/>
  <c r="S15" i="1"/>
  <c r="R15" i="1"/>
  <c r="X14" i="1"/>
  <c r="AB14" i="1"/>
  <c r="W14" i="1"/>
  <c r="Q15" i="1" l="1"/>
  <c r="P15" i="1"/>
  <c r="K15" i="1"/>
  <c r="J15" i="1"/>
  <c r="E15" i="1"/>
  <c r="F15" i="1"/>
  <c r="G15" i="1"/>
  <c r="H15" i="1"/>
  <c r="V16" i="1" l="1"/>
  <c r="V17" i="1" s="1"/>
  <c r="U16" i="1"/>
  <c r="U14" i="1"/>
  <c r="V14" i="1"/>
  <c r="U17" i="1" l="1"/>
  <c r="T16" i="1"/>
  <c r="R16" i="1"/>
  <c r="R17" i="1" s="1"/>
  <c r="S16" i="1"/>
  <c r="R14" i="1"/>
  <c r="S14" i="1"/>
  <c r="T14" i="1"/>
  <c r="T17" i="1" l="1"/>
  <c r="S17" i="1"/>
  <c r="N15" i="1"/>
  <c r="N16" i="1" s="1"/>
  <c r="N17" i="1" s="1"/>
  <c r="O15" i="1"/>
  <c r="P16" i="1"/>
  <c r="P17" i="1" s="1"/>
  <c r="N14" i="1"/>
  <c r="O14" i="1"/>
  <c r="P14" i="1"/>
  <c r="Q14" i="1"/>
  <c r="Q16" i="1" l="1"/>
  <c r="Q17" i="1" s="1"/>
  <c r="O16" i="1"/>
  <c r="O17" i="1" s="1"/>
  <c r="L15" i="1"/>
  <c r="L16" i="1" s="1"/>
  <c r="M15" i="1"/>
  <c r="M16" i="1" s="1"/>
  <c r="L14" i="1"/>
  <c r="M14" i="1"/>
  <c r="M17" i="1" l="1"/>
  <c r="L17" i="1"/>
  <c r="BL16" i="1"/>
  <c r="BL17" i="1" s="1"/>
  <c r="H16" i="1"/>
  <c r="H17" i="1" s="1"/>
  <c r="E16" i="1"/>
  <c r="BL14" i="1"/>
  <c r="K14" i="1"/>
  <c r="J14" i="1"/>
  <c r="H14" i="1"/>
  <c r="G14" i="1"/>
  <c r="F14" i="1"/>
  <c r="E14" i="1"/>
  <c r="BM13" i="1"/>
  <c r="BM12" i="1"/>
  <c r="BM11" i="1"/>
  <c r="BM10" i="1"/>
  <c r="BM9" i="1"/>
  <c r="BM7" i="1"/>
  <c r="BM6" i="1"/>
  <c r="I5" i="1"/>
  <c r="I15" i="1" s="1"/>
  <c r="K16" i="1" l="1"/>
  <c r="K17" i="1" s="1"/>
  <c r="I16" i="1"/>
  <c r="I17" i="1" s="1"/>
  <c r="BM5" i="1"/>
  <c r="F16" i="1"/>
  <c r="F17" i="1" s="1"/>
  <c r="J16" i="1"/>
  <c r="J17" i="1" s="1"/>
  <c r="E17" i="1"/>
  <c r="I14" i="1"/>
  <c r="G16" i="1"/>
  <c r="G17" i="1" s="1"/>
  <c r="BM8" i="1" l="1"/>
  <c r="AN15" i="1"/>
  <c r="AN14" i="1"/>
  <c r="BM14" i="1" s="1"/>
  <c r="AN16" i="1" l="1"/>
  <c r="BM15" i="1"/>
  <c r="AN17" i="1" l="1"/>
  <c r="BM17" i="1" s="1"/>
  <c r="BM16" i="1"/>
  <c r="AG5" i="5" l="1"/>
  <c r="AH5" i="5" s="1"/>
  <c r="U27" i="5" l="1"/>
  <c r="AB24" i="5"/>
  <c r="AB25" i="5" s="1"/>
  <c r="AG8" i="5"/>
  <c r="AB23" i="5"/>
  <c r="AG23" i="5" s="1"/>
  <c r="AG24" i="5" l="1"/>
  <c r="AG25" i="5" s="1"/>
  <c r="AG26" i="5" s="1"/>
  <c r="AA30" i="5" s="1"/>
  <c r="AB26" i="5"/>
  <c r="AB27"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Bien, Nguyen Van / HSE Officer</author>
  </authors>
  <commentList>
    <comment ref="AT5" authorId="0" shapeId="0" xr:uid="{00000000-0006-0000-0200-000001000000}">
      <text>
        <r>
          <rPr>
            <b/>
            <sz val="9"/>
            <color indexed="81"/>
            <rFont val="Tahoma"/>
            <family val="2"/>
          </rPr>
          <t>Bien, Nguyen Van / HSE Officer:</t>
        </r>
        <r>
          <rPr>
            <sz val="9"/>
            <color indexed="81"/>
            <rFont val="Tahoma"/>
            <family val="2"/>
          </rPr>
          <t xml:space="preserve">
Chốt tháng 7</t>
        </r>
      </text>
    </comment>
    <comment ref="BA5" authorId="0" shapeId="0" xr:uid="{00000000-0006-0000-0200-000002000000}">
      <text>
        <r>
          <rPr>
            <b/>
            <sz val="9"/>
            <color indexed="81"/>
            <rFont val="Tahoma"/>
            <family val="2"/>
          </rPr>
          <t>Bien, Nguyen Van / HSE Officer:</t>
        </r>
        <r>
          <rPr>
            <sz val="9"/>
            <color indexed="81"/>
            <rFont val="Tahoma"/>
            <family val="2"/>
          </rPr>
          <t xml:space="preserve">
chốt tháng 8
</t>
        </r>
      </text>
    </comment>
    <comment ref="BH5" authorId="0" shapeId="0" xr:uid="{00000000-0006-0000-0200-000003000000}">
      <text>
        <r>
          <rPr>
            <b/>
            <sz val="9"/>
            <color indexed="81"/>
            <rFont val="Tahoma"/>
            <family val="2"/>
          </rPr>
          <t>Bien, Nguyen Van / HSE Officer:</t>
        </r>
        <r>
          <rPr>
            <sz val="9"/>
            <color indexed="81"/>
            <rFont val="Tahoma"/>
            <family val="2"/>
          </rPr>
          <t xml:space="preserve">
Chốt tháng 9
</t>
        </r>
      </text>
    </comment>
    <comment ref="BM5" authorId="0" shapeId="0" xr:uid="{00000000-0006-0000-0200-000004000000}">
      <text>
        <r>
          <rPr>
            <b/>
            <sz val="9"/>
            <color indexed="81"/>
            <rFont val="Tahoma"/>
            <family val="2"/>
          </rPr>
          <t>Bien, Nguyen Van / HSE Officer:</t>
        </r>
        <r>
          <rPr>
            <sz val="9"/>
            <color indexed="81"/>
            <rFont val="Tahoma"/>
            <family val="2"/>
          </rPr>
          <t xml:space="preserve">
Chốt tháng 10</t>
        </r>
      </text>
    </comment>
    <comment ref="BR5" authorId="0" shapeId="0" xr:uid="{00000000-0006-0000-0200-000005000000}">
      <text>
        <r>
          <rPr>
            <b/>
            <sz val="9"/>
            <color indexed="81"/>
            <rFont val="Tahoma"/>
            <family val="2"/>
          </rPr>
          <t>Bien, Nguyen Van / HSE Officer:</t>
        </r>
        <r>
          <rPr>
            <sz val="9"/>
            <color indexed="81"/>
            <rFont val="Tahoma"/>
            <family val="2"/>
          </rPr>
          <t xml:space="preserve">
Chốt tháng 11
</t>
        </r>
      </text>
    </comment>
    <comment ref="BW5" authorId="0" shapeId="0" xr:uid="{00000000-0006-0000-0200-000006000000}">
      <text>
        <r>
          <rPr>
            <b/>
            <sz val="9"/>
            <color indexed="81"/>
            <rFont val="Tahoma"/>
            <family val="2"/>
          </rPr>
          <t>Bien, Nguyen Van / HSE Officer:</t>
        </r>
        <r>
          <rPr>
            <sz val="9"/>
            <color indexed="81"/>
            <rFont val="Tahoma"/>
            <family val="2"/>
          </rPr>
          <t xml:space="preserve">
Chót tháng 12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Nhat, Phan Minh / HSE Officer</author>
  </authors>
  <commentList>
    <comment ref="G5" authorId="0" shapeId="0" xr:uid="{00000000-0006-0000-0400-000001000000}">
      <text>
        <r>
          <rPr>
            <sz val="9"/>
            <color indexed="81"/>
            <rFont val="Tahoma"/>
            <family val="2"/>
          </rPr>
          <t>Theo số lượng đếm thực tế</t>
        </r>
      </text>
    </comment>
    <comment ref="J6" authorId="0" shapeId="0" xr:uid="{00000000-0006-0000-0400-000002000000}">
      <text>
        <r>
          <rPr>
            <sz val="9"/>
            <color indexed="81"/>
            <rFont val="Tahoma"/>
            <family val="2"/>
          </rPr>
          <t>Theo số lượng đếm thực tế</t>
        </r>
      </text>
    </comment>
    <comment ref="G9" authorId="0" shapeId="0" xr:uid="{00000000-0006-0000-0400-000003000000}">
      <text>
        <r>
          <rPr>
            <sz val="9"/>
            <color indexed="81"/>
            <rFont val="Tahoma"/>
            <family val="2"/>
          </rPr>
          <t>Theo phiếu cân tại trạm cân</t>
        </r>
      </text>
    </comment>
    <comment ref="G10" authorId="0" shapeId="0" xr:uid="{00000000-0006-0000-0400-000004000000}">
      <text>
        <r>
          <rPr>
            <sz val="9"/>
            <color indexed="81"/>
            <rFont val="Tahoma"/>
            <family val="2"/>
          </rPr>
          <t>Theo phiếu cân tại trạm cân</t>
        </r>
      </text>
    </comment>
    <comment ref="G11" authorId="0" shapeId="0" xr:uid="{00000000-0006-0000-0400-000005000000}">
      <text>
        <r>
          <rPr>
            <sz val="9"/>
            <color indexed="81"/>
            <rFont val="Tahoma"/>
            <family val="2"/>
          </rPr>
          <t>Theo phiếu cân tại trạm cân</t>
        </r>
      </text>
    </comment>
  </commentList>
</comments>
</file>

<file path=xl/sharedStrings.xml><?xml version="1.0" encoding="utf-8"?>
<sst xmlns="http://schemas.openxmlformats.org/spreadsheetml/2006/main" count="806" uniqueCount="336">
  <si>
    <t>THỐNG KÊ CHẤT THẢI NGUY HẠI PHÁT SINH NĂM 2017
Hazardous waste tracking 2017 - Sao Nam</t>
  </si>
  <si>
    <t>No.</t>
  </si>
  <si>
    <t>Theo dõi trả chứng từ</t>
  </si>
  <si>
    <t>x</t>
  </si>
  <si>
    <t>mượn</t>
  </si>
  <si>
    <t>X</t>
  </si>
  <si>
    <t>Tên chất thải
Hazardous names</t>
  </si>
  <si>
    <t>Phí xử lý mới
New processing price from Sept 2016</t>
  </si>
  <si>
    <t>Mã quản lý
Code</t>
  </si>
  <si>
    <t>JAN</t>
  </si>
  <si>
    <t>FEB</t>
  </si>
  <si>
    <t>MARCH</t>
  </si>
  <si>
    <t>APRIL</t>
  </si>
  <si>
    <t>MAY</t>
  </si>
  <si>
    <t>JUNE</t>
  </si>
  <si>
    <t>JULY</t>
  </si>
  <si>
    <t>AUGUST</t>
  </si>
  <si>
    <t>SEPT</t>
  </si>
  <si>
    <t>OCT</t>
  </si>
  <si>
    <t>NOV</t>
  </si>
  <si>
    <t>DEC</t>
  </si>
  <si>
    <t>14/1/2017</t>
  </si>
  <si>
    <t>16/1/2017</t>
  </si>
  <si>
    <t>21/1/2017</t>
  </si>
  <si>
    <t>17/02/2017</t>
  </si>
  <si>
    <t>22/02/2017</t>
  </si>
  <si>
    <t>13/3/2017</t>
  </si>
  <si>
    <t>18/3/2017</t>
  </si>
  <si>
    <t>28/3/2017</t>
  </si>
  <si>
    <t>21/4/2017</t>
  </si>
  <si>
    <t>27/4/2017</t>
  </si>
  <si>
    <t>15/5/2017</t>
  </si>
  <si>
    <t>24/5/2017</t>
  </si>
  <si>
    <t>16/6/2017</t>
  </si>
  <si>
    <t>21/6/2017</t>
  </si>
  <si>
    <t>23/6/2017</t>
  </si>
  <si>
    <t>15/7/2017</t>
  </si>
  <si>
    <t>25/7/2017</t>
  </si>
  <si>
    <t>28/7/2017</t>
  </si>
  <si>
    <t>18/8/2017</t>
  </si>
  <si>
    <t>19/8/2017</t>
  </si>
  <si>
    <t>24/8/2017</t>
  </si>
  <si>
    <t>30/8/2017</t>
  </si>
  <si>
    <t>31/8/2017</t>
  </si>
  <si>
    <t>13/09/2017</t>
  </si>
  <si>
    <t>16/09/2017</t>
  </si>
  <si>
    <t>25/09/2017</t>
  </si>
  <si>
    <t>28/09/2017</t>
  </si>
  <si>
    <t>29/09/2017</t>
  </si>
  <si>
    <t>17/10/2017</t>
  </si>
  <si>
    <t>19/10/2017</t>
  </si>
  <si>
    <t>20/10/2017</t>
  </si>
  <si>
    <t>27/10/2017</t>
  </si>
  <si>
    <t>13/11/2017</t>
  </si>
  <si>
    <t>18/11/2017</t>
  </si>
  <si>
    <t>28/11/2017</t>
  </si>
  <si>
    <t>14/12/2017</t>
  </si>
  <si>
    <t>19/12/2017</t>
  </si>
  <si>
    <t>22/12/2017</t>
  </si>
  <si>
    <t>29/12/2017</t>
  </si>
  <si>
    <t>TOTAL</t>
  </si>
  <si>
    <t>Giẻ lau + màng xốp
Rags, gloves solvent adhesive, glue, paint, waste oil</t>
  </si>
  <si>
    <t>Thùng kim loại dính sơn, keo. Metal drums containing paint, solvent…)</t>
  </si>
  <si>
    <t>Cặn sơn thải
Waste paint residue</t>
  </si>
  <si>
    <t>Xăng dầu nhớt thải
Wasted oil/petrol</t>
  </si>
  <si>
    <t>Bóng đèn huỳnh quang thải
Broken light bulb</t>
  </si>
  <si>
    <t>Dung môi solvent waste</t>
  </si>
  <si>
    <t>Chất tẩy rửa có chứa thành phần nguy hại
Hazardous solvent waste</t>
  </si>
  <si>
    <t>Keo thải</t>
  </si>
  <si>
    <t>080301</t>
  </si>
  <si>
    <t>Rác y tế
Medical waste (bandages, standing infections…)</t>
  </si>
  <si>
    <t>Quantity total</t>
  </si>
  <si>
    <t>Price total</t>
  </si>
  <si>
    <t>VAT (10%)</t>
  </si>
  <si>
    <t>Total include VAT</t>
  </si>
  <si>
    <t>NHÀ NCC THU GOM RÁC THẢI NGUY HẠI
SUBCONTRACTION COLLECTING AND TREATMENT</t>
  </si>
  <si>
    <t>VIET XANH QN</t>
  </si>
  <si>
    <t>THEO DÕI THANH TOÁN</t>
  </si>
  <si>
    <t>HĐ000693-28.02.2017
(05/01-16/01/2017)</t>
  </si>
  <si>
    <t>Chưa thanh toán</t>
  </si>
  <si>
    <t>HĐ000167, ngày 29/6/17, 1215/BXN-MTDT</t>
  </si>
  <si>
    <t>MÔI TRƯỜNG ĐÔ THỊ XUẤT HĐ, CỤ THỂ THEO CHI PHÍ TỪNG THÁNG
(22/02-11/04/2017) HĐ 000163 - ngày 31/05/17, 900/BXN-MTDT</t>
  </si>
  <si>
    <t>HĐ số 0000177, ngày 09/08/2017,  1496/BXN-MTDT</t>
  </si>
  <si>
    <t>1899/BXN-MTDT</t>
  </si>
  <si>
    <t>..</t>
  </si>
  <si>
    <t>THỐNG KÊ CHẤT THẢI NGUY HẠI PHÁT SINH NĂM 2018
Hazardous waste tracking 2018 - Sao Nam</t>
  </si>
  <si>
    <t>đã thanh toán - x</t>
  </si>
  <si>
    <t>16/1/2018</t>
  </si>
  <si>
    <t>18/1/2018</t>
  </si>
  <si>
    <t>22/1/2018</t>
  </si>
  <si>
    <t>23/01/2018</t>
  </si>
  <si>
    <t>27/01/2018</t>
  </si>
  <si>
    <t>15/3/2018</t>
  </si>
  <si>
    <t>16/3/2018</t>
  </si>
  <si>
    <t>21/3/2018</t>
  </si>
  <si>
    <t>29/3/2018</t>
  </si>
  <si>
    <t>31/3/2018</t>
  </si>
  <si>
    <t>18/4/2018</t>
  </si>
  <si>
    <t>26/04/2018</t>
  </si>
  <si>
    <t>28/04/2018</t>
  </si>
  <si>
    <t>17/05/2018</t>
  </si>
  <si>
    <t>24/05/2018</t>
  </si>
  <si>
    <t>30/05/2018</t>
  </si>
  <si>
    <t>19/6/2018</t>
  </si>
  <si>
    <t>23/6/2018</t>
  </si>
  <si>
    <t>27/06/2018</t>
  </si>
  <si>
    <t>30/6/2018</t>
  </si>
  <si>
    <t>14/07/2018</t>
  </si>
  <si>
    <t>21/07/2018</t>
  </si>
  <si>
    <t>25/07/2018</t>
  </si>
  <si>
    <t>28/07/2018</t>
  </si>
  <si>
    <t>16/08/2018</t>
  </si>
  <si>
    <t>18/08/2018</t>
  </si>
  <si>
    <t>21/08/2018</t>
  </si>
  <si>
    <t>24/08/2018</t>
  </si>
  <si>
    <t>31/08/2018</t>
  </si>
  <si>
    <t>15/9/2018</t>
  </si>
  <si>
    <t>21/9/2018</t>
  </si>
  <si>
    <t>28/09/2018</t>
  </si>
  <si>
    <t>16/10/2018</t>
  </si>
  <si>
    <t>23/10/2018</t>
  </si>
  <si>
    <t>26/10/2018</t>
  </si>
  <si>
    <t>31/10/2018</t>
  </si>
  <si>
    <t>16/11/2018</t>
  </si>
  <si>
    <t>22/11/2018</t>
  </si>
  <si>
    <t>27/11/2018</t>
  </si>
  <si>
    <t>17/12/2018</t>
  </si>
  <si>
    <t>22/12/2018</t>
  </si>
  <si>
    <t>27/12/2018</t>
  </si>
  <si>
    <t>31/12/2018</t>
  </si>
  <si>
    <t>080102</t>
  </si>
  <si>
    <t xml:space="preserve">                                                                                                                                                                               </t>
  </si>
  <si>
    <t>THỐNG KÊ CHẤT THẢI NGUY HẠI PHÁT SINH NĂM 2019
Hazardous waste tracking 2019 - Sao Nam</t>
  </si>
  <si>
    <t>Theo dõi trả chứng từ Rác</t>
  </si>
  <si>
    <t>Theo dõi trả chứng từ Phuy</t>
  </si>
  <si>
    <t>Phí xử lý mới
New processing price from Sept 2019</t>
  </si>
  <si>
    <t>JUN</t>
  </si>
  <si>
    <t>17/1/2019</t>
  </si>
  <si>
    <t>19/1/2019</t>
  </si>
  <si>
    <t>23/01/2019</t>
  </si>
  <si>
    <t>28/01/2019</t>
  </si>
  <si>
    <t>29/01/2019</t>
  </si>
  <si>
    <t>23/2/2019</t>
  </si>
  <si>
    <t>25/02/2019</t>
  </si>
  <si>
    <t>27/02/2019</t>
  </si>
  <si>
    <t>15/03/2019</t>
  </si>
  <si>
    <t>20/03/2019</t>
  </si>
  <si>
    <t>25/03/2019</t>
  </si>
  <si>
    <t>30/03/2019</t>
  </si>
  <si>
    <t>13/04/2019</t>
  </si>
  <si>
    <t>16/04/2019</t>
  </si>
  <si>
    <t>19/04/2019</t>
  </si>
  <si>
    <t>24/04/2019</t>
  </si>
  <si>
    <t>29/04/2019</t>
  </si>
  <si>
    <t>18/05/2019</t>
  </si>
  <si>
    <t>23/05/2019</t>
  </si>
  <si>
    <t>28/05/2019</t>
  </si>
  <si>
    <t>01/06/2019</t>
  </si>
  <si>
    <t>18/06/2019</t>
  </si>
  <si>
    <t>25/06/2019</t>
  </si>
  <si>
    <t>15/07/2019</t>
  </si>
  <si>
    <t>18/07/2019</t>
  </si>
  <si>
    <t>19/07/2019</t>
  </si>
  <si>
    <t>23/07/2019</t>
  </si>
  <si>
    <t>24/07/2019</t>
  </si>
  <si>
    <t>31/07/2019</t>
  </si>
  <si>
    <t>1/8/2019</t>
  </si>
  <si>
    <t>14/08/2019</t>
  </si>
  <si>
    <t>16/08/2019</t>
  </si>
  <si>
    <t>22/08/2019</t>
  </si>
  <si>
    <t>29/08/2019</t>
  </si>
  <si>
    <t>31/08/2019</t>
  </si>
  <si>
    <t>13/9/2019</t>
  </si>
  <si>
    <t>17/9/2019</t>
  </si>
  <si>
    <t>21/09/2019</t>
  </si>
  <si>
    <t>26/09/2019</t>
  </si>
  <si>
    <t>27/09/2019</t>
  </si>
  <si>
    <t>17/10/2019</t>
  </si>
  <si>
    <t>28/10/2019</t>
  </si>
  <si>
    <t>30/10/2019</t>
  </si>
  <si>
    <t>13/11/2019</t>
  </si>
  <si>
    <t>16/11/2019</t>
  </si>
  <si>
    <t>23/11/2019</t>
  </si>
  <si>
    <t>30/11/2019</t>
  </si>
  <si>
    <t>12/12/2019</t>
  </si>
  <si>
    <t>21/12/2019</t>
  </si>
  <si>
    <t>24/12/2019</t>
  </si>
  <si>
    <t>Thùng nhựa keo hóa chất dính thành phần nguy hại - đế sắt (thùng 1000 lít)
Plastic drums containing paint, solvent…)</t>
  </si>
  <si>
    <t>Cặn sơn, sơn và véc ni có dung môi hữu cơ hoặc các thành phần nguy hại khác</t>
  </si>
  <si>
    <t>080101</t>
  </si>
  <si>
    <t>Huyền phù nước thải lẫn sơn hoặc véc ni có dung môi hữu cơ hoặc các thành phần nguy hại khác</t>
  </si>
  <si>
    <t>080104</t>
  </si>
  <si>
    <t>Giấy nhám dính sơn và dung môi thải</t>
  </si>
  <si>
    <t>080201</t>
  </si>
  <si>
    <t>TỔNG TIỀN:</t>
  </si>
  <si>
    <t>THỐNG KÊ CHẤT THẢI NGUY HẠI PHÁT SINH NĂM 2024
Hazardous waste tracking 2024 - Rochdale Spears P1</t>
  </si>
  <si>
    <t>Theo dõi trả chứng từ CTNH</t>
  </si>
  <si>
    <t>Oct</t>
  </si>
  <si>
    <t>Nov</t>
  </si>
  <si>
    <t>Dec</t>
  </si>
  <si>
    <t>17/01/2024</t>
  </si>
  <si>
    <t>29/01/2024</t>
  </si>
  <si>
    <t>03/02/2024</t>
  </si>
  <si>
    <t>08/03/2024</t>
  </si>
  <si>
    <t>25/03/2024</t>
  </si>
  <si>
    <t>15/04/2024</t>
  </si>
  <si>
    <t>04/05/2024</t>
  </si>
  <si>
    <t>20/05/2024</t>
  </si>
  <si>
    <t>25/05/2024</t>
  </si>
  <si>
    <t>31/05/2024</t>
  </si>
  <si>
    <t>10/06/2024</t>
  </si>
  <si>
    <t>17/06/2024</t>
  </si>
  <si>
    <t>16/7/2024</t>
  </si>
  <si>
    <r>
      <t xml:space="preserve">Bao bì cứng thải bằng kim loại bao gồm cả bình chứa áp suất bảo đảm rỗng hoàn toàn. Loại 200L </t>
    </r>
    <r>
      <rPr>
        <i/>
        <sz val="13"/>
        <color theme="8" tint="-0.249977111117893"/>
        <rFont val="Times New Roman"/>
        <family val="1"/>
      </rPr>
      <t>Metal drums containing paint, solvents, lubricants, chemicals, adhesive hazardous components</t>
    </r>
  </si>
  <si>
    <t>18 01 02</t>
  </si>
  <si>
    <r>
      <t xml:space="preserve">Bao bì cứng thải bằng nhựa </t>
    </r>
    <r>
      <rPr>
        <i/>
        <sz val="13"/>
        <color theme="8" tint="-0.249977111117893"/>
        <rFont val="Times New Roman"/>
        <family val="1"/>
      </rPr>
      <t>Plastic tanks</t>
    </r>
  </si>
  <si>
    <t>18 01 03</t>
  </si>
  <si>
    <r>
      <t xml:space="preserve">Các loại dung môi và hỗn hợp dung môi thải khác </t>
    </r>
    <r>
      <rPr>
        <i/>
        <sz val="13"/>
        <color theme="8" tint="-0.249977111117893"/>
        <rFont val="Times New Roman"/>
        <family val="1"/>
      </rPr>
      <t>Slovents waste</t>
    </r>
  </si>
  <si>
    <t>17 08 03</t>
  </si>
  <si>
    <r>
      <t xml:space="preserve">Chất kết dính và chất bịt kín thải có dung môi hữu cơ hoặc các thành phần nguy hại khác </t>
    </r>
    <r>
      <rPr>
        <i/>
        <sz val="13"/>
        <color theme="8" tint="-0.249977111117893"/>
        <rFont val="Times New Roman"/>
        <family val="1"/>
      </rPr>
      <t>Adhesives waste</t>
    </r>
  </si>
  <si>
    <t>08 03 01</t>
  </si>
  <si>
    <r>
      <t>Bùn thải lẫn sơn hoặc véc ni có dung môi hữu cơ hoặc các thành phần nguy hại khác</t>
    </r>
    <r>
      <rPr>
        <i/>
        <sz val="13"/>
        <color theme="8" tint="-0.249977111117893"/>
        <rFont val="Times New Roman"/>
        <family val="1"/>
      </rPr>
      <t xml:space="preserve"> Slugde waste or vecni waste</t>
    </r>
  </si>
  <si>
    <t>08 01 02</t>
  </si>
  <si>
    <r>
      <t>Hộp mực in thải có các thành phần nguy hại</t>
    </r>
    <r>
      <rPr>
        <i/>
        <sz val="13"/>
        <color theme="8" tint="-0.249977111117893"/>
        <rFont val="Times New Roman"/>
        <family val="1"/>
      </rPr>
      <t xml:space="preserve"> Ink cartridge</t>
    </r>
  </si>
  <si>
    <t>08 02 04</t>
  </si>
  <si>
    <r>
      <t>Pin, ắc quy chì thải</t>
    </r>
    <r>
      <rPr>
        <i/>
        <sz val="13"/>
        <color theme="8" tint="-0.249977111117893"/>
        <rFont val="Times New Roman"/>
        <family val="1"/>
      </rPr>
      <t xml:space="preserve"> Batteries, waste lead batteries</t>
    </r>
  </si>
  <si>
    <t>19 06 01</t>
  </si>
  <si>
    <r>
      <t xml:space="preserve">Bóng đèn huỳnh quang và các loại thủy tinh hoạt tính thải </t>
    </r>
    <r>
      <rPr>
        <i/>
        <sz val="13"/>
        <color theme="8" tint="-0.249977111117893"/>
        <rFont val="Times New Roman"/>
        <family val="1"/>
      </rPr>
      <t>Broken light bulb and glass broken</t>
    </r>
  </si>
  <si>
    <t>16 01 06</t>
  </si>
  <si>
    <r>
      <t xml:space="preserve">Chất hấp thụ, vật liệu lọc (bao gồm cả vật liệu lọc dầu chưa nêu tại các mã khác), giẻ lau, vải bảo vệ thải bị nhiễm các thành phần nguy hại </t>
    </r>
    <r>
      <rPr>
        <i/>
        <sz val="13"/>
        <color theme="8" tint="-0.249977111117893"/>
        <rFont val="Times New Roman"/>
        <family val="1"/>
      </rPr>
      <t>Porous membrane absorbs dust paint, rags, gloves solvent adhesive</t>
    </r>
  </si>
  <si>
    <t>18 02 01</t>
  </si>
  <si>
    <r>
      <t xml:space="preserve">Xăng, Dầu nhớt thải </t>
    </r>
    <r>
      <rPr>
        <i/>
        <sz val="13"/>
        <color theme="8" tint="-0.249977111117893"/>
        <rFont val="Times New Roman"/>
        <family val="1"/>
      </rPr>
      <t>Oil, gas waste</t>
    </r>
  </si>
  <si>
    <t>17 02 03</t>
  </si>
  <si>
    <r>
      <t xml:space="preserve">Chất thải lây nhiễm (bao gồm cả chất thải sắc nhọn) </t>
    </r>
    <r>
      <rPr>
        <i/>
        <sz val="13"/>
        <color theme="8" tint="-0.249977111117893"/>
        <rFont val="Times New Roman"/>
        <family val="1"/>
      </rPr>
      <t>Medical waste bandages, standing infections, medications down… (inlcuing shaper waste)</t>
    </r>
  </si>
  <si>
    <t>13 01 01</t>
  </si>
  <si>
    <r>
      <t xml:space="preserve">Hỗn hợp dầu mỡ thải và chất béo độc hại từ quá trình phân tách dầu/nước </t>
    </r>
    <r>
      <rPr>
        <i/>
        <sz val="13"/>
        <color theme="8" tint="-0.249977111117893"/>
        <rFont val="Times New Roman"/>
        <family val="1"/>
      </rPr>
      <t>Waste grease, fatty acid from disposal process of oil/water</t>
    </r>
  </si>
  <si>
    <t>12 06 04</t>
  </si>
  <si>
    <r>
      <t xml:space="preserve">Bùn thải có các thành phần nguy hại từ các quá trình xử lý nước thải công nghiệp khác </t>
    </r>
    <r>
      <rPr>
        <i/>
        <sz val="13"/>
        <color theme="8" tint="-0.249977111117893"/>
        <rFont val="Times New Roman"/>
        <family val="1"/>
      </rPr>
      <t>Slugde from wastewater treatment system</t>
    </r>
  </si>
  <si>
    <t>12 06 05</t>
  </si>
  <si>
    <r>
      <t xml:space="preserve">Mùn cưa, phôi bào, đầu mẩu, gỗ thừa, ván và gỗ dán vụn thải có các thành phần nguy hại </t>
    </r>
    <r>
      <rPr>
        <i/>
        <sz val="13"/>
        <color theme="8" tint="-0.249977111117893"/>
        <rFont val="Times New Roman"/>
        <family val="1"/>
      </rPr>
      <t>Wood infected chemical</t>
    </r>
  </si>
  <si>
    <t>09 01 01</t>
  </si>
  <si>
    <r>
      <t xml:space="preserve">Huyền phù nước thải lẫn sơn hoặc véc ni có dung môi hữu cơ hoặc các thành phần nguy hại khác </t>
    </r>
    <r>
      <rPr>
        <i/>
        <sz val="13"/>
        <color theme="8" tint="-0.249977111117893"/>
        <rFont val="Times New Roman"/>
        <family val="1"/>
      </rPr>
      <t>Chemicals waste</t>
    </r>
  </si>
  <si>
    <t>08 01 04</t>
  </si>
  <si>
    <r>
      <t xml:space="preserve">Da thú có các thành phần nguy hại thải bỏ từ quá trình thuộc da và các quá trình liên quan </t>
    </r>
    <r>
      <rPr>
        <i/>
        <sz val="13"/>
        <color theme="8" tint="-0.249977111117893"/>
        <rFont val="Times New Roman"/>
        <family val="1"/>
      </rPr>
      <t>Leather waste with chemicals</t>
    </r>
  </si>
  <si>
    <t>10 01 02</t>
  </si>
  <si>
    <r>
      <t xml:space="preserve">Vật thể dùng để mài đã qua sử dụng có các thành phần nguy hại (ví dụ đá mài, giấy ráp...) </t>
    </r>
    <r>
      <rPr>
        <i/>
        <sz val="13"/>
        <color theme="8" tint="-0.249977111117893"/>
        <rFont val="Times New Roman"/>
        <family val="1"/>
      </rPr>
      <t>Grinding waste process (Grinding stone, sandpaper…)</t>
    </r>
  </si>
  <si>
    <t>07 03 10</t>
  </si>
  <si>
    <r>
      <t xml:space="preserve">Cặn sơn, sơn và véc ni thải có dung môi hữu cơ hoặc các thành phần nguy hại khác </t>
    </r>
    <r>
      <rPr>
        <i/>
        <sz val="13"/>
        <color theme="8" tint="-0.249977111117893"/>
        <rFont val="Times New Roman"/>
        <family val="1"/>
      </rPr>
      <t>Waste paint residue</t>
    </r>
  </si>
  <si>
    <t>08 01 01</t>
  </si>
  <si>
    <t>VAT (8%)</t>
  </si>
  <si>
    <t>TỔNG TIỀN (có thuế):</t>
  </si>
  <si>
    <t>xx</t>
  </si>
  <si>
    <t>thiếu 90 phuy</t>
  </si>
  <si>
    <t>THỐNG KÊ CHẤT THẢI NGUY HẠI PHÁT SINH NĂM 2026
Hazardous waste tracking 2026 - Rochdale Spears P1</t>
  </si>
  <si>
    <t>FEB- tháng 2</t>
  </si>
  <si>
    <t>Thiếu CT</t>
  </si>
  <si>
    <t>THỐNG KÊ CHẤT THẢI NGUY HẠI PHÁT SINH NĂM 2025
Hazardous waste tracking 2025 - Rochdale Spears P1</t>
  </si>
  <si>
    <t>P1-THEO DÕI PHUY NỢ</t>
  </si>
  <si>
    <t>THÁNG</t>
  </si>
  <si>
    <t>Ngày thu gom phuy rỗng</t>
  </si>
  <si>
    <t>Phuy nợ cũ</t>
  </si>
  <si>
    <t>Phuy trả</t>
  </si>
  <si>
    <t>Phuy mượn</t>
  </si>
  <si>
    <t>TỔNG NỢ</t>
  </si>
  <si>
    <t>01/11</t>
  </si>
  <si>
    <t>09-12</t>
  </si>
  <si>
    <t>12-12</t>
  </si>
  <si>
    <t>BẢNG TỔNG HỢP SỐ LIỆU CÂN RÁC THẢI NGUY HẠI</t>
  </si>
  <si>
    <t>Ngày</t>
  </si>
  <si>
    <t>Tháng</t>
  </si>
  <si>
    <t>Năm</t>
  </si>
  <si>
    <t>Số liệu cân giẻ lau dính hóa chất</t>
  </si>
  <si>
    <t>Số liệu cân nước thải hóa chất</t>
  </si>
  <si>
    <t>Bảng tổng kết số liệu cân</t>
  </si>
  <si>
    <t>Tổng phuy</t>
  </si>
  <si>
    <t>Phuy</t>
  </si>
  <si>
    <t>Số phuy</t>
  </si>
  <si>
    <t>Số tank</t>
  </si>
  <si>
    <t>Khối lượng (Kg)</t>
  </si>
  <si>
    <t>STT</t>
  </si>
  <si>
    <t>Mã CTNH</t>
  </si>
  <si>
    <t>Loại</t>
  </si>
  <si>
    <t>Số liệu</t>
  </si>
  <si>
    <t>Đơn vị</t>
  </si>
  <si>
    <t>Tổng khối lượng giẻ lau đã trừ phuy</t>
  </si>
  <si>
    <t>Kg</t>
  </si>
  <si>
    <t>Cặn sơn</t>
  </si>
  <si>
    <t>kg</t>
  </si>
  <si>
    <t>Nước thải</t>
  </si>
  <si>
    <t>Số liệu cân xe CTNH</t>
  </si>
  <si>
    <t>Nước Canteen</t>
  </si>
  <si>
    <t>KL Xe + Phuy mượn + CTNH</t>
  </si>
  <si>
    <t>Số liệu cân nước thải canteen</t>
  </si>
  <si>
    <t>Bóng đèn</t>
  </si>
  <si>
    <t>KL Xe + Phuy trả</t>
  </si>
  <si>
    <t>Khối lượng</t>
  </si>
  <si>
    <t>Cái</t>
  </si>
  <si>
    <t>KL CTNH + KL Phuy chênh lệch</t>
  </si>
  <si>
    <t>Tank</t>
  </si>
  <si>
    <t>KL CTNH (đã trừ phuy xử lý)</t>
  </si>
  <si>
    <t>Giẻ lau</t>
  </si>
  <si>
    <t>Pin, ắc quy</t>
  </si>
  <si>
    <t>Số liệu cân lon keo Dog-X66</t>
  </si>
  <si>
    <t>Số liệu cân thùng pê</t>
  </si>
  <si>
    <t>Bảng tổng kết số liệu phuy mượn - trả</t>
  </si>
  <si>
    <t>Số thùng</t>
  </si>
  <si>
    <t>Phuy thiếu lần lấy trước</t>
  </si>
  <si>
    <t>Tổng nhà thầu phải trả</t>
  </si>
  <si>
    <t>Số liệu cân bóng đèn</t>
  </si>
  <si>
    <t>Số liệu cân pin ắc quy</t>
  </si>
  <si>
    <t>Số liệu phuy nắp nhỏ</t>
  </si>
  <si>
    <t>Số lượng (cái)</t>
  </si>
  <si>
    <t>Bao bì cứng thải bằng kim loại bao gồm cả bình chứa áp suất bảo đảm rỗng hoàn toàn. Loại 200L Metal drums containing paint, solvents, lubricants, chemicals, adhesive hazardous components 18 01 02 Cái</t>
  </si>
  <si>
    <t>35,000 2 Bao bì cứng thải bằng nhựa Plastic tanks 18 01 03 Cái</t>
  </si>
  <si>
    <t>175,000 3 Các loại dung môi và hỗn hợp dung môi thải khác Slovents waste 17 08 03 kg</t>
  </si>
  <si>
    <t>5,500 4 Chất kết dính và chất bịt kín thải có dung môi hữu cơ hoặc các thành phần nguy hại khác 08 03 01 kg</t>
  </si>
  <si>
    <t>Adhesives waste 5 Bùn thải lẫn sơn hoặc véc ni có dung môi hữu cơ hoặc các thành phần nguy hại khác Slugde waste or vecni waste 08 01 02 kg</t>
  </si>
  <si>
    <t>6,700 6 Hộp mực in thải có các thành phần nguy hại Ink cartridge 08 02 04 kg</t>
  </si>
  <si>
    <t>6,700 7 Pin, ắc quy chì thải Batteries, waste lead batteries 19 06 01 kg</t>
  </si>
  <si>
    <t>6,700 8 Bóng đèn huỳnh quang và các loại thủy tinh hoạt tính thải Broken light bulb and glass broken 16 01 06 kg</t>
  </si>
  <si>
    <t>6,700 9 Chất hấp thụ, vật liệu lọc (bao gồm cả vật liệu lọc dầu chưa nêu tại các mã khác), giẻ lau, vải bảo vệ thải bị nhiễm các thành phần nguy hại Porous membrane absorbs dust paint, rags, gloves solvent adhesive</t>
  </si>
  <si>
    <t>18 02 01 kg</t>
  </si>
  <si>
    <t>6,700 10 Xăng, Dầu nhớt thải Oil, gas waste 17 02 03 kg</t>
  </si>
  <si>
    <t>5,500 11 Chất thải lây nhiễm (bao gồm cả chất thải sắc nhọn) Medical waste bandages, standing infections, medications down… (inlcuing shaper waste) 13 01 01 kg</t>
  </si>
  <si>
    <t>6,700 12 Hỗn hợp dầu mỡ thải và chất béo độc hại từ quá trình phân tách dầu/nước Waste grease, fatty acid from disposal process of oil/water 12 06 04 kg</t>
  </si>
  <si>
    <t>5,500 13 Bùn thải có các thành phần nguy hại từ các quá trình xử lý nước thải công nghiệp khác Slugde from wastewater treatment system 12 06 06 kg</t>
  </si>
  <si>
    <t>5,500 14 Mùn cưa, phôi bào, đầu mẩu, gỗ thừa, ván và gỗ dán vụn thải có các thành phần nguy hại Wood infected chemical 09 01 01 kg</t>
  </si>
  <si>
    <t>5,500 15 Huyền phù nước thải lẫn sơn hoặc véc ni có dung môi hữu cơ hoặc các thành phần nguy hại khác Chemicals waste 08 01 04 kg</t>
  </si>
  <si>
    <t>5,500 16 Da thú có các thành phần nguy hại thải bỏ từ quá trình thuộc da và các quá trình liên quan Leather waste with chemicals 10 01 02 kg</t>
  </si>
  <si>
    <t>5,500 17 Vật thể dùng để mài đã qua sử dụng có các thành phần nguy hại (ví dụ đá mài, giấy ráp...) Grinding waste process (Grinding stone, sandpaper…) 07 03 10 kg</t>
  </si>
  <si>
    <t>5,500 18 Cặn sơn, sơn và véc ni thải có dung môi hữu cơ hoặc các thành phần nguy hại khác Waste paint residue 08 01 01 kg</t>
  </si>
  <si>
    <t>June</t>
  </si>
  <si>
    <t>P1</t>
  </si>
  <si>
    <t>July</t>
  </si>
  <si>
    <t>p2</t>
  </si>
  <si>
    <t>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</si>
</sst>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409]d\-mmm;@"/>
    <numFmt numFmtId="166" formatCode="_(* #,##0.0_);_(* \(#,##0.0\);_(* &quot;-&quot;?_);_(@_)"/>
  </numFmts>
  <fonts count="24" x14ac:knownFonts="1">
    <font>
      <sz val="11"/>
      <color theme="1"/>
      <name val="Calibri"/>
      <family val="2"/>
      <scheme val="minor"/>
    </font>
    <font>
      <sz val="11"/>
      <color theme="1"/>
      <name val="Calibri"/>
      <family val="2"/>
      <scheme val="minor"/>
    </font>
    <font>
      <b/>
      <sz val="16"/>
      <color theme="1"/>
      <name val="Times New Roman"/>
      <family val="1"/>
    </font>
    <font>
      <b/>
      <sz val="13"/>
      <color theme="1"/>
      <name val="Times New Roman"/>
      <family val="1"/>
    </font>
    <font>
      <sz val="13"/>
      <color theme="1"/>
      <name val="Times New Roman"/>
      <family val="1"/>
    </font>
    <font>
      <b/>
      <sz val="13"/>
      <color rgb="FFFF0000"/>
      <name val="Times New Roman"/>
      <family val="1"/>
    </font>
    <font>
      <sz val="13"/>
      <color rgb="FFFF0000"/>
      <name val="Times New Roman"/>
      <family val="1"/>
    </font>
    <font>
      <b/>
      <i/>
      <sz val="13"/>
      <color theme="1"/>
      <name val="Times New Roman"/>
      <family val="1"/>
    </font>
    <font>
      <b/>
      <i/>
      <sz val="13"/>
      <color rgb="FFFF0000"/>
      <name val="Times New Roman"/>
      <family val="1"/>
    </font>
    <font>
      <b/>
      <sz val="13"/>
      <color theme="9" tint="-0.249977111117893"/>
      <name val="Times New Roman"/>
      <family val="1"/>
    </font>
    <font>
      <b/>
      <sz val="13"/>
      <color theme="0"/>
      <name val="Times New Roman"/>
      <family val="1"/>
    </font>
    <font>
      <b/>
      <sz val="13"/>
      <color theme="9" tint="0.39997558519241921"/>
      <name val="Times New Roman"/>
      <family val="1"/>
    </font>
    <font>
      <b/>
      <sz val="13"/>
      <name val="Times New Roman"/>
      <family val="1"/>
    </font>
    <font>
      <sz val="13"/>
      <name val="Times New Roman"/>
      <family val="1"/>
    </font>
    <font>
      <sz val="9"/>
      <color indexed="81"/>
      <name val="Tahoma"/>
      <family val="2"/>
    </font>
    <font>
      <b/>
      <sz val="9"/>
      <color indexed="81"/>
      <name val="Tahoma"/>
      <family val="2"/>
    </font>
    <font>
      <i/>
      <sz val="13"/>
      <color theme="8" tint="-0.249977111117893"/>
      <name val="Times New Roman"/>
      <family val="1"/>
    </font>
    <font>
      <b/>
      <sz val="11"/>
      <color theme="1"/>
      <name val="Calibri"/>
      <family val="2"/>
      <scheme val="minor"/>
    </font>
    <font>
      <b/>
      <sz val="11"/>
      <color rgb="FFFF0000"/>
      <name val="Calibri"/>
      <family val="2"/>
      <scheme val="minor"/>
    </font>
    <font>
      <b/>
      <sz val="11"/>
      <name val="Calibri"/>
      <family val="2"/>
      <scheme val="minor"/>
    </font>
    <font>
      <b/>
      <sz val="14"/>
      <color rgb="FFFF0000"/>
      <name val="Calibri"/>
      <family val="2"/>
      <scheme val="minor"/>
    </font>
    <font>
      <b/>
      <sz val="11"/>
      <color theme="0"/>
      <name val="Calibri"/>
      <family val="2"/>
      <scheme val="minor"/>
    </font>
    <font>
      <b/>
      <sz val="14"/>
      <color theme="1"/>
      <name val="Calibri"/>
      <family val="2"/>
      <scheme val="minor"/>
    </font>
    <font>
      <sz val="8"/>
      <name val="Calibri"/>
      <family val="2"/>
      <scheme val="minor"/>
    </font>
  </fonts>
  <fills count="32">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7"/>
        <bgColor indexed="64"/>
      </patternFill>
    </fill>
    <fill>
      <patternFill patternType="solid">
        <fgColor theme="8" tint="0.39997558519241921"/>
        <bgColor indexed="64"/>
      </patternFill>
    </fill>
    <fill>
      <patternFill patternType="solid">
        <fgColor rgb="FFFFC000"/>
        <bgColor indexed="64"/>
      </patternFill>
    </fill>
    <fill>
      <patternFill patternType="solid">
        <fgColor theme="7" tint="0.59999389629810485"/>
        <bgColor indexed="64"/>
      </patternFill>
    </fill>
    <fill>
      <patternFill patternType="solid">
        <fgColor rgb="FF1C8094"/>
        <bgColor indexed="64"/>
      </patternFill>
    </fill>
    <fill>
      <patternFill patternType="solid">
        <fgColor rgb="FFC9BADE"/>
        <bgColor indexed="64"/>
      </patternFill>
    </fill>
    <fill>
      <patternFill patternType="solid">
        <fgColor rgb="FFF6AD80"/>
        <bgColor indexed="64"/>
      </patternFill>
    </fill>
    <fill>
      <patternFill patternType="solid">
        <fgColor theme="5" tint="0.79998168889431442"/>
        <bgColor indexed="64"/>
      </patternFill>
    </fill>
    <fill>
      <patternFill patternType="solid">
        <fgColor rgb="FF92D050"/>
        <bgColor indexed="64"/>
      </patternFill>
    </fill>
    <fill>
      <patternFill patternType="solid">
        <fgColor theme="9" tint="0.39997558519241921"/>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9" tint="-0.499984740745262"/>
        <bgColor indexed="64"/>
      </patternFill>
    </fill>
    <fill>
      <patternFill patternType="solid">
        <fgColor theme="2"/>
        <bgColor indexed="64"/>
      </patternFill>
    </fill>
    <fill>
      <patternFill patternType="solid">
        <fgColor theme="5"/>
        <bgColor indexed="64"/>
      </patternFill>
    </fill>
    <fill>
      <patternFill patternType="solid">
        <fgColor theme="9"/>
        <bgColor indexed="64"/>
      </patternFill>
    </fill>
    <fill>
      <patternFill patternType="solid">
        <fgColor rgb="FF7030A0"/>
        <bgColor indexed="64"/>
      </patternFill>
    </fill>
    <fill>
      <patternFill patternType="solid">
        <fgColor theme="4" tint="0.79998168889431442"/>
        <bgColor indexed="64"/>
      </patternFill>
    </fill>
    <fill>
      <patternFill patternType="solid">
        <fgColor rgb="FF00B050"/>
        <bgColor indexed="64"/>
      </patternFill>
    </fill>
    <fill>
      <patternFill patternType="solid">
        <fgColor theme="8"/>
        <bgColor indexed="64"/>
      </patternFill>
    </fill>
    <fill>
      <patternFill patternType="solid">
        <fgColor theme="4"/>
        <bgColor indexed="64"/>
      </patternFill>
    </fill>
    <fill>
      <patternFill patternType="solid">
        <fgColor theme="3"/>
        <bgColor indexed="64"/>
      </patternFill>
    </fill>
    <fill>
      <patternFill patternType="solid">
        <fgColor rgb="FFFF0000"/>
        <bgColor indexed="64"/>
      </patternFill>
    </fill>
    <fill>
      <patternFill patternType="solid">
        <fgColor rgb="FF002060"/>
        <bgColor indexed="64"/>
      </patternFill>
    </fill>
    <fill>
      <patternFill patternType="solid">
        <fgColor theme="5" tint="0.39997558519241921"/>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diagonalUp="1">
      <left style="medium">
        <color indexed="64"/>
      </left>
      <right style="thin">
        <color indexed="64"/>
      </right>
      <top style="thin">
        <color indexed="64"/>
      </top>
      <bottom style="thin">
        <color indexed="64"/>
      </bottom>
      <diagonal style="thin">
        <color indexed="64"/>
      </diagonal>
    </border>
    <border diagonalUp="1">
      <left style="thin">
        <color indexed="64"/>
      </left>
      <right style="thin">
        <color indexed="64"/>
      </right>
      <top style="thin">
        <color indexed="64"/>
      </top>
      <bottom style="thin">
        <color indexed="64"/>
      </bottom>
      <diagonal style="thin">
        <color indexed="64"/>
      </diagonal>
    </border>
    <border diagonalUp="1">
      <left style="thin">
        <color indexed="64"/>
      </left>
      <right/>
      <top style="thin">
        <color indexed="64"/>
      </top>
      <bottom style="thin">
        <color indexed="64"/>
      </bottom>
      <diagonal style="thin">
        <color indexed="64"/>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53">
    <xf numFmtId="0" fontId="0" fillId="0" borderId="0" xfId="0"/>
    <xf numFmtId="0" fontId="3" fillId="0" borderId="0" xfId="0" applyFont="1" applyAlignment="1">
      <alignment horizontal="center"/>
    </xf>
    <xf numFmtId="0" fontId="4" fillId="0" borderId="0" xfId="0" applyFont="1"/>
    <xf numFmtId="0" fontId="3" fillId="0" borderId="0" xfId="0" applyFont="1"/>
    <xf numFmtId="0" fontId="3" fillId="0" borderId="3" xfId="0" applyFont="1" applyBorder="1" applyAlignment="1">
      <alignment horizontal="center" vertical="center"/>
    </xf>
    <xf numFmtId="0" fontId="3" fillId="0" borderId="0" xfId="0" quotePrefix="1" applyFont="1"/>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164" fontId="6" fillId="0" borderId="1" xfId="1" applyNumberFormat="1" applyFont="1" applyBorder="1" applyAlignment="1">
      <alignment horizontal="center" vertical="center" wrapText="1"/>
    </xf>
    <xf numFmtId="0" fontId="4" fillId="0" borderId="5" xfId="0" applyFont="1" applyBorder="1" applyAlignment="1">
      <alignment horizontal="center" vertical="center"/>
    </xf>
    <xf numFmtId="0" fontId="4" fillId="2" borderId="6" xfId="0" applyFont="1" applyFill="1" applyBorder="1" applyAlignment="1">
      <alignment horizontal="center" vertical="center"/>
    </xf>
    <xf numFmtId="0" fontId="4" fillId="2" borderId="1" xfId="0" applyFont="1" applyFill="1" applyBorder="1" applyAlignment="1">
      <alignment horizontal="center" vertical="center"/>
    </xf>
    <xf numFmtId="0" fontId="4" fillId="0" borderId="5" xfId="0" quotePrefix="1"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164" fontId="3" fillId="0" borderId="1" xfId="1" applyNumberFormat="1" applyFont="1" applyBorder="1" applyAlignment="1">
      <alignment horizontal="center" vertical="center" wrapText="1"/>
    </xf>
    <xf numFmtId="0" fontId="3" fillId="0" borderId="5" xfId="0" applyFont="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0" borderId="1" xfId="0" applyFont="1" applyBorder="1" applyAlignment="1">
      <alignment horizontal="center" vertical="center" wrapText="1"/>
    </xf>
    <xf numFmtId="164" fontId="3" fillId="2" borderId="6" xfId="1" applyNumberFormat="1" applyFont="1" applyFill="1" applyBorder="1" applyAlignment="1">
      <alignment horizontal="center" vertical="center"/>
    </xf>
    <xf numFmtId="164" fontId="3" fillId="2" borderId="1" xfId="1" applyNumberFormat="1" applyFont="1" applyFill="1" applyBorder="1" applyAlignment="1">
      <alignment horizontal="center" vertical="center"/>
    </xf>
    <xf numFmtId="164" fontId="3" fillId="2" borderId="8" xfId="1" applyNumberFormat="1" applyFont="1" applyFill="1" applyBorder="1" applyAlignment="1">
      <alignment horizontal="center" vertical="center"/>
    </xf>
    <xf numFmtId="164" fontId="3" fillId="2" borderId="9" xfId="1" applyNumberFormat="1" applyFont="1" applyFill="1" applyBorder="1" applyAlignment="1">
      <alignment horizontal="center" vertical="center"/>
    </xf>
    <xf numFmtId="164" fontId="3" fillId="0" borderId="0" xfId="0" applyNumberFormat="1" applyFont="1"/>
    <xf numFmtId="164" fontId="3" fillId="0" borderId="1" xfId="0" applyNumberFormat="1" applyFont="1" applyBorder="1" applyAlignment="1">
      <alignment horizontal="center" vertical="center"/>
    </xf>
    <xf numFmtId="164" fontId="4" fillId="0" borderId="0" xfId="0" applyNumberFormat="1" applyFont="1"/>
    <xf numFmtId="0" fontId="4" fillId="0" borderId="0" xfId="0" applyFont="1" applyAlignment="1">
      <alignment wrapText="1"/>
    </xf>
    <xf numFmtId="0" fontId="4" fillId="3" borderId="5" xfId="0" applyFont="1" applyFill="1" applyBorder="1" applyAlignment="1">
      <alignment horizontal="center" vertical="center"/>
    </xf>
    <xf numFmtId="0" fontId="3" fillId="3" borderId="1" xfId="0" applyFont="1" applyFill="1" applyBorder="1" applyAlignment="1">
      <alignment horizontal="center" vertical="center"/>
    </xf>
    <xf numFmtId="164" fontId="3" fillId="3" borderId="1" xfId="1" applyNumberFormat="1" applyFont="1" applyFill="1" applyBorder="1" applyAlignment="1">
      <alignment horizontal="center" vertical="center"/>
    </xf>
    <xf numFmtId="164" fontId="3" fillId="3" borderId="9" xfId="1" applyNumberFormat="1" applyFont="1" applyFill="1" applyBorder="1" applyAlignment="1">
      <alignment horizontal="center" vertical="center"/>
    </xf>
    <xf numFmtId="0" fontId="4" fillId="4" borderId="5" xfId="0" applyFont="1" applyFill="1" applyBorder="1" applyAlignment="1">
      <alignment horizontal="center" vertical="center"/>
    </xf>
    <xf numFmtId="0" fontId="4" fillId="4" borderId="7" xfId="0" applyFont="1" applyFill="1" applyBorder="1" applyAlignment="1">
      <alignment horizontal="center" vertical="center"/>
    </xf>
    <xf numFmtId="0" fontId="3" fillId="4" borderId="1" xfId="0" applyFont="1" applyFill="1" applyBorder="1" applyAlignment="1">
      <alignment horizontal="center" vertical="center"/>
    </xf>
    <xf numFmtId="164" fontId="3" fillId="4" borderId="1" xfId="1" applyNumberFormat="1" applyFont="1" applyFill="1" applyBorder="1" applyAlignment="1">
      <alignment horizontal="center" vertical="center"/>
    </xf>
    <xf numFmtId="164" fontId="3" fillId="4" borderId="9" xfId="1" applyNumberFormat="1" applyFont="1" applyFill="1" applyBorder="1" applyAlignment="1">
      <alignment horizontal="center" vertical="center"/>
    </xf>
    <xf numFmtId="0" fontId="4" fillId="5" borderId="5" xfId="0" applyFont="1" applyFill="1" applyBorder="1" applyAlignment="1">
      <alignment horizontal="center" vertical="center"/>
    </xf>
    <xf numFmtId="0" fontId="3" fillId="5" borderId="1" xfId="0" applyFont="1" applyFill="1" applyBorder="1" applyAlignment="1">
      <alignment horizontal="center" vertical="center"/>
    </xf>
    <xf numFmtId="164" fontId="3" fillId="5" borderId="1" xfId="1" applyNumberFormat="1" applyFont="1" applyFill="1" applyBorder="1" applyAlignment="1">
      <alignment horizontal="center" vertical="center"/>
    </xf>
    <xf numFmtId="164" fontId="3" fillId="5" borderId="9" xfId="1" applyNumberFormat="1" applyFont="1" applyFill="1" applyBorder="1" applyAlignment="1">
      <alignment horizontal="center" vertical="center"/>
    </xf>
    <xf numFmtId="0" fontId="4" fillId="6" borderId="5" xfId="0" applyFont="1" applyFill="1" applyBorder="1" applyAlignment="1">
      <alignment horizontal="center" vertical="center"/>
    </xf>
    <xf numFmtId="0" fontId="3" fillId="6" borderId="1" xfId="0" applyFont="1" applyFill="1" applyBorder="1" applyAlignment="1">
      <alignment horizontal="center" vertical="center"/>
    </xf>
    <xf numFmtId="164" fontId="3" fillId="6" borderId="1" xfId="1" applyNumberFormat="1" applyFont="1" applyFill="1" applyBorder="1" applyAlignment="1">
      <alignment horizontal="center" vertical="center"/>
    </xf>
    <xf numFmtId="164" fontId="3" fillId="6" borderId="9" xfId="1" applyNumberFormat="1" applyFont="1" applyFill="1" applyBorder="1" applyAlignment="1">
      <alignment horizontal="center" vertical="center"/>
    </xf>
    <xf numFmtId="14" fontId="3" fillId="5" borderId="11" xfId="0" quotePrefix="1" applyNumberFormat="1" applyFont="1" applyFill="1" applyBorder="1" applyAlignment="1">
      <alignment horizontal="center" vertical="center"/>
    </xf>
    <xf numFmtId="14" fontId="3" fillId="6" borderId="11" xfId="0" quotePrefix="1" applyNumberFormat="1" applyFont="1" applyFill="1" applyBorder="1" applyAlignment="1">
      <alignment horizontal="center" vertical="center"/>
    </xf>
    <xf numFmtId="0" fontId="5" fillId="0" borderId="0" xfId="0" applyFont="1"/>
    <xf numFmtId="164" fontId="4" fillId="0" borderId="0" xfId="1" applyNumberFormat="1" applyFont="1"/>
    <xf numFmtId="14" fontId="3" fillId="7" borderId="11" xfId="0" quotePrefix="1" applyNumberFormat="1" applyFont="1" applyFill="1" applyBorder="1" applyAlignment="1">
      <alignment horizontal="center" vertical="center"/>
    </xf>
    <xf numFmtId="0" fontId="4" fillId="7" borderId="5" xfId="0" applyFont="1" applyFill="1" applyBorder="1" applyAlignment="1">
      <alignment horizontal="center" vertical="center"/>
    </xf>
    <xf numFmtId="164" fontId="3" fillId="7" borderId="1" xfId="1" applyNumberFormat="1" applyFont="1" applyFill="1" applyBorder="1" applyAlignment="1">
      <alignment horizontal="center" vertical="center"/>
    </xf>
    <xf numFmtId="0" fontId="3" fillId="7" borderId="1" xfId="0" applyFont="1" applyFill="1" applyBorder="1" applyAlignment="1">
      <alignment horizontal="center" vertical="center"/>
    </xf>
    <xf numFmtId="164" fontId="3" fillId="7" borderId="9" xfId="1" applyNumberFormat="1" applyFont="1" applyFill="1" applyBorder="1" applyAlignment="1">
      <alignment horizontal="center" vertical="center"/>
    </xf>
    <xf numFmtId="164" fontId="3" fillId="8" borderId="1" xfId="1" applyNumberFormat="1" applyFont="1" applyFill="1" applyBorder="1" applyAlignment="1">
      <alignment horizontal="center" vertical="center"/>
    </xf>
    <xf numFmtId="14" fontId="7" fillId="2" borderId="4" xfId="0" quotePrefix="1" applyNumberFormat="1" applyFont="1" applyFill="1" applyBorder="1" applyAlignment="1">
      <alignment horizontal="center" vertical="center"/>
    </xf>
    <xf numFmtId="0" fontId="8" fillId="2" borderId="1"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 xfId="0" applyFont="1" applyFill="1" applyBorder="1" applyAlignment="1">
      <alignment horizontal="center" vertical="center"/>
    </xf>
    <xf numFmtId="164" fontId="8" fillId="2" borderId="6" xfId="1" applyNumberFormat="1" applyFont="1" applyFill="1" applyBorder="1" applyAlignment="1">
      <alignment horizontal="center" vertical="center"/>
    </xf>
    <xf numFmtId="164" fontId="8" fillId="3" borderId="1" xfId="1" applyNumberFormat="1" applyFont="1" applyFill="1" applyBorder="1" applyAlignment="1">
      <alignment horizontal="center" vertical="center"/>
    </xf>
    <xf numFmtId="164" fontId="8" fillId="2" borderId="1" xfId="1" applyNumberFormat="1" applyFont="1" applyFill="1" applyBorder="1" applyAlignment="1">
      <alignment horizontal="center" vertical="center"/>
    </xf>
    <xf numFmtId="164" fontId="8" fillId="2" borderId="9" xfId="1" applyNumberFormat="1" applyFont="1" applyFill="1" applyBorder="1" applyAlignment="1">
      <alignment horizontal="center" vertical="center"/>
    </xf>
    <xf numFmtId="164" fontId="8" fillId="3" borderId="9" xfId="1" applyNumberFormat="1" applyFont="1" applyFill="1" applyBorder="1" applyAlignment="1">
      <alignment horizontal="center" vertical="center"/>
    </xf>
    <xf numFmtId="0" fontId="9" fillId="0" borderId="1" xfId="0" applyFont="1" applyBorder="1" applyAlignment="1">
      <alignment horizontal="center" vertical="center"/>
    </xf>
    <xf numFmtId="16" fontId="9" fillId="0" borderId="1" xfId="0" quotePrefix="1" applyNumberFormat="1" applyFont="1" applyBorder="1" applyAlignment="1">
      <alignment horizontal="center" vertical="center"/>
    </xf>
    <xf numFmtId="0" fontId="5" fillId="0" borderId="1" xfId="0" applyFont="1" applyBorder="1" applyAlignment="1">
      <alignment wrapText="1"/>
    </xf>
    <xf numFmtId="14" fontId="3" fillId="4" borderId="11" xfId="0" quotePrefix="1" applyNumberFormat="1" applyFont="1" applyFill="1" applyBorder="1" applyAlignment="1">
      <alignment horizontal="center" vertical="center"/>
    </xf>
    <xf numFmtId="14" fontId="3" fillId="9" borderId="11" xfId="0" quotePrefix="1" applyNumberFormat="1" applyFont="1" applyFill="1" applyBorder="1" applyAlignment="1">
      <alignment horizontal="center" vertical="center"/>
    </xf>
    <xf numFmtId="0" fontId="4" fillId="9" borderId="5" xfId="0" applyFont="1" applyFill="1" applyBorder="1" applyAlignment="1">
      <alignment horizontal="center" vertical="center"/>
    </xf>
    <xf numFmtId="0" fontId="3" fillId="9" borderId="1" xfId="0" applyFont="1" applyFill="1" applyBorder="1" applyAlignment="1">
      <alignment horizontal="center" vertical="center"/>
    </xf>
    <xf numFmtId="164" fontId="3" fillId="9" borderId="1" xfId="1" applyNumberFormat="1" applyFont="1" applyFill="1" applyBorder="1" applyAlignment="1">
      <alignment horizontal="center" vertical="center"/>
    </xf>
    <xf numFmtId="164" fontId="3" fillId="9" borderId="9" xfId="1" applyNumberFormat="1" applyFont="1" applyFill="1" applyBorder="1" applyAlignment="1">
      <alignment horizontal="center" vertical="center"/>
    </xf>
    <xf numFmtId="14" fontId="3" fillId="2" borderId="4" xfId="0" quotePrefix="1" applyNumberFormat="1" applyFont="1" applyFill="1" applyBorder="1" applyAlignment="1">
      <alignment horizontal="center" vertical="center"/>
    </xf>
    <xf numFmtId="14" fontId="7" fillId="3" borderId="11" xfId="0" quotePrefix="1" applyNumberFormat="1" applyFont="1" applyFill="1" applyBorder="1" applyAlignment="1">
      <alignment horizontal="center" vertical="center"/>
    </xf>
    <xf numFmtId="14" fontId="3" fillId="3" borderId="11" xfId="0" quotePrefix="1" applyNumberFormat="1" applyFont="1" applyFill="1" applyBorder="1" applyAlignment="1">
      <alignment horizontal="center" vertical="center"/>
    </xf>
    <xf numFmtId="0" fontId="8" fillId="9" borderId="1" xfId="0" applyFont="1" applyFill="1" applyBorder="1" applyAlignment="1">
      <alignment wrapText="1"/>
    </xf>
    <xf numFmtId="0" fontId="10" fillId="10" borderId="3" xfId="0" quotePrefix="1" applyFont="1" applyFill="1" applyBorder="1" applyAlignment="1">
      <alignment horizontal="center" vertical="center" wrapText="1"/>
    </xf>
    <xf numFmtId="0" fontId="10" fillId="10" borderId="3" xfId="0" applyFont="1" applyFill="1" applyBorder="1" applyAlignment="1">
      <alignment horizontal="center" vertical="center"/>
    </xf>
    <xf numFmtId="43" fontId="10" fillId="10" borderId="3" xfId="1" applyFont="1" applyFill="1" applyBorder="1" applyAlignment="1">
      <alignment horizontal="center" vertical="center"/>
    </xf>
    <xf numFmtId="14" fontId="3" fillId="11" borderId="11" xfId="0" quotePrefix="1" applyNumberFormat="1" applyFont="1" applyFill="1" applyBorder="1" applyAlignment="1">
      <alignment horizontal="center" vertical="center"/>
    </xf>
    <xf numFmtId="0" fontId="4" fillId="11" borderId="5" xfId="0" applyFont="1" applyFill="1" applyBorder="1" applyAlignment="1">
      <alignment horizontal="center" vertical="center"/>
    </xf>
    <xf numFmtId="0" fontId="3" fillId="11" borderId="1" xfId="0" applyFont="1" applyFill="1" applyBorder="1" applyAlignment="1">
      <alignment horizontal="center" vertical="center"/>
    </xf>
    <xf numFmtId="164" fontId="3" fillId="11" borderId="1" xfId="1" applyNumberFormat="1" applyFont="1" applyFill="1" applyBorder="1" applyAlignment="1">
      <alignment horizontal="center" vertical="center"/>
    </xf>
    <xf numFmtId="164" fontId="3" fillId="11" borderId="9" xfId="1" applyNumberFormat="1" applyFont="1" applyFill="1" applyBorder="1" applyAlignment="1">
      <alignment horizontal="center" vertical="center"/>
    </xf>
    <xf numFmtId="14" fontId="3" fillId="12" borderId="11" xfId="0" quotePrefix="1" applyNumberFormat="1" applyFont="1" applyFill="1" applyBorder="1" applyAlignment="1">
      <alignment horizontal="center" vertical="center"/>
    </xf>
    <xf numFmtId="0" fontId="4" fillId="12" borderId="5" xfId="0" applyFont="1" applyFill="1" applyBorder="1" applyAlignment="1">
      <alignment horizontal="center" vertical="center"/>
    </xf>
    <xf numFmtId="0" fontId="3" fillId="12" borderId="1" xfId="0" applyFont="1" applyFill="1" applyBorder="1" applyAlignment="1">
      <alignment horizontal="center" vertical="center"/>
    </xf>
    <xf numFmtId="164" fontId="3" fillId="12" borderId="1" xfId="1" applyNumberFormat="1" applyFont="1" applyFill="1" applyBorder="1" applyAlignment="1">
      <alignment horizontal="center" vertical="center"/>
    </xf>
    <xf numFmtId="164" fontId="3" fillId="12" borderId="9" xfId="1" applyNumberFormat="1" applyFont="1" applyFill="1" applyBorder="1" applyAlignment="1">
      <alignment horizontal="center" vertical="center"/>
    </xf>
    <xf numFmtId="0" fontId="5" fillId="0" borderId="2" xfId="0" applyFont="1" applyBorder="1"/>
    <xf numFmtId="0" fontId="5" fillId="0" borderId="3" xfId="0" applyFont="1" applyBorder="1"/>
    <xf numFmtId="0" fontId="5" fillId="0" borderId="1" xfId="0" applyFont="1" applyBorder="1" applyAlignment="1">
      <alignment vertical="center" wrapText="1"/>
    </xf>
    <xf numFmtId="0" fontId="9" fillId="2" borderId="1" xfId="0" applyFont="1" applyFill="1" applyBorder="1" applyAlignment="1">
      <alignment horizontal="center" vertical="center"/>
    </xf>
    <xf numFmtId="14" fontId="3" fillId="13" borderId="11" xfId="0" quotePrefix="1" applyNumberFormat="1" applyFont="1" applyFill="1" applyBorder="1" applyAlignment="1">
      <alignment horizontal="center" vertical="center"/>
    </xf>
    <xf numFmtId="0" fontId="4" fillId="13" borderId="5" xfId="0" applyFont="1" applyFill="1" applyBorder="1" applyAlignment="1">
      <alignment horizontal="center" vertical="center"/>
    </xf>
    <xf numFmtId="0" fontId="3" fillId="13" borderId="1" xfId="0" applyFont="1" applyFill="1" applyBorder="1" applyAlignment="1">
      <alignment horizontal="center" vertical="center"/>
    </xf>
    <xf numFmtId="164" fontId="3" fillId="13" borderId="1" xfId="1" applyNumberFormat="1" applyFont="1" applyFill="1" applyBorder="1" applyAlignment="1">
      <alignment horizontal="center" vertical="center"/>
    </xf>
    <xf numFmtId="164" fontId="3" fillId="13" borderId="9" xfId="1" applyNumberFormat="1" applyFont="1" applyFill="1" applyBorder="1" applyAlignment="1">
      <alignment horizontal="center" vertical="center"/>
    </xf>
    <xf numFmtId="14" fontId="3" fillId="3" borderId="12" xfId="0" quotePrefix="1" applyNumberFormat="1" applyFont="1" applyFill="1" applyBorder="1" applyAlignment="1">
      <alignment horizontal="center" vertical="center"/>
    </xf>
    <xf numFmtId="0" fontId="4" fillId="3" borderId="7" xfId="0" applyFont="1" applyFill="1" applyBorder="1" applyAlignment="1">
      <alignment horizontal="center" vertical="center"/>
    </xf>
    <xf numFmtId="0" fontId="3" fillId="3" borderId="7" xfId="0" applyFont="1" applyFill="1" applyBorder="1" applyAlignment="1">
      <alignment horizontal="center" vertical="center"/>
    </xf>
    <xf numFmtId="164" fontId="3" fillId="3" borderId="7" xfId="1" applyNumberFormat="1" applyFont="1" applyFill="1" applyBorder="1" applyAlignment="1">
      <alignment horizontal="center" vertical="center"/>
    </xf>
    <xf numFmtId="164" fontId="3" fillId="3" borderId="10" xfId="1" applyNumberFormat="1" applyFont="1" applyFill="1" applyBorder="1" applyAlignment="1">
      <alignment horizontal="center" vertical="center"/>
    </xf>
    <xf numFmtId="14" fontId="3" fillId="2" borderId="11" xfId="0" quotePrefix="1" applyNumberFormat="1" applyFont="1" applyFill="1" applyBorder="1" applyAlignment="1">
      <alignment horizontal="center" vertical="center"/>
    </xf>
    <xf numFmtId="0" fontId="4" fillId="2" borderId="5" xfId="0" applyFont="1" applyFill="1" applyBorder="1" applyAlignment="1">
      <alignment horizontal="center" vertical="center"/>
    </xf>
    <xf numFmtId="0" fontId="11" fillId="2" borderId="1" xfId="0" applyFont="1" applyFill="1" applyBorder="1" applyAlignment="1">
      <alignment horizontal="center" vertical="center"/>
    </xf>
    <xf numFmtId="0" fontId="9" fillId="14" borderId="1" xfId="0" applyFont="1" applyFill="1" applyBorder="1" applyAlignment="1">
      <alignment horizontal="center" vertical="center"/>
    </xf>
    <xf numFmtId="0" fontId="5" fillId="0" borderId="3" xfId="0" applyFont="1" applyBorder="1" applyAlignment="1">
      <alignment horizontal="center"/>
    </xf>
    <xf numFmtId="0" fontId="3" fillId="0" borderId="1" xfId="0" applyFont="1" applyBorder="1" applyAlignment="1">
      <alignment wrapText="1"/>
    </xf>
    <xf numFmtId="0" fontId="5" fillId="0" borderId="1" xfId="0" applyFont="1" applyBorder="1"/>
    <xf numFmtId="164" fontId="5" fillId="0" borderId="1" xfId="1" applyNumberFormat="1" applyFont="1" applyBorder="1" applyAlignment="1">
      <alignment horizontal="center" vertical="center" wrapText="1"/>
    </xf>
    <xf numFmtId="0" fontId="3" fillId="0" borderId="5" xfId="0" applyFont="1" applyBorder="1" applyAlignment="1">
      <alignment wrapText="1"/>
    </xf>
    <xf numFmtId="0" fontId="4" fillId="4" borderId="1" xfId="0" applyFont="1" applyFill="1" applyBorder="1" applyAlignment="1">
      <alignment horizontal="center" vertical="center"/>
    </xf>
    <xf numFmtId="164" fontId="3" fillId="2" borderId="15" xfId="1" applyNumberFormat="1" applyFont="1" applyFill="1" applyBorder="1" applyAlignment="1">
      <alignment horizontal="center" vertical="center"/>
    </xf>
    <xf numFmtId="164" fontId="3" fillId="3" borderId="16" xfId="1" applyNumberFormat="1" applyFont="1" applyFill="1" applyBorder="1" applyAlignment="1">
      <alignment horizontal="center" vertical="center"/>
    </xf>
    <xf numFmtId="0" fontId="3" fillId="5" borderId="3" xfId="0" applyFont="1" applyFill="1" applyBorder="1" applyAlignment="1">
      <alignment horizontal="center" vertical="center"/>
    </xf>
    <xf numFmtId="164" fontId="3" fillId="2" borderId="3" xfId="1" applyNumberFormat="1" applyFont="1" applyFill="1" applyBorder="1" applyAlignment="1">
      <alignment horizontal="center" vertical="center"/>
    </xf>
    <xf numFmtId="164" fontId="3" fillId="5" borderId="3" xfId="1" applyNumberFormat="1" applyFont="1" applyFill="1" applyBorder="1" applyAlignment="1">
      <alignment horizontal="center" vertical="center"/>
    </xf>
    <xf numFmtId="164" fontId="3" fillId="5" borderId="17" xfId="1" applyNumberFormat="1" applyFont="1" applyFill="1" applyBorder="1" applyAlignment="1">
      <alignment horizontal="center" vertical="center"/>
    </xf>
    <xf numFmtId="0" fontId="3" fillId="2" borderId="15" xfId="0" applyFont="1" applyFill="1" applyBorder="1" applyAlignment="1">
      <alignment horizontal="center" vertical="center"/>
    </xf>
    <xf numFmtId="0" fontId="3" fillId="3" borderId="2" xfId="0" applyFont="1" applyFill="1" applyBorder="1" applyAlignment="1">
      <alignment horizontal="center" vertical="center"/>
    </xf>
    <xf numFmtId="164" fontId="3" fillId="2" borderId="2" xfId="1" applyNumberFormat="1" applyFont="1" applyFill="1" applyBorder="1" applyAlignment="1">
      <alignment horizontal="center" vertical="center"/>
    </xf>
    <xf numFmtId="164" fontId="3" fillId="3" borderId="2" xfId="1" applyNumberFormat="1" applyFont="1" applyFill="1" applyBorder="1" applyAlignment="1">
      <alignment horizontal="center" vertical="center"/>
    </xf>
    <xf numFmtId="0" fontId="9" fillId="15" borderId="1" xfId="0" applyFont="1" applyFill="1" applyBorder="1" applyAlignment="1">
      <alignment horizontal="center" vertical="center"/>
    </xf>
    <xf numFmtId="0" fontId="9" fillId="16" borderId="1" xfId="0" applyFont="1" applyFill="1" applyBorder="1" applyAlignment="1">
      <alignment horizontal="center" vertical="center"/>
    </xf>
    <xf numFmtId="14" fontId="9" fillId="0" borderId="1" xfId="0" applyNumberFormat="1" applyFont="1" applyBorder="1" applyAlignment="1">
      <alignment horizontal="center" vertical="center"/>
    </xf>
    <xf numFmtId="0" fontId="5" fillId="0" borderId="2" xfId="0" applyFont="1" applyBorder="1" applyAlignment="1">
      <alignment horizontal="center" vertical="center"/>
    </xf>
    <xf numFmtId="0" fontId="3" fillId="0" borderId="1" xfId="0" applyFont="1" applyBorder="1" applyAlignment="1">
      <alignment horizontal="right" vertical="center"/>
    </xf>
    <xf numFmtId="0" fontId="3" fillId="0" borderId="3" xfId="0" applyFont="1" applyBorder="1" applyAlignment="1">
      <alignment horizontal="right" vertical="center"/>
    </xf>
    <xf numFmtId="0" fontId="10" fillId="10" borderId="3" xfId="0" applyFont="1" applyFill="1" applyBorder="1" applyAlignment="1">
      <alignment horizontal="right" vertical="center"/>
    </xf>
    <xf numFmtId="43" fontId="10" fillId="10" borderId="3" xfId="1" applyFont="1" applyFill="1" applyBorder="1" applyAlignment="1">
      <alignment horizontal="right" vertical="center"/>
    </xf>
    <xf numFmtId="164" fontId="3" fillId="0" borderId="1" xfId="0" applyNumberFormat="1" applyFont="1" applyBorder="1" applyAlignment="1">
      <alignment horizontal="right" vertical="center"/>
    </xf>
    <xf numFmtId="0" fontId="5" fillId="0" borderId="0" xfId="0" applyFont="1" applyAlignment="1">
      <alignment horizontal="right"/>
    </xf>
    <xf numFmtId="0" fontId="3" fillId="0" borderId="0" xfId="0" applyFont="1" applyAlignment="1">
      <alignment horizontal="right"/>
    </xf>
    <xf numFmtId="0" fontId="9" fillId="17" borderId="1" xfId="0" applyFont="1" applyFill="1" applyBorder="1" applyAlignment="1">
      <alignment horizontal="center" vertical="center"/>
    </xf>
    <xf numFmtId="0" fontId="4" fillId="0" borderId="18" xfId="0" applyFont="1" applyBorder="1"/>
    <xf numFmtId="0" fontId="4" fillId="2" borderId="15" xfId="0" applyFont="1" applyFill="1" applyBorder="1" applyAlignment="1">
      <alignment horizontal="center" vertical="center"/>
    </xf>
    <xf numFmtId="0" fontId="4" fillId="5" borderId="2" xfId="0" applyFont="1" applyFill="1" applyBorder="1" applyAlignment="1">
      <alignment horizontal="center" vertical="center"/>
    </xf>
    <xf numFmtId="0" fontId="5" fillId="0" borderId="1" xfId="0" applyFont="1" applyBorder="1" applyAlignment="1">
      <alignment horizontal="center" vertical="center"/>
    </xf>
    <xf numFmtId="0" fontId="5" fillId="0" borderId="5" xfId="0" applyFont="1" applyBorder="1" applyAlignment="1">
      <alignment horizontal="center" vertical="center"/>
    </xf>
    <xf numFmtId="0" fontId="5" fillId="0" borderId="3" xfId="0" applyFont="1" applyBorder="1" applyAlignment="1">
      <alignment horizontal="center" vertical="center"/>
    </xf>
    <xf numFmtId="14" fontId="12" fillId="9" borderId="11" xfId="0" quotePrefix="1" applyNumberFormat="1" applyFont="1" applyFill="1" applyBorder="1" applyAlignment="1">
      <alignment horizontal="center" vertical="center"/>
    </xf>
    <xf numFmtId="0" fontId="13" fillId="9" borderId="5" xfId="0" applyFont="1" applyFill="1" applyBorder="1" applyAlignment="1">
      <alignment horizontal="center" vertical="center"/>
    </xf>
    <xf numFmtId="164" fontId="12" fillId="9" borderId="1" xfId="1" applyNumberFormat="1" applyFont="1" applyFill="1" applyBorder="1" applyAlignment="1">
      <alignment horizontal="center" vertical="center"/>
    </xf>
    <xf numFmtId="164" fontId="12" fillId="9" borderId="9" xfId="1" applyNumberFormat="1" applyFont="1" applyFill="1" applyBorder="1" applyAlignment="1">
      <alignment horizontal="center" vertical="center"/>
    </xf>
    <xf numFmtId="1" fontId="13" fillId="9" borderId="11" xfId="0" quotePrefix="1" applyNumberFormat="1" applyFont="1" applyFill="1" applyBorder="1" applyAlignment="1">
      <alignment horizontal="center" vertical="center"/>
    </xf>
    <xf numFmtId="14" fontId="5" fillId="0" borderId="1" xfId="0" applyNumberFormat="1" applyFont="1" applyBorder="1" applyAlignment="1">
      <alignment horizontal="center" vertical="center"/>
    </xf>
    <xf numFmtId="14" fontId="5" fillId="0" borderId="5" xfId="0" applyNumberFormat="1" applyFont="1" applyBorder="1" applyAlignment="1">
      <alignment horizontal="center" vertical="center"/>
    </xf>
    <xf numFmtId="3" fontId="0" fillId="0" borderId="0" xfId="0" applyNumberFormat="1"/>
    <xf numFmtId="0" fontId="4" fillId="17" borderId="5" xfId="0" applyFont="1" applyFill="1" applyBorder="1" applyAlignment="1">
      <alignment horizontal="center" vertical="center"/>
    </xf>
    <xf numFmtId="3" fontId="3" fillId="0" borderId="1" xfId="0" applyNumberFormat="1" applyFont="1" applyBorder="1" applyAlignment="1">
      <alignment horizontal="center" vertical="center"/>
    </xf>
    <xf numFmtId="3" fontId="3" fillId="0" borderId="1" xfId="0" applyNumberFormat="1" applyFont="1" applyBorder="1" applyAlignment="1">
      <alignment horizontal="left" vertical="center" wrapText="1"/>
    </xf>
    <xf numFmtId="3" fontId="3" fillId="0" borderId="1" xfId="1" applyNumberFormat="1" applyFont="1" applyBorder="1" applyAlignment="1">
      <alignment horizontal="center" vertical="center" wrapText="1"/>
    </xf>
    <xf numFmtId="3" fontId="3" fillId="0" borderId="5" xfId="0" applyNumberFormat="1" applyFont="1" applyBorder="1" applyAlignment="1">
      <alignment horizontal="center" vertical="center"/>
    </xf>
    <xf numFmtId="3" fontId="3" fillId="2" borderId="1" xfId="0" applyNumberFormat="1" applyFont="1" applyFill="1" applyBorder="1" applyAlignment="1">
      <alignment horizontal="center" vertical="center"/>
    </xf>
    <xf numFmtId="3" fontId="3" fillId="3" borderId="1" xfId="0" applyNumberFormat="1" applyFont="1" applyFill="1" applyBorder="1" applyAlignment="1">
      <alignment horizontal="center" vertical="center"/>
    </xf>
    <xf numFmtId="3" fontId="3" fillId="4" borderId="1" xfId="0" applyNumberFormat="1" applyFont="1" applyFill="1" applyBorder="1" applyAlignment="1">
      <alignment horizontal="center" vertical="center"/>
    </xf>
    <xf numFmtId="3" fontId="3" fillId="5" borderId="1" xfId="0" applyNumberFormat="1" applyFont="1" applyFill="1" applyBorder="1" applyAlignment="1">
      <alignment horizontal="center" vertical="center"/>
    </xf>
    <xf numFmtId="3" fontId="3" fillId="6" borderId="1" xfId="0" applyNumberFormat="1" applyFont="1" applyFill="1" applyBorder="1" applyAlignment="1">
      <alignment horizontal="center" vertical="center"/>
    </xf>
    <xf numFmtId="3" fontId="3" fillId="7" borderId="1" xfId="0" applyNumberFormat="1" applyFont="1" applyFill="1" applyBorder="1" applyAlignment="1">
      <alignment horizontal="center" vertical="center"/>
    </xf>
    <xf numFmtId="3" fontId="4" fillId="9" borderId="5" xfId="0" applyNumberFormat="1" applyFont="1" applyFill="1" applyBorder="1" applyAlignment="1">
      <alignment horizontal="center" vertical="center"/>
    </xf>
    <xf numFmtId="3" fontId="4" fillId="11" borderId="5" xfId="0" applyNumberFormat="1" applyFont="1" applyFill="1" applyBorder="1" applyAlignment="1">
      <alignment horizontal="center" vertical="center"/>
    </xf>
    <xf numFmtId="3" fontId="10" fillId="10" borderId="3" xfId="0" applyNumberFormat="1" applyFont="1" applyFill="1" applyBorder="1" applyAlignment="1">
      <alignment horizontal="right" vertical="center"/>
    </xf>
    <xf numFmtId="3" fontId="3" fillId="0" borderId="0" xfId="0" applyNumberFormat="1" applyFont="1"/>
    <xf numFmtId="165" fontId="0" fillId="0" borderId="0" xfId="0" applyNumberFormat="1"/>
    <xf numFmtId="0" fontId="0" fillId="0" borderId="1" xfId="0" applyBorder="1" applyAlignment="1">
      <alignment horizontal="center" vertical="center"/>
    </xf>
    <xf numFmtId="165" fontId="0" fillId="0" borderId="1" xfId="0" applyNumberFormat="1" applyBorder="1" applyAlignment="1">
      <alignment horizontal="center" vertical="center"/>
    </xf>
    <xf numFmtId="0" fontId="17" fillId="0" borderId="0" xfId="0" applyFont="1"/>
    <xf numFmtId="0" fontId="18" fillId="0" borderId="1" xfId="0" applyFont="1" applyBorder="1" applyAlignment="1">
      <alignment horizontal="center" vertical="center"/>
    </xf>
    <xf numFmtId="0" fontId="19" fillId="18" borderId="1" xfId="0" applyFont="1" applyFill="1" applyBorder="1" applyAlignment="1">
      <alignment horizontal="center" vertical="center" wrapText="1"/>
    </xf>
    <xf numFmtId="165" fontId="19" fillId="18" borderId="1" xfId="0" applyNumberFormat="1" applyFont="1" applyFill="1" applyBorder="1" applyAlignment="1">
      <alignment horizontal="center" vertical="center" wrapText="1"/>
    </xf>
    <xf numFmtId="3" fontId="4" fillId="0" borderId="0" xfId="0" applyNumberFormat="1" applyFont="1"/>
    <xf numFmtId="0" fontId="0" fillId="0" borderId="0" xfId="0" applyAlignment="1">
      <alignment vertical="center"/>
    </xf>
    <xf numFmtId="0" fontId="21" fillId="19" borderId="0" xfId="0" applyFont="1" applyFill="1" applyAlignment="1">
      <alignment vertical="center"/>
    </xf>
    <xf numFmtId="0" fontId="19" fillId="17" borderId="0" xfId="0" applyFont="1" applyFill="1" applyAlignment="1" applyProtection="1">
      <alignment vertical="center"/>
      <protection locked="0"/>
    </xf>
    <xf numFmtId="0" fontId="0" fillId="20" borderId="0" xfId="0" applyFill="1" applyAlignment="1">
      <alignment vertical="center"/>
    </xf>
    <xf numFmtId="0" fontId="17" fillId="16" borderId="5" xfId="0" applyFont="1" applyFill="1" applyBorder="1" applyAlignment="1">
      <alignment vertical="center"/>
    </xf>
    <xf numFmtId="0" fontId="0" fillId="16" borderId="2" xfId="0" applyFill="1" applyBorder="1" applyAlignment="1">
      <alignment vertical="center"/>
    </xf>
    <xf numFmtId="164" fontId="0" fillId="17" borderId="2" xfId="1" applyNumberFormat="1" applyFont="1" applyFill="1" applyBorder="1" applyAlignment="1" applyProtection="1">
      <alignment vertical="center"/>
      <protection locked="0"/>
    </xf>
    <xf numFmtId="0" fontId="0" fillId="16" borderId="3" xfId="0" applyFill="1" applyBorder="1" applyAlignment="1">
      <alignment vertical="center"/>
    </xf>
    <xf numFmtId="0" fontId="21" fillId="22" borderId="1" xfId="0" applyFont="1" applyFill="1" applyBorder="1" applyAlignment="1">
      <alignment horizontal="center" vertical="center"/>
    </xf>
    <xf numFmtId="0" fontId="21" fillId="23" borderId="1" xfId="0" applyFont="1" applyFill="1" applyBorder="1" applyAlignment="1">
      <alignment horizontal="center" vertical="center"/>
    </xf>
    <xf numFmtId="164" fontId="17" fillId="0" borderId="2" xfId="1" applyNumberFormat="1" applyFont="1" applyFill="1" applyBorder="1" applyAlignment="1" applyProtection="1">
      <alignment vertical="center"/>
    </xf>
    <xf numFmtId="0" fontId="0" fillId="17" borderId="1" xfId="0" applyFill="1" applyBorder="1" applyAlignment="1" applyProtection="1">
      <alignment horizontal="center" vertical="center"/>
      <protection locked="0"/>
    </xf>
    <xf numFmtId="164" fontId="17" fillId="0" borderId="1" xfId="1" applyNumberFormat="1" applyFont="1" applyBorder="1" applyAlignment="1" applyProtection="1">
      <alignment vertical="center"/>
      <protection locked="0"/>
    </xf>
    <xf numFmtId="49" fontId="0" fillId="0" borderId="1" xfId="0" applyNumberFormat="1" applyBorder="1" applyAlignment="1">
      <alignment horizontal="center" vertical="center"/>
    </xf>
    <xf numFmtId="0" fontId="0" fillId="0" borderId="1" xfId="0" applyBorder="1" applyAlignment="1">
      <alignment vertical="center"/>
    </xf>
    <xf numFmtId="0" fontId="17" fillId="0" borderId="1" xfId="1" applyNumberFormat="1" applyFont="1" applyBorder="1" applyAlignment="1" applyProtection="1">
      <alignment vertical="center"/>
    </xf>
    <xf numFmtId="0" fontId="0" fillId="24" borderId="1" xfId="0" applyFill="1" applyBorder="1" applyAlignment="1">
      <alignment horizontal="center" vertical="center"/>
    </xf>
    <xf numFmtId="49" fontId="0" fillId="24" borderId="1" xfId="0" applyNumberFormat="1" applyFill="1" applyBorder="1" applyAlignment="1">
      <alignment horizontal="center" vertical="center"/>
    </xf>
    <xf numFmtId="0" fontId="0" fillId="24" borderId="1" xfId="0" applyFill="1" applyBorder="1" applyAlignment="1">
      <alignment vertical="center"/>
    </xf>
    <xf numFmtId="0" fontId="17" fillId="24" borderId="1" xfId="1" applyNumberFormat="1" applyFont="1" applyFill="1" applyBorder="1" applyAlignment="1" applyProtection="1">
      <alignment vertical="center"/>
    </xf>
    <xf numFmtId="0" fontId="0" fillId="16" borderId="5" xfId="0" applyFill="1" applyBorder="1" applyAlignment="1">
      <alignment vertical="center"/>
    </xf>
    <xf numFmtId="164" fontId="0" fillId="17" borderId="3" xfId="1" applyNumberFormat="1" applyFont="1" applyFill="1" applyBorder="1" applyAlignment="1" applyProtection="1">
      <alignment vertical="center"/>
      <protection locked="0"/>
    </xf>
    <xf numFmtId="0" fontId="0" fillId="16" borderId="3" xfId="0" applyFill="1" applyBorder="1" applyAlignment="1">
      <alignment horizontal="center" vertical="center"/>
    </xf>
    <xf numFmtId="0" fontId="21" fillId="26" borderId="1" xfId="0" applyFont="1" applyFill="1" applyBorder="1" applyAlignment="1">
      <alignment horizontal="center" vertical="center"/>
    </xf>
    <xf numFmtId="0" fontId="21" fillId="20" borderId="0" xfId="0" applyFont="1" applyFill="1" applyAlignment="1">
      <alignment horizontal="center" vertical="center"/>
    </xf>
    <xf numFmtId="0" fontId="17" fillId="17" borderId="1" xfId="1" applyNumberFormat="1" applyFont="1" applyFill="1" applyBorder="1" applyAlignment="1" applyProtection="1">
      <alignment vertical="center"/>
      <protection locked="0"/>
    </xf>
    <xf numFmtId="164" fontId="17" fillId="16" borderId="1" xfId="1" applyNumberFormat="1" applyFont="1" applyFill="1" applyBorder="1" applyAlignment="1" applyProtection="1">
      <alignment vertical="center"/>
    </xf>
    <xf numFmtId="164" fontId="17" fillId="16" borderId="3" xfId="1" applyNumberFormat="1" applyFont="1" applyFill="1" applyBorder="1" applyAlignment="1" applyProtection="1">
      <alignment vertical="center"/>
    </xf>
    <xf numFmtId="0" fontId="19" fillId="6" borderId="1" xfId="0" applyFont="1" applyFill="1" applyBorder="1" applyAlignment="1">
      <alignment horizontal="center" vertical="center"/>
    </xf>
    <xf numFmtId="0" fontId="19" fillId="20" borderId="0" xfId="0" applyFont="1" applyFill="1" applyAlignment="1">
      <alignment horizontal="center" vertical="center"/>
    </xf>
    <xf numFmtId="164" fontId="17" fillId="0" borderId="0" xfId="1" applyNumberFormat="1" applyFont="1" applyAlignment="1" applyProtection="1">
      <alignment vertical="center"/>
    </xf>
    <xf numFmtId="0" fontId="21" fillId="27" borderId="1" xfId="0" applyFont="1" applyFill="1" applyBorder="1" applyAlignment="1">
      <alignment horizontal="center" vertical="center"/>
    </xf>
    <xf numFmtId="164" fontId="17" fillId="0" borderId="1" xfId="0" applyNumberFormat="1" applyFont="1" applyBorder="1" applyAlignment="1">
      <alignment horizontal="right" vertical="center"/>
    </xf>
    <xf numFmtId="0" fontId="17" fillId="17" borderId="1" xfId="0" applyFont="1" applyFill="1" applyBorder="1" applyAlignment="1" applyProtection="1">
      <alignment vertical="center"/>
      <protection locked="0"/>
    </xf>
    <xf numFmtId="0" fontId="21" fillId="28" borderId="1" xfId="0" applyFont="1" applyFill="1" applyBorder="1" applyAlignment="1">
      <alignment horizontal="center" vertical="center"/>
    </xf>
    <xf numFmtId="164" fontId="17" fillId="17" borderId="1" xfId="1" applyNumberFormat="1" applyFont="1" applyFill="1" applyBorder="1" applyAlignment="1" applyProtection="1">
      <alignment vertical="center"/>
      <protection locked="0"/>
    </xf>
    <xf numFmtId="164" fontId="17" fillId="20" borderId="0" xfId="1" applyNumberFormat="1" applyFont="1" applyFill="1" applyAlignment="1" applyProtection="1">
      <alignment vertical="center"/>
    </xf>
    <xf numFmtId="0" fontId="17" fillId="0" borderId="0" xfId="0" applyFont="1" applyAlignment="1">
      <alignment vertical="center"/>
    </xf>
    <xf numFmtId="0" fontId="21" fillId="29" borderId="1" xfId="0" applyFont="1" applyFill="1" applyBorder="1" applyAlignment="1">
      <alignment horizontal="center" vertical="center"/>
    </xf>
    <xf numFmtId="0" fontId="21" fillId="30" borderId="1" xfId="0" applyFont="1" applyFill="1" applyBorder="1" applyAlignment="1">
      <alignment horizontal="center" vertical="center"/>
    </xf>
    <xf numFmtId="0" fontId="0" fillId="20" borderId="0" xfId="0" applyFill="1" applyAlignment="1">
      <alignment horizontal="center" vertical="center"/>
    </xf>
    <xf numFmtId="166" fontId="4" fillId="0" borderId="0" xfId="0" applyNumberFormat="1" applyFont="1"/>
    <xf numFmtId="3" fontId="5" fillId="0" borderId="1" xfId="0" applyNumberFormat="1" applyFont="1" applyBorder="1" applyAlignment="1">
      <alignment horizontal="left" vertical="center" wrapText="1"/>
    </xf>
    <xf numFmtId="0" fontId="4" fillId="31" borderId="5" xfId="0" applyFont="1" applyFill="1" applyBorder="1" applyAlignment="1">
      <alignment horizontal="center" vertical="center"/>
    </xf>
    <xf numFmtId="3" fontId="4" fillId="31" borderId="5" xfId="0" applyNumberFormat="1" applyFont="1" applyFill="1" applyBorder="1" applyAlignment="1">
      <alignment horizontal="center" vertical="center"/>
    </xf>
    <xf numFmtId="0" fontId="3" fillId="12" borderId="5" xfId="0" applyFont="1" applyFill="1" applyBorder="1" applyAlignment="1">
      <alignment horizontal="center" vertical="center"/>
    </xf>
    <xf numFmtId="14" fontId="3" fillId="8" borderId="11" xfId="0" quotePrefix="1" applyNumberFormat="1" applyFont="1" applyFill="1" applyBorder="1" applyAlignment="1">
      <alignment horizontal="center" vertical="center"/>
    </xf>
    <xf numFmtId="0" fontId="4" fillId="8" borderId="5" xfId="0" applyFont="1" applyFill="1" applyBorder="1" applyAlignment="1">
      <alignment horizontal="center" vertical="center"/>
    </xf>
    <xf numFmtId="165" fontId="0" fillId="0" borderId="1" xfId="0" quotePrefix="1" applyNumberFormat="1" applyBorder="1" applyAlignment="1">
      <alignment horizontal="center" vertical="center"/>
    </xf>
    <xf numFmtId="164" fontId="3" fillId="8" borderId="14" xfId="1" applyNumberFormat="1" applyFont="1" applyFill="1" applyBorder="1" applyAlignment="1">
      <alignment horizontal="center" vertical="center"/>
    </xf>
    <xf numFmtId="14" fontId="4" fillId="3" borderId="11" xfId="0" quotePrefix="1" applyNumberFormat="1" applyFont="1" applyFill="1" applyBorder="1" applyAlignment="1">
      <alignment horizontal="center" vertical="center"/>
    </xf>
    <xf numFmtId="164" fontId="3" fillId="3" borderId="9" xfId="1" applyNumberFormat="1" applyFont="1" applyFill="1" applyBorder="1" applyAlignment="1">
      <alignment vertical="center"/>
    </xf>
    <xf numFmtId="164" fontId="3" fillId="4" borderId="1" xfId="1" applyNumberFormat="1" applyFont="1" applyFill="1" applyBorder="1" applyAlignment="1">
      <alignment vertical="center"/>
    </xf>
    <xf numFmtId="164" fontId="3" fillId="4" borderId="5" xfId="1" applyNumberFormat="1" applyFont="1" applyFill="1" applyBorder="1" applyAlignment="1">
      <alignment vertical="center"/>
    </xf>
    <xf numFmtId="9" fontId="4" fillId="0" borderId="0" xfId="2" applyFont="1"/>
    <xf numFmtId="164" fontId="4" fillId="12" borderId="5" xfId="0" applyNumberFormat="1" applyFont="1" applyFill="1" applyBorder="1" applyAlignment="1">
      <alignment horizontal="center" vertical="center"/>
    </xf>
    <xf numFmtId="0" fontId="0" fillId="17" borderId="1" xfId="0" applyFill="1" applyBorder="1" applyAlignment="1">
      <alignment horizontal="center" vertical="center"/>
    </xf>
    <xf numFmtId="165" fontId="0" fillId="17" borderId="1" xfId="0" applyNumberFormat="1" applyFill="1" applyBorder="1" applyAlignment="1">
      <alignment horizontal="center" vertical="center"/>
    </xf>
    <xf numFmtId="0" fontId="18" fillId="17" borderId="1" xfId="0" applyFont="1" applyFill="1" applyBorder="1" applyAlignment="1">
      <alignment horizontal="center" vertical="center"/>
    </xf>
    <xf numFmtId="14" fontId="4" fillId="2" borderId="6" xfId="0" applyNumberFormat="1" applyFont="1" applyFill="1" applyBorder="1" applyAlignment="1">
      <alignment horizontal="center" vertical="center"/>
    </xf>
    <xf numFmtId="14" fontId="4" fillId="2" borderId="1" xfId="0" applyNumberFormat="1" applyFont="1" applyFill="1" applyBorder="1" applyAlignment="1">
      <alignment horizontal="center" vertical="center"/>
    </xf>
    <xf numFmtId="14" fontId="4" fillId="3"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0" fontId="4" fillId="4" borderId="2" xfId="0" applyFont="1" applyFill="1" applyBorder="1" applyAlignment="1">
      <alignment horizontal="center" vertical="center"/>
    </xf>
    <xf numFmtId="0" fontId="4" fillId="2" borderId="26" xfId="0" applyFont="1" applyFill="1" applyBorder="1" applyAlignment="1">
      <alignment horizontal="center" vertical="center"/>
    </xf>
    <xf numFmtId="0" fontId="4" fillId="2" borderId="27" xfId="0" applyFont="1" applyFill="1" applyBorder="1" applyAlignment="1">
      <alignment horizontal="center" vertical="center"/>
    </xf>
    <xf numFmtId="0" fontId="4" fillId="3" borderId="27" xfId="0" applyFont="1" applyFill="1" applyBorder="1" applyAlignment="1">
      <alignment horizontal="center" vertical="center"/>
    </xf>
    <xf numFmtId="0" fontId="4" fillId="4" borderId="28" xfId="0" applyFont="1" applyFill="1" applyBorder="1" applyAlignment="1">
      <alignment horizontal="center" vertical="center"/>
    </xf>
    <xf numFmtId="0" fontId="4" fillId="5" borderId="28" xfId="0" applyFont="1" applyFill="1" applyBorder="1" applyAlignment="1">
      <alignment horizontal="center" vertical="center"/>
    </xf>
    <xf numFmtId="0" fontId="4" fillId="6" borderId="28" xfId="0" applyFont="1" applyFill="1" applyBorder="1" applyAlignment="1">
      <alignment horizontal="center" vertical="center"/>
    </xf>
    <xf numFmtId="0" fontId="4" fillId="7" borderId="28" xfId="0" applyFont="1" applyFill="1" applyBorder="1" applyAlignment="1">
      <alignment horizontal="center" vertical="center"/>
    </xf>
    <xf numFmtId="0" fontId="4" fillId="9" borderId="28" xfId="0" applyFont="1" applyFill="1" applyBorder="1" applyAlignment="1">
      <alignment horizontal="center" vertical="center"/>
    </xf>
    <xf numFmtId="0" fontId="4" fillId="11" borderId="28" xfId="0" applyFont="1" applyFill="1" applyBorder="1" applyAlignment="1">
      <alignment horizontal="center" vertical="center"/>
    </xf>
    <xf numFmtId="0" fontId="4" fillId="12" borderId="28" xfId="0" applyFont="1" applyFill="1" applyBorder="1" applyAlignment="1">
      <alignment horizontal="center" vertical="center"/>
    </xf>
    <xf numFmtId="0" fontId="4" fillId="8" borderId="28" xfId="0" applyFont="1" applyFill="1" applyBorder="1" applyAlignment="1">
      <alignment horizontal="center" vertical="center"/>
    </xf>
    <xf numFmtId="164" fontId="3" fillId="11" borderId="19" xfId="1" applyNumberFormat="1" applyFont="1" applyFill="1" applyBorder="1" applyAlignment="1">
      <alignment horizontal="center" vertical="center"/>
    </xf>
    <xf numFmtId="164" fontId="3" fillId="3" borderId="25" xfId="1" applyNumberFormat="1" applyFont="1" applyFill="1" applyBorder="1" applyAlignment="1">
      <alignment horizontal="center" vertical="center"/>
    </xf>
    <xf numFmtId="43" fontId="4" fillId="0" borderId="0" xfId="0" applyNumberFormat="1" applyFont="1"/>
    <xf numFmtId="164" fontId="3" fillId="2" borderId="5" xfId="1" applyNumberFormat="1" applyFont="1" applyFill="1" applyBorder="1" applyAlignment="1">
      <alignment vertical="center"/>
    </xf>
    <xf numFmtId="0" fontId="5" fillId="0" borderId="5" xfId="0" applyFont="1" applyBorder="1" applyAlignment="1">
      <alignment vertical="center"/>
    </xf>
    <xf numFmtId="164" fontId="3" fillId="5" borderId="21" xfId="1" applyNumberFormat="1" applyFont="1" applyFill="1" applyBorder="1" applyAlignment="1">
      <alignment horizontal="center"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9" borderId="1" xfId="0" applyFont="1" applyFill="1" applyBorder="1" applyAlignment="1">
      <alignment horizontal="center"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4" fillId="8" borderId="1" xfId="0" applyFont="1" applyFill="1" applyBorder="1" applyAlignment="1">
      <alignment horizontal="center" vertical="center"/>
    </xf>
    <xf numFmtId="3" fontId="4" fillId="7" borderId="5" xfId="0" applyNumberFormat="1" applyFont="1" applyFill="1" applyBorder="1" applyAlignment="1">
      <alignment horizontal="center" vertical="center"/>
    </xf>
    <xf numFmtId="43" fontId="4" fillId="0" borderId="0" xfId="1" applyFont="1"/>
    <xf numFmtId="0" fontId="3" fillId="0" borderId="5" xfId="0" applyFont="1" applyBorder="1" applyAlignment="1">
      <alignment horizontal="center" vertical="center"/>
    </xf>
    <xf numFmtId="0" fontId="3" fillId="0" borderId="2" xfId="0" applyFont="1" applyBorder="1" applyAlignment="1">
      <alignment horizontal="center" vertical="center"/>
    </xf>
    <xf numFmtId="164" fontId="3" fillId="4" borderId="5" xfId="1" applyNumberFormat="1" applyFont="1" applyFill="1" applyBorder="1" applyAlignment="1">
      <alignment horizontal="center" vertical="center"/>
    </xf>
    <xf numFmtId="164" fontId="3" fillId="4" borderId="3" xfId="1" applyNumberFormat="1" applyFont="1" applyFill="1" applyBorder="1" applyAlignment="1">
      <alignment horizontal="center" vertical="center"/>
    </xf>
    <xf numFmtId="164" fontId="3" fillId="12" borderId="21" xfId="1" applyNumberFormat="1" applyFont="1" applyFill="1" applyBorder="1" applyAlignment="1">
      <alignment horizontal="center" vertical="center"/>
    </xf>
    <xf numFmtId="164" fontId="3" fillId="12" borderId="20" xfId="1" applyNumberFormat="1" applyFont="1" applyFill="1" applyBorder="1" applyAlignment="1">
      <alignment horizontal="center" vertical="center"/>
    </xf>
    <xf numFmtId="164" fontId="3" fillId="8" borderId="5" xfId="1" applyNumberFormat="1" applyFont="1" applyFill="1" applyBorder="1" applyAlignment="1">
      <alignment horizontal="center" vertical="center"/>
    </xf>
    <xf numFmtId="164" fontId="3" fillId="8" borderId="3" xfId="1" applyNumberFormat="1" applyFont="1" applyFill="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5" fillId="0" borderId="5"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3" fillId="0" borderId="1" xfId="0" applyFont="1" applyBorder="1" applyAlignment="1">
      <alignment horizontal="center" vertical="center" wrapText="1"/>
    </xf>
    <xf numFmtId="0" fontId="5" fillId="0" borderId="5" xfId="0" applyFont="1" applyBorder="1" applyAlignment="1">
      <alignment horizontal="center" vertical="center"/>
    </xf>
    <xf numFmtId="0" fontId="5" fillId="0" borderId="3" xfId="0" applyFont="1" applyBorder="1" applyAlignment="1">
      <alignment horizontal="center" vertical="center"/>
    </xf>
    <xf numFmtId="0" fontId="5" fillId="0" borderId="2" xfId="0" applyFont="1" applyBorder="1" applyAlignment="1">
      <alignment horizontal="center" vertical="center"/>
    </xf>
    <xf numFmtId="164" fontId="3" fillId="12" borderId="19" xfId="1" applyNumberFormat="1" applyFont="1" applyFill="1" applyBorder="1" applyAlignment="1">
      <alignment horizontal="center" vertical="center"/>
    </xf>
    <xf numFmtId="164" fontId="3" fillId="6" borderId="21" xfId="1" applyNumberFormat="1" applyFont="1" applyFill="1" applyBorder="1" applyAlignment="1">
      <alignment horizontal="center" vertical="center"/>
    </xf>
    <xf numFmtId="164" fontId="3" fillId="6" borderId="20" xfId="1" applyNumberFormat="1" applyFont="1" applyFill="1" applyBorder="1" applyAlignment="1">
      <alignment horizontal="center" vertical="center"/>
    </xf>
    <xf numFmtId="164" fontId="3" fillId="9" borderId="21" xfId="1" applyNumberFormat="1" applyFont="1" applyFill="1" applyBorder="1" applyAlignment="1">
      <alignment horizontal="center" vertical="center"/>
    </xf>
    <xf numFmtId="164" fontId="3" fillId="9" borderId="19" xfId="1" applyNumberFormat="1" applyFont="1" applyFill="1" applyBorder="1" applyAlignment="1">
      <alignment horizontal="center" vertical="center"/>
    </xf>
    <xf numFmtId="164" fontId="3" fillId="7" borderId="21" xfId="1" applyNumberFormat="1" applyFont="1" applyFill="1" applyBorder="1" applyAlignment="1">
      <alignment horizontal="center" vertical="center"/>
    </xf>
    <xf numFmtId="164" fontId="3" fillId="7" borderId="19" xfId="1" applyNumberFormat="1" applyFont="1" applyFill="1" applyBorder="1" applyAlignment="1">
      <alignment horizontal="center" vertical="center"/>
    </xf>
    <xf numFmtId="164" fontId="3" fillId="7" borderId="20" xfId="1" applyNumberFormat="1" applyFont="1" applyFill="1" applyBorder="1" applyAlignment="1">
      <alignment horizontal="center" vertical="center"/>
    </xf>
    <xf numFmtId="164" fontId="3" fillId="11" borderId="19" xfId="1" applyNumberFormat="1" applyFont="1" applyFill="1" applyBorder="1" applyAlignment="1">
      <alignment horizontal="center" vertical="center"/>
    </xf>
    <xf numFmtId="164" fontId="3" fillId="11" borderId="20" xfId="1" applyNumberFormat="1" applyFont="1" applyFill="1" applyBorder="1" applyAlignment="1">
      <alignment horizontal="center" vertical="center"/>
    </xf>
    <xf numFmtId="0" fontId="5" fillId="0" borderId="5" xfId="0" applyFont="1" applyBorder="1" applyAlignment="1">
      <alignment horizontal="center" wrapText="1"/>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left" wrapText="1"/>
    </xf>
    <xf numFmtId="0" fontId="5" fillId="0" borderId="2" xfId="0" applyFont="1" applyBorder="1" applyAlignment="1">
      <alignment horizontal="left" wrapText="1"/>
    </xf>
    <xf numFmtId="0" fontId="5" fillId="0" borderId="3" xfId="0" applyFont="1" applyBorder="1" applyAlignment="1">
      <alignment horizontal="left" wrapText="1"/>
    </xf>
    <xf numFmtId="0" fontId="4" fillId="0" borderId="5" xfId="0" applyFont="1" applyBorder="1" applyAlignment="1">
      <alignment horizontal="center"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164" fontId="4" fillId="0" borderId="4" xfId="1" applyNumberFormat="1" applyFont="1" applyBorder="1" applyAlignment="1">
      <alignment horizontal="center" vertical="center" wrapText="1"/>
    </xf>
    <xf numFmtId="164" fontId="4" fillId="0" borderId="13" xfId="1" applyNumberFormat="1" applyFont="1" applyBorder="1" applyAlignment="1">
      <alignment horizontal="center" vertical="center" wrapText="1"/>
    </xf>
    <xf numFmtId="0" fontId="5" fillId="0" borderId="2" xfId="0" applyFont="1" applyBorder="1" applyAlignment="1">
      <alignment horizontal="center" wrapText="1"/>
    </xf>
    <xf numFmtId="0" fontId="5" fillId="0" borderId="5" xfId="0" applyFont="1" applyBorder="1" applyAlignment="1">
      <alignment horizontal="center"/>
    </xf>
    <xf numFmtId="0" fontId="5" fillId="0" borderId="1" xfId="0" applyFont="1" applyBorder="1" applyAlignment="1">
      <alignment horizontal="center"/>
    </xf>
    <xf numFmtId="0" fontId="5" fillId="0" borderId="1" xfId="0" applyFont="1" applyBorder="1" applyAlignment="1">
      <alignment horizontal="center" vertical="center"/>
    </xf>
    <xf numFmtId="0" fontId="4" fillId="0" borderId="14" xfId="0" applyFont="1" applyBorder="1" applyAlignment="1">
      <alignment horizontal="center" vertical="center"/>
    </xf>
    <xf numFmtId="0" fontId="4" fillId="0" borderId="4" xfId="0" applyFont="1" applyBorder="1" applyAlignment="1">
      <alignment horizontal="center" vertical="center"/>
    </xf>
    <xf numFmtId="0" fontId="3" fillId="0" borderId="5" xfId="0" applyFont="1" applyBorder="1" applyAlignment="1">
      <alignment horizontal="left" vertical="center" wrapText="1"/>
    </xf>
    <xf numFmtId="0" fontId="3" fillId="0" borderId="2" xfId="0" applyFont="1" applyBorder="1" applyAlignment="1">
      <alignment horizontal="left" vertical="center"/>
    </xf>
    <xf numFmtId="0" fontId="3" fillId="0" borderId="3" xfId="0" applyFont="1" applyBorder="1" applyAlignment="1">
      <alignment horizontal="left" vertical="center"/>
    </xf>
    <xf numFmtId="164" fontId="3" fillId="2" borderId="21" xfId="1" applyNumberFormat="1" applyFont="1" applyFill="1" applyBorder="1" applyAlignment="1">
      <alignment horizontal="center" vertical="center"/>
    </xf>
    <xf numFmtId="164" fontId="3" fillId="2" borderId="19" xfId="1" applyNumberFormat="1" applyFont="1" applyFill="1" applyBorder="1" applyAlignment="1">
      <alignment horizontal="center" vertical="center"/>
    </xf>
    <xf numFmtId="164" fontId="3" fillId="2" borderId="20" xfId="1" applyNumberFormat="1" applyFont="1" applyFill="1" applyBorder="1" applyAlignment="1">
      <alignment horizontal="center" vertical="center"/>
    </xf>
    <xf numFmtId="164" fontId="3" fillId="3" borderId="21" xfId="1" applyNumberFormat="1" applyFont="1" applyFill="1" applyBorder="1" applyAlignment="1">
      <alignment horizontal="center" vertical="center"/>
    </xf>
    <xf numFmtId="164" fontId="3" fillId="3" borderId="19" xfId="1" applyNumberFormat="1" applyFont="1" applyFill="1" applyBorder="1" applyAlignment="1">
      <alignment horizontal="center" vertical="center"/>
    </xf>
    <xf numFmtId="164" fontId="3" fillId="3" borderId="20" xfId="1" applyNumberFormat="1" applyFont="1" applyFill="1" applyBorder="1" applyAlignment="1">
      <alignment horizontal="center" vertical="center"/>
    </xf>
    <xf numFmtId="0" fontId="5" fillId="0" borderId="3" xfId="0" applyFont="1" applyBorder="1" applyAlignment="1">
      <alignment horizontal="center" wrapText="1"/>
    </xf>
    <xf numFmtId="164" fontId="3" fillId="4" borderId="2" xfId="1" applyNumberFormat="1" applyFont="1" applyFill="1" applyBorder="1" applyAlignment="1">
      <alignment horizontal="center" vertical="center"/>
    </xf>
    <xf numFmtId="164" fontId="3" fillId="5" borderId="21" xfId="1" applyNumberFormat="1" applyFont="1" applyFill="1" applyBorder="1" applyAlignment="1">
      <alignment horizontal="center" vertical="center"/>
    </xf>
    <xf numFmtId="164" fontId="3" fillId="5" borderId="19" xfId="1" applyNumberFormat="1" applyFont="1" applyFill="1" applyBorder="1" applyAlignment="1">
      <alignment horizontal="center" vertical="center"/>
    </xf>
    <xf numFmtId="164" fontId="3" fillId="5" borderId="20" xfId="1" applyNumberFormat="1" applyFont="1" applyFill="1" applyBorder="1" applyAlignment="1">
      <alignment horizontal="center" vertical="center"/>
    </xf>
    <xf numFmtId="164" fontId="3" fillId="6" borderId="19" xfId="1" applyNumberFormat="1" applyFont="1" applyFill="1" applyBorder="1" applyAlignment="1">
      <alignment horizontal="center" vertical="center"/>
    </xf>
    <xf numFmtId="0" fontId="3" fillId="0" borderId="3" xfId="0" applyFont="1" applyBorder="1" applyAlignment="1">
      <alignment horizontal="center" vertical="center"/>
    </xf>
    <xf numFmtId="164" fontId="3" fillId="8" borderId="2" xfId="1" applyNumberFormat="1" applyFont="1" applyFill="1" applyBorder="1" applyAlignment="1">
      <alignment horizontal="center" vertical="center"/>
    </xf>
    <xf numFmtId="164" fontId="3" fillId="12" borderId="1" xfId="1" applyNumberFormat="1" applyFont="1" applyFill="1" applyBorder="1" applyAlignment="1">
      <alignment horizontal="right" vertical="center"/>
    </xf>
    <xf numFmtId="164" fontId="3" fillId="12" borderId="21" xfId="1" applyNumberFormat="1" applyFont="1" applyFill="1" applyBorder="1" applyAlignment="1">
      <alignment horizontal="right" vertical="center"/>
    </xf>
    <xf numFmtId="164" fontId="3" fillId="12" borderId="19" xfId="1" applyNumberFormat="1" applyFont="1" applyFill="1" applyBorder="1" applyAlignment="1">
      <alignment horizontal="right" vertical="center"/>
    </xf>
    <xf numFmtId="164" fontId="3" fillId="3" borderId="22" xfId="1" applyNumberFormat="1" applyFont="1" applyFill="1" applyBorder="1" applyAlignment="1">
      <alignment vertical="center"/>
    </xf>
    <xf numFmtId="164" fontId="3" fillId="3" borderId="23" xfId="1" applyNumberFormat="1" applyFont="1" applyFill="1" applyBorder="1" applyAlignment="1">
      <alignment vertical="center"/>
    </xf>
    <xf numFmtId="164" fontId="3" fillId="5" borderId="22" xfId="1" applyNumberFormat="1" applyFont="1" applyFill="1" applyBorder="1" applyAlignment="1">
      <alignment horizontal="left" vertical="center"/>
    </xf>
    <xf numFmtId="164" fontId="3" fillId="5" borderId="24" xfId="1" applyNumberFormat="1" applyFont="1" applyFill="1" applyBorder="1" applyAlignment="1">
      <alignment horizontal="left" vertical="center"/>
    </xf>
    <xf numFmtId="164" fontId="3" fillId="2" borderId="5" xfId="1" applyNumberFormat="1" applyFont="1" applyFill="1" applyBorder="1" applyAlignment="1">
      <alignment horizontal="center" vertical="center"/>
    </xf>
    <xf numFmtId="164" fontId="3" fillId="2" borderId="2" xfId="1" applyNumberFormat="1" applyFont="1" applyFill="1" applyBorder="1" applyAlignment="1">
      <alignment horizontal="center" vertical="center"/>
    </xf>
    <xf numFmtId="0" fontId="20" fillId="0" borderId="0" xfId="0" applyFont="1" applyAlignment="1">
      <alignment horizontal="center"/>
    </xf>
    <xf numFmtId="0" fontId="21" fillId="26" borderId="1" xfId="0" applyFont="1" applyFill="1" applyBorder="1" applyAlignment="1">
      <alignment horizontal="center" vertical="center"/>
    </xf>
    <xf numFmtId="0" fontId="22" fillId="8" borderId="1" xfId="0" applyFont="1" applyFill="1" applyBorder="1" applyAlignment="1">
      <alignment horizontal="center" vertical="center"/>
    </xf>
    <xf numFmtId="0" fontId="21" fillId="21" borderId="5" xfId="0" applyFont="1" applyFill="1" applyBorder="1" applyAlignment="1">
      <alignment horizontal="center" vertical="center"/>
    </xf>
    <xf numFmtId="0" fontId="21" fillId="21" borderId="2" xfId="0" applyFont="1" applyFill="1" applyBorder="1" applyAlignment="1">
      <alignment horizontal="center" vertical="center"/>
    </xf>
    <xf numFmtId="0" fontId="21" fillId="21" borderId="18" xfId="0" applyFont="1" applyFill="1" applyBorder="1" applyAlignment="1">
      <alignment horizontal="center" vertical="center"/>
    </xf>
    <xf numFmtId="0" fontId="21" fillId="21" borderId="3" xfId="0" applyFont="1" applyFill="1" applyBorder="1" applyAlignment="1">
      <alignment horizontal="center" vertical="center"/>
    </xf>
    <xf numFmtId="0" fontId="21" fillId="22" borderId="1" xfId="0" applyFont="1" applyFill="1" applyBorder="1" applyAlignment="1">
      <alignment horizontal="center" vertical="center"/>
    </xf>
    <xf numFmtId="0" fontId="21" fillId="23" borderId="1" xfId="0" applyFont="1" applyFill="1" applyBorder="1" applyAlignment="1">
      <alignment horizontal="center" vertical="center"/>
    </xf>
    <xf numFmtId="0" fontId="21" fillId="25" borderId="5" xfId="0" applyFont="1" applyFill="1" applyBorder="1" applyAlignment="1">
      <alignment horizontal="center" vertical="center"/>
    </xf>
    <xf numFmtId="0" fontId="21" fillId="25" borderId="2" xfId="0" applyFont="1" applyFill="1" applyBorder="1" applyAlignment="1">
      <alignment horizontal="center" vertical="center"/>
    </xf>
    <xf numFmtId="0" fontId="21" fillId="25" borderId="3" xfId="0" applyFont="1" applyFill="1" applyBorder="1" applyAlignment="1">
      <alignment horizontal="center" vertical="center"/>
    </xf>
    <xf numFmtId="0" fontId="0" fillId="24" borderId="1" xfId="0" applyFill="1" applyBorder="1" applyAlignment="1">
      <alignment horizontal="left" vertical="center"/>
    </xf>
    <xf numFmtId="0" fontId="21" fillId="28" borderId="1" xfId="0" applyFont="1" applyFill="1" applyBorder="1" applyAlignment="1">
      <alignment horizontal="center" vertical="center"/>
    </xf>
    <xf numFmtId="0" fontId="21" fillId="29" borderId="1" xfId="0" applyFont="1" applyFill="1" applyBorder="1" applyAlignment="1">
      <alignment horizontal="center" vertical="center"/>
    </xf>
    <xf numFmtId="0" fontId="21" fillId="30" borderId="1" xfId="0" applyFont="1" applyFill="1" applyBorder="1" applyAlignment="1">
      <alignment horizontal="center" vertical="center"/>
    </xf>
    <xf numFmtId="0" fontId="19" fillId="6" borderId="1" xfId="0" applyFont="1" applyFill="1" applyBorder="1" applyAlignment="1">
      <alignment horizontal="center" vertical="center"/>
    </xf>
    <xf numFmtId="0" fontId="21" fillId="27" borderId="1" xfId="0" applyFont="1" applyFill="1" applyBorder="1" applyAlignment="1">
      <alignment horizontal="center" vertical="center"/>
    </xf>
    <xf numFmtId="0" fontId="0" fillId="0" borderId="1" xfId="0" applyBorder="1" applyAlignment="1">
      <alignment horizontal="left" vertical="center"/>
    </xf>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C9BADE"/>
      <color rgb="FFF6AD80"/>
      <color rgb="FF1C80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rochdalespearsco.sharepoint.com/sites/BusinessSupportServices/HSE/Policy%20-%20Procedure/01.%20Environment/01.%20Qu&#7843;n%20l&#253;%20r&#225;c%20th&#7843;i/1.%20Ch&#7845;t%20th&#7843;i%20nguy%20h&#7841;i/P2%20(Th&#7841;nh%20Ph&#432;&#7899;c)/2026/2026-P2-Thong%20ke%20chat%20thai%20nguy%20hai-%20TDX.xlsx" TargetMode="External"/><Relationship Id="rId2" Type="http://schemas.microsoft.com/office/2019/04/relationships/externalLinkLongPath" Target="/sites/BusinessSupportServices/HSE/Policy%20-%20Procedure/01.%20Environment/01.%20Qu&#7843;n%20l&#253;%20r&#225;c%20th&#7843;i/1.%20Ch&#7845;t%20th&#7843;i%20nguy%20h&#7841;i/P2%20(Th&#7841;nh%20Ph&#432;&#7899;c)/2026/2026-P2-Thong%20ke%20chat%20thai%20nguy%20hai-%20TDX.xlsx?B74ABBEE" TargetMode="External"/><Relationship Id="rId1" Type="http://schemas.openxmlformats.org/officeDocument/2006/relationships/externalLinkPath" Target="file:///\\B74ABBEE\2026-P2-Thong%20ke%20chat%20thai%20nguy%20hai-%20TDX.xlsx" TargetMode="External"/><Relationship Id="rId4" Type="http://schemas.openxmlformats.org/officeDocument/2006/relationships/externalLinkPath" Target="../../P2%20(Th&#7841;nh%20Ph&#432;&#7899;c)/2026/2026-P2-Thong%20ke%20chat%20thai%20nguy%20hai-%20TD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2017"/>
      <sheetName val="2018"/>
      <sheetName val="2019"/>
      <sheetName val="2026"/>
      <sheetName val="Sheet2"/>
    </sheetNames>
    <sheetDataSet>
      <sheetData sheetId="0"/>
      <sheetData sheetId="1"/>
      <sheetData sheetId="2"/>
      <sheetData sheetId="3">
        <row r="26">
          <cell r="AV26">
            <v>41677000</v>
          </cell>
          <cell r="AW26">
            <v>44690500</v>
          </cell>
          <cell r="AX26">
            <v>47102500</v>
          </cell>
          <cell r="AY26">
            <v>34709000</v>
          </cell>
          <cell r="AZ26">
            <v>54139000</v>
          </cell>
          <cell r="BA26">
            <v>52330000</v>
          </cell>
          <cell r="BB26">
            <v>32265000</v>
          </cell>
          <cell r="BC26">
            <v>37122500</v>
          </cell>
          <cell r="BD26">
            <v>52127500</v>
          </cell>
          <cell r="BE26">
            <v>36058700</v>
          </cell>
          <cell r="BF26">
            <v>42283000</v>
          </cell>
          <cell r="BG26">
            <v>38628500</v>
          </cell>
          <cell r="BH26">
            <v>44993500</v>
          </cell>
          <cell r="BI26">
            <v>43285000</v>
          </cell>
          <cell r="BJ26">
            <v>40538000</v>
          </cell>
          <cell r="BK26">
            <v>40306500</v>
          </cell>
          <cell r="BL26">
            <v>40302000</v>
          </cell>
          <cell r="BM26">
            <v>40034000</v>
          </cell>
          <cell r="BN26">
            <v>44591500</v>
          </cell>
          <cell r="BO26">
            <v>40437500</v>
          </cell>
          <cell r="BP26">
            <v>46301500</v>
          </cell>
        </row>
      </sheetData>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31"/>
  <sheetViews>
    <sheetView zoomScale="70" zoomScaleNormal="70" workbookViewId="0">
      <pane xSplit="3" ySplit="4" topLeftCell="D5" activePane="bottomRight" state="frozen"/>
      <selection pane="topRight" activeCell="E1" sqref="E1"/>
      <selection pane="bottomLeft" activeCell="A4" sqref="A4"/>
      <selection pane="bottomRight" activeCell="BH10" sqref="BH10"/>
    </sheetView>
  </sheetViews>
  <sheetFormatPr defaultColWidth="9.1796875" defaultRowHeight="16.5" x14ac:dyDescent="0.35"/>
  <cols>
    <col min="1" max="1" width="4.81640625" style="2" bestFit="1" customWidth="1"/>
    <col min="2" max="2" width="31.453125" style="27" customWidth="1"/>
    <col min="3" max="3" width="19" style="27" customWidth="1"/>
    <col min="4" max="4" width="14" style="2" customWidth="1"/>
    <col min="5" max="9" width="15.1796875" style="2" customWidth="1"/>
    <col min="10" max="10" width="14.81640625" style="2" customWidth="1"/>
    <col min="11" max="63" width="15.1796875" style="2" customWidth="1"/>
    <col min="64" max="64" width="14.453125" style="2" bestFit="1" customWidth="1"/>
    <col min="65" max="65" width="24.453125" style="3" customWidth="1"/>
    <col min="66" max="66" width="9.1796875" style="2" customWidth="1"/>
    <col min="67" max="16384" width="9.1796875" style="2"/>
  </cols>
  <sheetData>
    <row r="1" spans="1:66" ht="57.75" customHeight="1" x14ac:dyDescent="0.35">
      <c r="A1" s="271" t="s">
        <v>0</v>
      </c>
      <c r="B1" s="272"/>
      <c r="C1" s="272"/>
      <c r="D1" s="272"/>
      <c r="E1" s="272"/>
      <c r="F1" s="272"/>
      <c r="G1" s="272"/>
      <c r="H1" s="272"/>
      <c r="I1" s="272"/>
      <c r="J1" s="272"/>
      <c r="K1" s="272"/>
      <c r="L1" s="272"/>
      <c r="M1" s="272"/>
      <c r="N1" s="272"/>
      <c r="O1" s="272"/>
      <c r="P1" s="272"/>
      <c r="Q1" s="272"/>
      <c r="R1" s="272"/>
      <c r="S1" s="272"/>
      <c r="T1" s="272"/>
      <c r="U1" s="272"/>
      <c r="V1" s="272"/>
      <c r="W1" s="272"/>
      <c r="X1" s="272"/>
      <c r="Y1" s="272"/>
      <c r="Z1" s="272"/>
      <c r="AA1" s="272"/>
      <c r="AB1" s="272"/>
      <c r="AC1" s="272"/>
      <c r="AD1" s="272"/>
      <c r="AE1" s="272"/>
      <c r="AF1" s="272"/>
      <c r="AG1" s="272"/>
      <c r="AH1" s="272"/>
      <c r="AI1" s="272"/>
      <c r="AJ1" s="272"/>
      <c r="AK1" s="272"/>
      <c r="AL1" s="272"/>
      <c r="AM1" s="272"/>
      <c r="AN1" s="272"/>
      <c r="AO1" s="272"/>
      <c r="AP1" s="272"/>
      <c r="AQ1" s="272"/>
      <c r="AR1" s="272"/>
      <c r="AS1" s="272"/>
      <c r="AT1" s="272"/>
      <c r="AU1" s="272"/>
      <c r="AV1" s="272"/>
      <c r="AW1" s="272"/>
      <c r="AX1" s="272"/>
      <c r="AY1" s="272"/>
      <c r="AZ1" s="272"/>
      <c r="BA1" s="272"/>
      <c r="BB1" s="272"/>
      <c r="BC1" s="272"/>
      <c r="BD1" s="272"/>
      <c r="BE1" s="272"/>
      <c r="BF1" s="272"/>
      <c r="BG1" s="272"/>
      <c r="BH1" s="272"/>
      <c r="BI1" s="272"/>
      <c r="BJ1" s="272"/>
      <c r="BK1" s="272"/>
      <c r="BL1" s="272"/>
      <c r="BM1" s="272"/>
      <c r="BN1" s="1"/>
    </row>
    <row r="2" spans="1:66" s="1" customFormat="1" ht="22.5" customHeight="1" x14ac:dyDescent="0.35">
      <c r="A2" s="273" t="s">
        <v>1</v>
      </c>
      <c r="B2" s="274" t="s">
        <v>2</v>
      </c>
      <c r="C2" s="275"/>
      <c r="D2" s="276"/>
      <c r="E2" s="64" t="s">
        <v>3</v>
      </c>
      <c r="F2" s="64" t="s">
        <v>3</v>
      </c>
      <c r="G2" s="64" t="s">
        <v>3</v>
      </c>
      <c r="H2" s="64" t="s">
        <v>3</v>
      </c>
      <c r="I2" s="65" t="s">
        <v>3</v>
      </c>
      <c r="J2" s="64" t="s">
        <v>4</v>
      </c>
      <c r="K2" s="64" t="s">
        <v>3</v>
      </c>
      <c r="L2" s="64" t="s">
        <v>3</v>
      </c>
      <c r="M2" s="64" t="s">
        <v>3</v>
      </c>
      <c r="N2" s="64" t="s">
        <v>3</v>
      </c>
      <c r="O2" s="64" t="s">
        <v>3</v>
      </c>
      <c r="P2" s="64" t="s">
        <v>3</v>
      </c>
      <c r="Q2" s="64" t="s">
        <v>3</v>
      </c>
      <c r="R2" s="64" t="s">
        <v>3</v>
      </c>
      <c r="S2" s="64" t="s">
        <v>3</v>
      </c>
      <c r="T2" s="64" t="s">
        <v>3</v>
      </c>
      <c r="U2" s="64" t="s">
        <v>3</v>
      </c>
      <c r="V2" s="64" t="s">
        <v>5</v>
      </c>
      <c r="W2" s="64" t="s">
        <v>3</v>
      </c>
      <c r="X2" s="64" t="s">
        <v>5</v>
      </c>
      <c r="Y2" s="93" t="s">
        <v>3</v>
      </c>
      <c r="Z2" s="64" t="s">
        <v>3</v>
      </c>
      <c r="AA2" s="64" t="s">
        <v>3</v>
      </c>
      <c r="AB2" s="64" t="s">
        <v>3</v>
      </c>
      <c r="AC2" s="93" t="s">
        <v>3</v>
      </c>
      <c r="AD2" s="64" t="s">
        <v>3</v>
      </c>
      <c r="AE2" s="64" t="s">
        <v>3</v>
      </c>
      <c r="AF2" s="93" t="s">
        <v>3</v>
      </c>
      <c r="AG2" s="64" t="s">
        <v>3</v>
      </c>
      <c r="AH2" s="64" t="s">
        <v>3</v>
      </c>
      <c r="AI2" s="93" t="s">
        <v>3</v>
      </c>
      <c r="AJ2" s="64" t="s">
        <v>3</v>
      </c>
      <c r="AK2" s="64" t="s">
        <v>3</v>
      </c>
      <c r="AL2" s="64" t="s">
        <v>3</v>
      </c>
      <c r="AM2" s="93" t="s">
        <v>3</v>
      </c>
      <c r="AN2" s="64" t="s">
        <v>3</v>
      </c>
      <c r="AO2" s="93" t="s">
        <v>3</v>
      </c>
      <c r="AP2" s="64" t="s">
        <v>3</v>
      </c>
      <c r="AQ2" s="64" t="s">
        <v>3</v>
      </c>
      <c r="AR2" s="93" t="s">
        <v>3</v>
      </c>
      <c r="AS2" s="64" t="s">
        <v>3</v>
      </c>
      <c r="AT2" s="64" t="s">
        <v>3</v>
      </c>
      <c r="AU2" s="64" t="s">
        <v>3</v>
      </c>
      <c r="AV2" s="64" t="s">
        <v>3</v>
      </c>
      <c r="AW2" s="93" t="s">
        <v>3</v>
      </c>
      <c r="AX2" s="64" t="s">
        <v>3</v>
      </c>
      <c r="AY2" s="64" t="s">
        <v>3</v>
      </c>
      <c r="AZ2" s="64" t="s">
        <v>3</v>
      </c>
      <c r="BA2" s="93"/>
      <c r="BB2" s="64" t="s">
        <v>3</v>
      </c>
      <c r="BC2" s="64" t="s">
        <v>3</v>
      </c>
      <c r="BD2" s="64" t="s">
        <v>3</v>
      </c>
      <c r="BE2" s="64"/>
      <c r="BF2" s="93"/>
      <c r="BG2" s="64"/>
      <c r="BH2" s="93"/>
      <c r="BI2" s="64"/>
      <c r="BJ2" s="64"/>
      <c r="BK2" s="106"/>
      <c r="BL2" s="64"/>
      <c r="BM2" s="13"/>
    </row>
    <row r="3" spans="1:66" s="3" customFormat="1" ht="22.5" customHeight="1" x14ac:dyDescent="0.35">
      <c r="A3" s="273"/>
      <c r="B3" s="277" t="s">
        <v>6</v>
      </c>
      <c r="C3" s="277" t="s">
        <v>7</v>
      </c>
      <c r="D3" s="277" t="s">
        <v>8</v>
      </c>
      <c r="E3" s="305" t="s">
        <v>9</v>
      </c>
      <c r="F3" s="305"/>
      <c r="G3" s="305"/>
      <c r="H3" s="305"/>
      <c r="I3" s="305"/>
      <c r="J3" s="305" t="s">
        <v>10</v>
      </c>
      <c r="K3" s="305"/>
      <c r="L3" s="305" t="s">
        <v>11</v>
      </c>
      <c r="M3" s="305"/>
      <c r="N3" s="305"/>
      <c r="O3" s="305"/>
      <c r="P3" s="305" t="s">
        <v>12</v>
      </c>
      <c r="Q3" s="305"/>
      <c r="R3" s="305"/>
      <c r="S3" s="305"/>
      <c r="T3" s="278" t="s">
        <v>13</v>
      </c>
      <c r="U3" s="280"/>
      <c r="V3" s="279"/>
      <c r="W3" s="305" t="s">
        <v>14</v>
      </c>
      <c r="X3" s="305"/>
      <c r="Y3" s="305"/>
      <c r="Z3" s="305"/>
      <c r="AA3" s="305"/>
      <c r="AB3" s="278" t="s">
        <v>15</v>
      </c>
      <c r="AC3" s="280"/>
      <c r="AD3" s="280"/>
      <c r="AE3" s="280"/>
      <c r="AF3" s="280"/>
      <c r="AG3" s="278" t="s">
        <v>16</v>
      </c>
      <c r="AH3" s="280"/>
      <c r="AI3" s="280"/>
      <c r="AJ3" s="280"/>
      <c r="AK3" s="280"/>
      <c r="AL3" s="280"/>
      <c r="AM3" s="280"/>
      <c r="AN3" s="278" t="s">
        <v>17</v>
      </c>
      <c r="AO3" s="280"/>
      <c r="AP3" s="280"/>
      <c r="AQ3" s="280"/>
      <c r="AR3" s="280"/>
      <c r="AS3" s="279"/>
      <c r="AT3" s="278" t="s">
        <v>18</v>
      </c>
      <c r="AU3" s="280"/>
      <c r="AV3" s="280"/>
      <c r="AW3" s="280"/>
      <c r="AX3" s="280"/>
      <c r="AY3" s="280"/>
      <c r="AZ3" s="278" t="s">
        <v>19</v>
      </c>
      <c r="BA3" s="280"/>
      <c r="BB3" s="280"/>
      <c r="BC3" s="280"/>
      <c r="BD3" s="279"/>
      <c r="BE3" s="278" t="s">
        <v>20</v>
      </c>
      <c r="BF3" s="280"/>
      <c r="BG3" s="280"/>
      <c r="BH3" s="280"/>
      <c r="BI3" s="280"/>
      <c r="BJ3" s="280"/>
      <c r="BK3" s="280"/>
      <c r="BL3" s="279"/>
      <c r="BM3" s="4"/>
      <c r="BN3" s="1"/>
    </row>
    <row r="4" spans="1:66" s="3" customFormat="1" ht="48" customHeight="1" x14ac:dyDescent="0.35">
      <c r="A4" s="273"/>
      <c r="B4" s="277"/>
      <c r="C4" s="277"/>
      <c r="D4" s="277"/>
      <c r="E4" s="73">
        <v>42856</v>
      </c>
      <c r="F4" s="73">
        <v>43040</v>
      </c>
      <c r="G4" s="73" t="s">
        <v>21</v>
      </c>
      <c r="H4" s="73" t="s">
        <v>22</v>
      </c>
      <c r="I4" s="55" t="s">
        <v>23</v>
      </c>
      <c r="J4" s="74" t="s">
        <v>24</v>
      </c>
      <c r="K4" s="75" t="s">
        <v>25</v>
      </c>
      <c r="L4" s="67">
        <v>42769</v>
      </c>
      <c r="M4" s="67" t="s">
        <v>26</v>
      </c>
      <c r="N4" s="67" t="s">
        <v>27</v>
      </c>
      <c r="O4" s="67" t="s">
        <v>28</v>
      </c>
      <c r="P4" s="45">
        <v>42798</v>
      </c>
      <c r="Q4" s="45">
        <v>43043</v>
      </c>
      <c r="R4" s="45" t="s">
        <v>29</v>
      </c>
      <c r="S4" s="45" t="s">
        <v>30</v>
      </c>
      <c r="T4" s="46">
        <v>42860</v>
      </c>
      <c r="U4" s="46" t="s">
        <v>31</v>
      </c>
      <c r="V4" s="46" t="s">
        <v>32</v>
      </c>
      <c r="W4" s="49">
        <v>42772</v>
      </c>
      <c r="X4" s="49">
        <v>43075</v>
      </c>
      <c r="Y4" s="49" t="s">
        <v>33</v>
      </c>
      <c r="Z4" s="49" t="s">
        <v>34</v>
      </c>
      <c r="AA4" s="49" t="s">
        <v>35</v>
      </c>
      <c r="AB4" s="68">
        <v>42832</v>
      </c>
      <c r="AC4" s="68">
        <v>42954</v>
      </c>
      <c r="AD4" s="68" t="s">
        <v>36</v>
      </c>
      <c r="AE4" s="68" t="s">
        <v>37</v>
      </c>
      <c r="AF4" s="68" t="s">
        <v>38</v>
      </c>
      <c r="AG4" s="80">
        <v>42774</v>
      </c>
      <c r="AH4" s="80">
        <v>42986</v>
      </c>
      <c r="AI4" s="80" t="s">
        <v>39</v>
      </c>
      <c r="AJ4" s="80" t="s">
        <v>40</v>
      </c>
      <c r="AK4" s="80" t="s">
        <v>41</v>
      </c>
      <c r="AL4" s="80" t="s">
        <v>42</v>
      </c>
      <c r="AM4" s="80" t="s">
        <v>43</v>
      </c>
      <c r="AN4" s="85">
        <v>43078</v>
      </c>
      <c r="AO4" s="85" t="s">
        <v>44</v>
      </c>
      <c r="AP4" s="85" t="s">
        <v>45</v>
      </c>
      <c r="AQ4" s="85" t="s">
        <v>46</v>
      </c>
      <c r="AR4" s="85" t="s">
        <v>47</v>
      </c>
      <c r="AS4" s="85" t="s">
        <v>48</v>
      </c>
      <c r="AT4" s="104">
        <v>42865</v>
      </c>
      <c r="AU4" s="104">
        <v>43018</v>
      </c>
      <c r="AV4" s="104" t="s">
        <v>49</v>
      </c>
      <c r="AW4" s="104" t="s">
        <v>50</v>
      </c>
      <c r="AX4" s="104" t="s">
        <v>51</v>
      </c>
      <c r="AY4" s="104" t="s">
        <v>52</v>
      </c>
      <c r="AZ4" s="94">
        <v>42927</v>
      </c>
      <c r="BA4" s="94">
        <v>42989</v>
      </c>
      <c r="BB4" s="94" t="s">
        <v>53</v>
      </c>
      <c r="BC4" s="94" t="s">
        <v>54</v>
      </c>
      <c r="BD4" s="94" t="s">
        <v>55</v>
      </c>
      <c r="BE4" s="75">
        <v>42747</v>
      </c>
      <c r="BF4" s="75">
        <v>42747</v>
      </c>
      <c r="BG4" s="75">
        <v>42959</v>
      </c>
      <c r="BH4" s="75" t="s">
        <v>56</v>
      </c>
      <c r="BI4" s="75" t="s">
        <v>57</v>
      </c>
      <c r="BJ4" s="75" t="s">
        <v>58</v>
      </c>
      <c r="BK4" s="75" t="s">
        <v>59</v>
      </c>
      <c r="BL4" s="99" t="s">
        <v>59</v>
      </c>
      <c r="BM4" s="77" t="s">
        <v>60</v>
      </c>
      <c r="BN4" s="5"/>
    </row>
    <row r="5" spans="1:66" ht="49.5" x14ac:dyDescent="0.35">
      <c r="A5" s="6">
        <v>1</v>
      </c>
      <c r="B5" s="7" t="s">
        <v>61</v>
      </c>
      <c r="C5" s="8">
        <v>7700</v>
      </c>
      <c r="D5" s="9">
        <v>180201</v>
      </c>
      <c r="E5" s="10">
        <v>1332</v>
      </c>
      <c r="F5" s="11">
        <v>1869</v>
      </c>
      <c r="G5" s="11"/>
      <c r="H5" s="11">
        <v>1686</v>
      </c>
      <c r="I5" s="56">
        <f>1722+2175</f>
        <v>3897</v>
      </c>
      <c r="J5" s="57">
        <v>2777</v>
      </c>
      <c r="K5" s="28">
        <v>2365</v>
      </c>
      <c r="L5" s="32">
        <v>3075</v>
      </c>
      <c r="M5" s="32">
        <v>2340</v>
      </c>
      <c r="N5" s="33">
        <v>2275</v>
      </c>
      <c r="O5" s="32">
        <v>1490</v>
      </c>
      <c r="P5" s="37">
        <v>2440</v>
      </c>
      <c r="Q5" s="37">
        <v>1565</v>
      </c>
      <c r="R5" s="37">
        <v>1905</v>
      </c>
      <c r="S5" s="37">
        <v>1660</v>
      </c>
      <c r="T5" s="41">
        <v>2600</v>
      </c>
      <c r="U5" s="41">
        <v>2470</v>
      </c>
      <c r="V5" s="41">
        <v>2410</v>
      </c>
      <c r="W5" s="50">
        <v>1775</v>
      </c>
      <c r="X5" s="50">
        <v>2050</v>
      </c>
      <c r="Y5" s="50"/>
      <c r="Z5" s="50">
        <v>1810</v>
      </c>
      <c r="AA5" s="50">
        <v>1540</v>
      </c>
      <c r="AB5" s="69">
        <v>2870</v>
      </c>
      <c r="AC5" s="69"/>
      <c r="AD5" s="69">
        <f>1900+200+255</f>
        <v>2355</v>
      </c>
      <c r="AE5" s="69">
        <v>2535</v>
      </c>
      <c r="AF5" s="69"/>
      <c r="AG5" s="81">
        <v>2200</v>
      </c>
      <c r="AH5" s="81">
        <v>1710</v>
      </c>
      <c r="AI5" s="81"/>
      <c r="AJ5" s="81">
        <v>1535</v>
      </c>
      <c r="AK5" s="81">
        <v>1575</v>
      </c>
      <c r="AL5" s="81">
        <v>2255</v>
      </c>
      <c r="AM5" s="81"/>
      <c r="AN5" s="86">
        <v>1710</v>
      </c>
      <c r="AO5" s="86"/>
      <c r="AP5" s="86">
        <v>1610</v>
      </c>
      <c r="AQ5" s="86">
        <v>1355</v>
      </c>
      <c r="AR5" s="86">
        <v>55</v>
      </c>
      <c r="AS5" s="86">
        <v>1850</v>
      </c>
      <c r="AT5" s="105">
        <v>2740</v>
      </c>
      <c r="AU5" s="105">
        <v>1825</v>
      </c>
      <c r="AV5" s="105">
        <v>1790</v>
      </c>
      <c r="AW5" s="105"/>
      <c r="AX5" s="105">
        <v>2038</v>
      </c>
      <c r="AY5" s="105">
        <v>2320</v>
      </c>
      <c r="AZ5" s="95">
        <v>1870</v>
      </c>
      <c r="BA5" s="95"/>
      <c r="BB5" s="95">
        <v>2060</v>
      </c>
      <c r="BC5" s="95">
        <v>3085</v>
      </c>
      <c r="BD5" s="95">
        <v>2248</v>
      </c>
      <c r="BE5" s="28">
        <v>1230</v>
      </c>
      <c r="BF5" s="28"/>
      <c r="BG5" s="28">
        <v>2110</v>
      </c>
      <c r="BH5" s="28"/>
      <c r="BI5" s="28">
        <v>2610</v>
      </c>
      <c r="BJ5" s="28">
        <v>1810</v>
      </c>
      <c r="BK5" s="28"/>
      <c r="BL5" s="100">
        <v>2745</v>
      </c>
      <c r="BM5" s="78">
        <f t="shared" ref="BM5:BM17" si="0">SUM(E5:BL5)</f>
        <v>99427</v>
      </c>
    </row>
    <row r="6" spans="1:66" ht="49.5" x14ac:dyDescent="0.35">
      <c r="A6" s="6">
        <v>2</v>
      </c>
      <c r="B6" s="7" t="s">
        <v>62</v>
      </c>
      <c r="C6" s="8">
        <v>35000</v>
      </c>
      <c r="D6" s="9">
        <v>180102</v>
      </c>
      <c r="E6" s="10"/>
      <c r="F6" s="11"/>
      <c r="G6" s="11"/>
      <c r="H6" s="11"/>
      <c r="I6" s="56">
        <v>155</v>
      </c>
      <c r="J6" s="57"/>
      <c r="K6" s="28"/>
      <c r="L6" s="32"/>
      <c r="M6" s="32"/>
      <c r="N6" s="33"/>
      <c r="O6" s="32"/>
      <c r="P6" s="37"/>
      <c r="Q6" s="37"/>
      <c r="R6" s="37"/>
      <c r="S6" s="37">
        <v>20</v>
      </c>
      <c r="T6" s="41"/>
      <c r="U6" s="41"/>
      <c r="V6" s="41"/>
      <c r="W6" s="50"/>
      <c r="X6" s="50"/>
      <c r="Y6" s="50">
        <v>59</v>
      </c>
      <c r="Z6" s="50"/>
      <c r="AA6" s="50"/>
      <c r="AB6" s="69"/>
      <c r="AC6" s="69">
        <v>72</v>
      </c>
      <c r="AD6" s="69"/>
      <c r="AE6" s="69"/>
      <c r="AF6" s="69">
        <v>75</v>
      </c>
      <c r="AG6" s="81"/>
      <c r="AH6" s="81"/>
      <c r="AI6" s="81">
        <v>50</v>
      </c>
      <c r="AJ6" s="81"/>
      <c r="AK6" s="81">
        <v>100</v>
      </c>
      <c r="AL6" s="81"/>
      <c r="AM6" s="81">
        <v>54</v>
      </c>
      <c r="AN6" s="86">
        <v>150</v>
      </c>
      <c r="AO6" s="86">
        <v>30</v>
      </c>
      <c r="AP6" s="86">
        <v>100</v>
      </c>
      <c r="AQ6" s="86"/>
      <c r="AR6" s="86"/>
      <c r="AS6" s="86"/>
      <c r="AT6" s="105"/>
      <c r="AU6" s="105"/>
      <c r="AV6" s="105">
        <v>100</v>
      </c>
      <c r="AW6" s="105">
        <v>56</v>
      </c>
      <c r="AX6" s="105"/>
      <c r="AY6" s="105"/>
      <c r="AZ6" s="95"/>
      <c r="BA6" s="95">
        <v>56</v>
      </c>
      <c r="BB6" s="95"/>
      <c r="BC6" s="95"/>
      <c r="BD6" s="95"/>
      <c r="BE6" s="28"/>
      <c r="BF6" s="28">
        <v>56</v>
      </c>
      <c r="BG6" s="28"/>
      <c r="BH6" s="28">
        <v>56</v>
      </c>
      <c r="BI6" s="28"/>
      <c r="BJ6" s="28"/>
      <c r="BK6" s="28">
        <v>72</v>
      </c>
      <c r="BL6" s="100"/>
      <c r="BM6" s="78">
        <f t="shared" si="0"/>
        <v>1261</v>
      </c>
    </row>
    <row r="7" spans="1:66" ht="41.25" customHeight="1" x14ac:dyDescent="0.35">
      <c r="A7" s="6">
        <v>3</v>
      </c>
      <c r="B7" s="7" t="s">
        <v>63</v>
      </c>
      <c r="C7" s="8">
        <v>7700</v>
      </c>
      <c r="D7" s="9">
        <v>80102</v>
      </c>
      <c r="E7" s="10">
        <v>200</v>
      </c>
      <c r="F7" s="11">
        <v>200</v>
      </c>
      <c r="G7" s="11">
        <v>600</v>
      </c>
      <c r="H7" s="11">
        <v>200</v>
      </c>
      <c r="I7" s="56">
        <v>200</v>
      </c>
      <c r="J7" s="57">
        <v>400</v>
      </c>
      <c r="K7" s="28">
        <v>400</v>
      </c>
      <c r="L7" s="32">
        <v>400</v>
      </c>
      <c r="M7" s="32">
        <v>400</v>
      </c>
      <c r="N7" s="33">
        <v>400</v>
      </c>
      <c r="O7" s="32">
        <v>400</v>
      </c>
      <c r="P7" s="37">
        <v>400</v>
      </c>
      <c r="Q7" s="37">
        <v>400</v>
      </c>
      <c r="R7" s="37">
        <v>400</v>
      </c>
      <c r="S7" s="37">
        <v>200</v>
      </c>
      <c r="T7" s="41">
        <v>200</v>
      </c>
      <c r="U7" s="41">
        <v>300</v>
      </c>
      <c r="V7" s="41">
        <v>200</v>
      </c>
      <c r="W7" s="50"/>
      <c r="X7" s="50">
        <v>600</v>
      </c>
      <c r="Y7" s="50"/>
      <c r="Z7" s="50"/>
      <c r="AA7" s="50"/>
      <c r="AB7" s="69">
        <v>400</v>
      </c>
      <c r="AC7" s="69"/>
      <c r="AD7" s="69">
        <v>400</v>
      </c>
      <c r="AE7" s="69">
        <v>200</v>
      </c>
      <c r="AF7" s="69"/>
      <c r="AG7" s="81"/>
      <c r="AH7" s="81">
        <v>400</v>
      </c>
      <c r="AI7" s="81"/>
      <c r="AJ7" s="81">
        <v>400</v>
      </c>
      <c r="AK7" s="81">
        <v>200</v>
      </c>
      <c r="AL7" s="81"/>
      <c r="AM7" s="81"/>
      <c r="AN7" s="86">
        <v>100</v>
      </c>
      <c r="AO7" s="86"/>
      <c r="AP7" s="86"/>
      <c r="AQ7" s="86">
        <v>400</v>
      </c>
      <c r="AR7" s="86"/>
      <c r="AS7" s="86"/>
      <c r="AT7" s="105">
        <v>500</v>
      </c>
      <c r="AU7" s="105">
        <v>300</v>
      </c>
      <c r="AV7" s="105"/>
      <c r="AW7" s="105"/>
      <c r="AX7" s="105">
        <v>200</v>
      </c>
      <c r="AY7" s="105">
        <v>200</v>
      </c>
      <c r="AZ7" s="95">
        <v>200</v>
      </c>
      <c r="BA7" s="95"/>
      <c r="BB7" s="95">
        <v>200</v>
      </c>
      <c r="BC7" s="95"/>
      <c r="BD7" s="95">
        <v>200</v>
      </c>
      <c r="BE7" s="28">
        <v>400</v>
      </c>
      <c r="BF7" s="28"/>
      <c r="BG7" s="28">
        <v>200</v>
      </c>
      <c r="BH7" s="28"/>
      <c r="BI7" s="28"/>
      <c r="BJ7" s="28"/>
      <c r="BK7" s="28"/>
      <c r="BL7" s="100"/>
      <c r="BM7" s="78">
        <f t="shared" si="0"/>
        <v>11400</v>
      </c>
    </row>
    <row r="8" spans="1:66" ht="42.75" customHeight="1" x14ac:dyDescent="0.35">
      <c r="A8" s="6">
        <v>4</v>
      </c>
      <c r="B8" s="7" t="s">
        <v>64</v>
      </c>
      <c r="C8" s="8">
        <v>7700</v>
      </c>
      <c r="D8" s="9">
        <v>170204</v>
      </c>
      <c r="E8" s="10"/>
      <c r="F8" s="11"/>
      <c r="G8" s="11"/>
      <c r="H8" s="11"/>
      <c r="I8" s="56"/>
      <c r="J8" s="57"/>
      <c r="K8" s="28"/>
      <c r="L8" s="32"/>
      <c r="M8" s="32"/>
      <c r="N8" s="33"/>
      <c r="O8" s="32"/>
      <c r="P8" s="37"/>
      <c r="Q8" s="37"/>
      <c r="R8" s="37"/>
      <c r="S8" s="37"/>
      <c r="T8" s="41"/>
      <c r="U8" s="41"/>
      <c r="V8" s="41"/>
      <c r="W8" s="50"/>
      <c r="X8" s="50"/>
      <c r="Y8" s="50"/>
      <c r="Z8" s="50"/>
      <c r="AA8" s="50"/>
      <c r="AB8" s="69"/>
      <c r="AC8" s="69"/>
      <c r="AD8" s="69"/>
      <c r="AE8" s="69"/>
      <c r="AF8" s="69"/>
      <c r="AG8" s="81"/>
      <c r="AH8" s="81"/>
      <c r="AI8" s="81"/>
      <c r="AJ8" s="81"/>
      <c r="AK8" s="81"/>
      <c r="AL8" s="81"/>
      <c r="AM8" s="81"/>
      <c r="AN8" s="86"/>
      <c r="AO8" s="86"/>
      <c r="AP8" s="86"/>
      <c r="AQ8" s="86"/>
      <c r="AR8" s="86"/>
      <c r="AS8" s="86"/>
      <c r="AT8" s="105"/>
      <c r="AU8" s="105"/>
      <c r="AV8" s="105"/>
      <c r="AW8" s="105"/>
      <c r="AX8" s="105"/>
      <c r="AY8" s="105"/>
      <c r="AZ8" s="95"/>
      <c r="BA8" s="95"/>
      <c r="BB8" s="95"/>
      <c r="BC8" s="95"/>
      <c r="BD8" s="95"/>
      <c r="BE8" s="28"/>
      <c r="BF8" s="28"/>
      <c r="BG8" s="28"/>
      <c r="BH8" s="28"/>
      <c r="BI8" s="28"/>
      <c r="BJ8" s="28"/>
      <c r="BK8" s="28"/>
      <c r="BL8" s="100"/>
      <c r="BM8" s="78">
        <f t="shared" si="0"/>
        <v>0</v>
      </c>
    </row>
    <row r="9" spans="1:66" ht="42.75" customHeight="1" x14ac:dyDescent="0.35">
      <c r="A9" s="6">
        <v>5</v>
      </c>
      <c r="B9" s="7" t="s">
        <v>65</v>
      </c>
      <c r="C9" s="8">
        <v>7700</v>
      </c>
      <c r="D9" s="9">
        <v>160106</v>
      </c>
      <c r="E9" s="10"/>
      <c r="F9" s="11"/>
      <c r="G9" s="11"/>
      <c r="H9" s="11"/>
      <c r="I9" s="56"/>
      <c r="J9" s="57">
        <v>8</v>
      </c>
      <c r="K9" s="28"/>
      <c r="L9" s="32">
        <v>10</v>
      </c>
      <c r="M9" s="32"/>
      <c r="N9" s="33"/>
      <c r="O9" s="32">
        <v>40</v>
      </c>
      <c r="P9" s="37"/>
      <c r="Q9" s="37">
        <v>15</v>
      </c>
      <c r="R9" s="37">
        <v>20</v>
      </c>
      <c r="S9" s="37"/>
      <c r="T9" s="41"/>
      <c r="U9" s="41"/>
      <c r="V9" s="41"/>
      <c r="W9" s="50"/>
      <c r="X9" s="50">
        <v>30</v>
      </c>
      <c r="Y9" s="50"/>
      <c r="Z9" s="50"/>
      <c r="AA9" s="50"/>
      <c r="AB9" s="69"/>
      <c r="AC9" s="69"/>
      <c r="AD9" s="69">
        <v>10</v>
      </c>
      <c r="AE9" s="69">
        <v>10</v>
      </c>
      <c r="AF9" s="69"/>
      <c r="AG9" s="81"/>
      <c r="AH9" s="81">
        <v>5</v>
      </c>
      <c r="AI9" s="81"/>
      <c r="AJ9" s="81"/>
      <c r="AK9" s="81">
        <v>10</v>
      </c>
      <c r="AL9" s="81"/>
      <c r="AM9" s="81"/>
      <c r="AN9" s="86"/>
      <c r="AO9" s="86"/>
      <c r="AP9" s="86"/>
      <c r="AQ9" s="86">
        <v>10</v>
      </c>
      <c r="AR9" s="86"/>
      <c r="AS9" s="86"/>
      <c r="AT9" s="105"/>
      <c r="AU9" s="105"/>
      <c r="AV9" s="105"/>
      <c r="AW9" s="105"/>
      <c r="AX9" s="105">
        <v>10</v>
      </c>
      <c r="AY9" s="105"/>
      <c r="AZ9" s="95"/>
      <c r="BA9" s="95"/>
      <c r="BB9" s="95"/>
      <c r="BC9" s="95"/>
      <c r="BD9" s="95">
        <v>10</v>
      </c>
      <c r="BE9" s="28"/>
      <c r="BF9" s="28"/>
      <c r="BG9" s="28"/>
      <c r="BH9" s="28"/>
      <c r="BI9" s="28"/>
      <c r="BJ9" s="28">
        <v>10</v>
      </c>
      <c r="BK9" s="28"/>
      <c r="BL9" s="100">
        <v>10</v>
      </c>
      <c r="BM9" s="78">
        <f t="shared" si="0"/>
        <v>208</v>
      </c>
    </row>
    <row r="10" spans="1:66" ht="45" customHeight="1" x14ac:dyDescent="0.35">
      <c r="A10" s="6">
        <v>6</v>
      </c>
      <c r="B10" s="7" t="s">
        <v>66</v>
      </c>
      <c r="C10" s="8">
        <v>7700</v>
      </c>
      <c r="D10" s="9"/>
      <c r="E10" s="10"/>
      <c r="F10" s="11"/>
      <c r="G10" s="11"/>
      <c r="H10" s="11"/>
      <c r="I10" s="56"/>
      <c r="J10" s="57"/>
      <c r="K10" s="28"/>
      <c r="L10" s="32"/>
      <c r="M10" s="32"/>
      <c r="N10" s="33"/>
      <c r="O10" s="32"/>
      <c r="P10" s="37"/>
      <c r="Q10" s="37"/>
      <c r="R10" s="37"/>
      <c r="S10" s="37"/>
      <c r="T10" s="41"/>
      <c r="U10" s="41"/>
      <c r="V10" s="41"/>
      <c r="W10" s="50"/>
      <c r="X10" s="50"/>
      <c r="Y10" s="50"/>
      <c r="Z10" s="50"/>
      <c r="AA10" s="50"/>
      <c r="AB10" s="69"/>
      <c r="AC10" s="69"/>
      <c r="AD10" s="69"/>
      <c r="AE10" s="69"/>
      <c r="AF10" s="69"/>
      <c r="AG10" s="81"/>
      <c r="AH10" s="81"/>
      <c r="AI10" s="81"/>
      <c r="AJ10" s="81"/>
      <c r="AK10" s="81"/>
      <c r="AL10" s="81"/>
      <c r="AM10" s="81"/>
      <c r="AN10" s="86"/>
      <c r="AO10" s="86"/>
      <c r="AP10" s="86"/>
      <c r="AQ10" s="86"/>
      <c r="AR10" s="86"/>
      <c r="AS10" s="86"/>
      <c r="AT10" s="105"/>
      <c r="AU10" s="105"/>
      <c r="AV10" s="105"/>
      <c r="AW10" s="105"/>
      <c r="AX10" s="105"/>
      <c r="AY10" s="105"/>
      <c r="AZ10" s="95"/>
      <c r="BA10" s="95"/>
      <c r="BB10" s="95"/>
      <c r="BC10" s="95"/>
      <c r="BD10" s="95"/>
      <c r="BE10" s="28"/>
      <c r="BF10" s="28"/>
      <c r="BG10" s="28"/>
      <c r="BH10" s="28"/>
      <c r="BI10" s="28"/>
      <c r="BJ10" s="28"/>
      <c r="BK10" s="28"/>
      <c r="BL10" s="100"/>
      <c r="BM10" s="78">
        <f t="shared" si="0"/>
        <v>0</v>
      </c>
    </row>
    <row r="11" spans="1:66" ht="49.5" x14ac:dyDescent="0.35">
      <c r="A11" s="6">
        <v>7</v>
      </c>
      <c r="B11" s="7" t="s">
        <v>67</v>
      </c>
      <c r="C11" s="8">
        <v>5500</v>
      </c>
      <c r="D11" s="9">
        <v>160110</v>
      </c>
      <c r="E11" s="10">
        <v>1400</v>
      </c>
      <c r="F11" s="11">
        <v>600</v>
      </c>
      <c r="G11" s="11">
        <v>600</v>
      </c>
      <c r="H11" s="11">
        <v>1000</v>
      </c>
      <c r="I11" s="56">
        <v>5200</v>
      </c>
      <c r="J11" s="57">
        <v>2000</v>
      </c>
      <c r="K11" s="28">
        <v>2000</v>
      </c>
      <c r="L11" s="32">
        <v>2000</v>
      </c>
      <c r="M11" s="32">
        <v>3000</v>
      </c>
      <c r="N11" s="33">
        <v>1800</v>
      </c>
      <c r="O11" s="32">
        <v>1000</v>
      </c>
      <c r="P11" s="37">
        <v>2000</v>
      </c>
      <c r="Q11" s="37">
        <v>1600</v>
      </c>
      <c r="R11" s="37">
        <v>400</v>
      </c>
      <c r="S11" s="37">
        <v>800</v>
      </c>
      <c r="T11" s="41">
        <v>800</v>
      </c>
      <c r="U11" s="41">
        <v>1200</v>
      </c>
      <c r="V11" s="41">
        <v>800</v>
      </c>
      <c r="W11" s="50"/>
      <c r="X11" s="50">
        <v>2000</v>
      </c>
      <c r="Y11" s="50"/>
      <c r="Z11" s="50">
        <v>600</v>
      </c>
      <c r="AA11" s="50">
        <v>500</v>
      </c>
      <c r="AB11" s="69">
        <v>1400</v>
      </c>
      <c r="AC11" s="69"/>
      <c r="AD11" s="69">
        <v>1400</v>
      </c>
      <c r="AE11" s="69">
        <v>1200</v>
      </c>
      <c r="AF11" s="69"/>
      <c r="AG11" s="81"/>
      <c r="AH11" s="81">
        <v>1400</v>
      </c>
      <c r="AI11" s="81"/>
      <c r="AJ11" s="81">
        <v>1000</v>
      </c>
      <c r="AK11" s="81">
        <v>400</v>
      </c>
      <c r="AL11" s="81"/>
      <c r="AM11" s="81"/>
      <c r="AN11" s="86">
        <v>900</v>
      </c>
      <c r="AO11" s="86"/>
      <c r="AP11" s="86">
        <v>1200</v>
      </c>
      <c r="AQ11" s="86">
        <v>1600</v>
      </c>
      <c r="AR11" s="86"/>
      <c r="AS11" s="86">
        <v>600</v>
      </c>
      <c r="AT11" s="105"/>
      <c r="AU11" s="105">
        <v>1000</v>
      </c>
      <c r="AV11" s="105">
        <v>1000</v>
      </c>
      <c r="AW11" s="105"/>
      <c r="AX11" s="105">
        <v>1000</v>
      </c>
      <c r="AY11" s="105"/>
      <c r="AZ11" s="95">
        <v>1400</v>
      </c>
      <c r="BA11" s="95"/>
      <c r="BB11" s="95">
        <v>1000</v>
      </c>
      <c r="BC11" s="95">
        <v>200</v>
      </c>
      <c r="BD11" s="95">
        <v>1000</v>
      </c>
      <c r="BE11" s="28">
        <v>2200</v>
      </c>
      <c r="BF11" s="28"/>
      <c r="BG11" s="28">
        <v>1200</v>
      </c>
      <c r="BH11" s="28"/>
      <c r="BI11" s="28"/>
      <c r="BJ11" s="28">
        <v>2200</v>
      </c>
      <c r="BK11" s="28"/>
      <c r="BL11" s="100">
        <v>400</v>
      </c>
      <c r="BM11" s="78">
        <f t="shared" si="0"/>
        <v>55000</v>
      </c>
    </row>
    <row r="12" spans="1:66" ht="39" customHeight="1" x14ac:dyDescent="0.35">
      <c r="A12" s="6">
        <v>8</v>
      </c>
      <c r="B12" s="7" t="s">
        <v>68</v>
      </c>
      <c r="C12" s="8">
        <v>7700</v>
      </c>
      <c r="D12" s="12" t="s">
        <v>69</v>
      </c>
      <c r="E12" s="10"/>
      <c r="F12" s="11"/>
      <c r="G12" s="11"/>
      <c r="H12" s="11"/>
      <c r="I12" s="56">
        <v>249</v>
      </c>
      <c r="J12" s="57"/>
      <c r="K12" s="28"/>
      <c r="L12" s="32"/>
      <c r="M12" s="32"/>
      <c r="N12" s="33"/>
      <c r="O12" s="32"/>
      <c r="P12" s="37">
        <v>150</v>
      </c>
      <c r="Q12" s="37"/>
      <c r="R12" s="37"/>
      <c r="S12" s="37">
        <v>100</v>
      </c>
      <c r="T12" s="41"/>
      <c r="U12" s="41"/>
      <c r="V12" s="41"/>
      <c r="W12" s="50"/>
      <c r="X12" s="50">
        <v>200</v>
      </c>
      <c r="Y12" s="50"/>
      <c r="Z12" s="50">
        <v>100</v>
      </c>
      <c r="AA12" s="50">
        <v>200</v>
      </c>
      <c r="AB12" s="69">
        <v>100</v>
      </c>
      <c r="AC12" s="69"/>
      <c r="AD12" s="69">
        <v>100</v>
      </c>
      <c r="AE12" s="69">
        <v>50</v>
      </c>
      <c r="AF12" s="69"/>
      <c r="AG12" s="81">
        <v>155</v>
      </c>
      <c r="AH12" s="81">
        <v>50</v>
      </c>
      <c r="AI12" s="81"/>
      <c r="AJ12" s="81"/>
      <c r="AK12" s="81">
        <v>300</v>
      </c>
      <c r="AL12" s="81"/>
      <c r="AM12" s="81"/>
      <c r="AN12" s="86"/>
      <c r="AO12" s="86"/>
      <c r="AP12" s="86"/>
      <c r="AQ12" s="86"/>
      <c r="AR12" s="86"/>
      <c r="AS12" s="86">
        <v>500</v>
      </c>
      <c r="AT12" s="105"/>
      <c r="AU12" s="105">
        <v>100</v>
      </c>
      <c r="AV12" s="105">
        <v>100</v>
      </c>
      <c r="AW12" s="105"/>
      <c r="AX12" s="105"/>
      <c r="AY12" s="105"/>
      <c r="AZ12" s="95"/>
      <c r="BA12" s="95"/>
      <c r="BB12" s="95"/>
      <c r="BC12" s="95"/>
      <c r="BD12" s="95"/>
      <c r="BE12" s="28"/>
      <c r="BF12" s="28"/>
      <c r="BG12" s="28"/>
      <c r="BH12" s="28"/>
      <c r="BI12" s="28"/>
      <c r="BJ12" s="28">
        <v>100</v>
      </c>
      <c r="BK12" s="28"/>
      <c r="BL12" s="100"/>
      <c r="BM12" s="78">
        <f t="shared" si="0"/>
        <v>2554</v>
      </c>
    </row>
    <row r="13" spans="1:66" ht="50.15" customHeight="1" x14ac:dyDescent="0.35">
      <c r="A13" s="6">
        <v>9</v>
      </c>
      <c r="B13" s="7" t="s">
        <v>70</v>
      </c>
      <c r="C13" s="8">
        <v>7700</v>
      </c>
      <c r="D13" s="9">
        <v>130101</v>
      </c>
      <c r="E13" s="10"/>
      <c r="F13" s="11"/>
      <c r="G13" s="11"/>
      <c r="H13" s="11"/>
      <c r="I13" s="56"/>
      <c r="J13" s="57">
        <v>10</v>
      </c>
      <c r="K13" s="28"/>
      <c r="L13" s="32"/>
      <c r="M13" s="32"/>
      <c r="N13" s="33"/>
      <c r="O13" s="32"/>
      <c r="P13" s="37"/>
      <c r="Q13" s="37">
        <v>10</v>
      </c>
      <c r="R13" s="37"/>
      <c r="S13" s="37"/>
      <c r="T13" s="41"/>
      <c r="U13" s="41"/>
      <c r="V13" s="41"/>
      <c r="W13" s="50"/>
      <c r="X13" s="50"/>
      <c r="Y13" s="50"/>
      <c r="Z13" s="50"/>
      <c r="AA13" s="50"/>
      <c r="AB13" s="69"/>
      <c r="AC13" s="69"/>
      <c r="AD13" s="69">
        <v>5</v>
      </c>
      <c r="AE13" s="69">
        <v>5</v>
      </c>
      <c r="AF13" s="69"/>
      <c r="AG13" s="81"/>
      <c r="AH13" s="81">
        <v>5</v>
      </c>
      <c r="AI13" s="81"/>
      <c r="AJ13" s="81"/>
      <c r="AK13" s="81">
        <v>5</v>
      </c>
      <c r="AL13" s="81"/>
      <c r="AM13" s="81"/>
      <c r="AN13" s="86"/>
      <c r="AO13" s="86"/>
      <c r="AP13" s="86"/>
      <c r="AQ13" s="86">
        <v>5</v>
      </c>
      <c r="AR13" s="86"/>
      <c r="AS13" s="86"/>
      <c r="AT13" s="105"/>
      <c r="AU13" s="105"/>
      <c r="AV13" s="105"/>
      <c r="AW13" s="105"/>
      <c r="AX13" s="105">
        <v>2</v>
      </c>
      <c r="AY13" s="105"/>
      <c r="AZ13" s="95"/>
      <c r="BA13" s="95"/>
      <c r="BB13" s="95"/>
      <c r="BC13" s="95">
        <v>5</v>
      </c>
      <c r="BD13" s="95">
        <v>2</v>
      </c>
      <c r="BE13" s="28"/>
      <c r="BF13" s="28"/>
      <c r="BG13" s="28"/>
      <c r="BH13" s="28"/>
      <c r="BI13" s="28"/>
      <c r="BJ13" s="28">
        <v>5</v>
      </c>
      <c r="BK13" s="28"/>
      <c r="BL13" s="100"/>
      <c r="BM13" s="78">
        <f t="shared" si="0"/>
        <v>59</v>
      </c>
    </row>
    <row r="14" spans="1:66" s="3" customFormat="1" x14ac:dyDescent="0.35">
      <c r="A14" s="13"/>
      <c r="B14" s="14" t="s">
        <v>71</v>
      </c>
      <c r="C14" s="15"/>
      <c r="D14" s="16"/>
      <c r="E14" s="17">
        <f t="shared" ref="E14:AJ14" si="1">SUM(E5:E13)</f>
        <v>2932</v>
      </c>
      <c r="F14" s="18">
        <f t="shared" si="1"/>
        <v>2669</v>
      </c>
      <c r="G14" s="18">
        <f t="shared" si="1"/>
        <v>1200</v>
      </c>
      <c r="H14" s="18">
        <f t="shared" si="1"/>
        <v>2886</v>
      </c>
      <c r="I14" s="56">
        <f t="shared" si="1"/>
        <v>9701</v>
      </c>
      <c r="J14" s="58">
        <f t="shared" si="1"/>
        <v>5195</v>
      </c>
      <c r="K14" s="29">
        <f t="shared" si="1"/>
        <v>4765</v>
      </c>
      <c r="L14" s="34">
        <f t="shared" si="1"/>
        <v>5485</v>
      </c>
      <c r="M14" s="34">
        <f t="shared" si="1"/>
        <v>5740</v>
      </c>
      <c r="N14" s="34">
        <f t="shared" si="1"/>
        <v>4475</v>
      </c>
      <c r="O14" s="34">
        <f t="shared" si="1"/>
        <v>2930</v>
      </c>
      <c r="P14" s="38">
        <f t="shared" si="1"/>
        <v>4990</v>
      </c>
      <c r="Q14" s="38">
        <f t="shared" si="1"/>
        <v>3590</v>
      </c>
      <c r="R14" s="38">
        <f t="shared" si="1"/>
        <v>2725</v>
      </c>
      <c r="S14" s="38">
        <f t="shared" si="1"/>
        <v>2780</v>
      </c>
      <c r="T14" s="42">
        <f t="shared" si="1"/>
        <v>3600</v>
      </c>
      <c r="U14" s="42">
        <f t="shared" si="1"/>
        <v>3970</v>
      </c>
      <c r="V14" s="42">
        <f t="shared" si="1"/>
        <v>3410</v>
      </c>
      <c r="W14" s="52">
        <f t="shared" si="1"/>
        <v>1775</v>
      </c>
      <c r="X14" s="52">
        <f t="shared" si="1"/>
        <v>4880</v>
      </c>
      <c r="Y14" s="52">
        <f t="shared" si="1"/>
        <v>59</v>
      </c>
      <c r="Z14" s="52">
        <f t="shared" si="1"/>
        <v>2510</v>
      </c>
      <c r="AA14" s="52">
        <f t="shared" si="1"/>
        <v>2240</v>
      </c>
      <c r="AB14" s="70">
        <f t="shared" si="1"/>
        <v>4770</v>
      </c>
      <c r="AC14" s="70">
        <f t="shared" si="1"/>
        <v>72</v>
      </c>
      <c r="AD14" s="70">
        <f t="shared" si="1"/>
        <v>4270</v>
      </c>
      <c r="AE14" s="70">
        <f t="shared" si="1"/>
        <v>4000</v>
      </c>
      <c r="AF14" s="70">
        <f t="shared" si="1"/>
        <v>75</v>
      </c>
      <c r="AG14" s="82">
        <f t="shared" si="1"/>
        <v>2355</v>
      </c>
      <c r="AH14" s="82">
        <f t="shared" si="1"/>
        <v>3570</v>
      </c>
      <c r="AI14" s="82">
        <f t="shared" si="1"/>
        <v>50</v>
      </c>
      <c r="AJ14" s="82">
        <f t="shared" si="1"/>
        <v>2935</v>
      </c>
      <c r="AK14" s="82">
        <f t="shared" ref="AK14:BL14" si="2">SUM(AK5:AK13)</f>
        <v>2590</v>
      </c>
      <c r="AL14" s="82">
        <f t="shared" si="2"/>
        <v>2255</v>
      </c>
      <c r="AM14" s="82">
        <f t="shared" si="2"/>
        <v>54</v>
      </c>
      <c r="AN14" s="87">
        <f t="shared" si="2"/>
        <v>2860</v>
      </c>
      <c r="AO14" s="87">
        <f t="shared" si="2"/>
        <v>30</v>
      </c>
      <c r="AP14" s="87">
        <f t="shared" si="2"/>
        <v>2910</v>
      </c>
      <c r="AQ14" s="87">
        <f t="shared" si="2"/>
        <v>3370</v>
      </c>
      <c r="AR14" s="87">
        <f t="shared" si="2"/>
        <v>55</v>
      </c>
      <c r="AS14" s="87">
        <f t="shared" si="2"/>
        <v>2950</v>
      </c>
      <c r="AT14" s="18">
        <f t="shared" si="2"/>
        <v>3240</v>
      </c>
      <c r="AU14" s="18">
        <f t="shared" si="2"/>
        <v>3225</v>
      </c>
      <c r="AV14" s="18">
        <f t="shared" si="2"/>
        <v>2990</v>
      </c>
      <c r="AW14" s="18">
        <f t="shared" si="2"/>
        <v>56</v>
      </c>
      <c r="AX14" s="18">
        <f t="shared" si="2"/>
        <v>3250</v>
      </c>
      <c r="AY14" s="18">
        <f t="shared" si="2"/>
        <v>2520</v>
      </c>
      <c r="AZ14" s="96">
        <f t="shared" si="2"/>
        <v>3470</v>
      </c>
      <c r="BA14" s="96">
        <f t="shared" si="2"/>
        <v>56</v>
      </c>
      <c r="BB14" s="96">
        <f t="shared" si="2"/>
        <v>3260</v>
      </c>
      <c r="BC14" s="96">
        <f t="shared" si="2"/>
        <v>3290</v>
      </c>
      <c r="BD14" s="96">
        <f t="shared" si="2"/>
        <v>3460</v>
      </c>
      <c r="BE14" s="29">
        <f t="shared" si="2"/>
        <v>3830</v>
      </c>
      <c r="BF14" s="29">
        <f t="shared" si="2"/>
        <v>56</v>
      </c>
      <c r="BG14" s="29">
        <f t="shared" si="2"/>
        <v>3510</v>
      </c>
      <c r="BH14" s="29">
        <f t="shared" si="2"/>
        <v>56</v>
      </c>
      <c r="BI14" s="29">
        <f t="shared" si="2"/>
        <v>2610</v>
      </c>
      <c r="BJ14" s="29">
        <f t="shared" si="2"/>
        <v>4125</v>
      </c>
      <c r="BK14" s="29">
        <f t="shared" si="2"/>
        <v>72</v>
      </c>
      <c r="BL14" s="101">
        <f t="shared" si="2"/>
        <v>3155</v>
      </c>
      <c r="BM14" s="78">
        <f t="shared" si="0"/>
        <v>169909</v>
      </c>
    </row>
    <row r="15" spans="1:66" s="3" customFormat="1" x14ac:dyDescent="0.35">
      <c r="A15" s="13"/>
      <c r="B15" s="14" t="s">
        <v>72</v>
      </c>
      <c r="C15" s="19"/>
      <c r="D15" s="16"/>
      <c r="E15" s="20">
        <f t="shared" ref="E15:K15" si="3">E5*$C$5+E6*$C$6+E7*$C$7+E8*$C$8+E9*$C$9+E11*$C$11+E13*$C$13+E12*$C$12</f>
        <v>19496400</v>
      </c>
      <c r="F15" s="20">
        <f t="shared" si="3"/>
        <v>19231300</v>
      </c>
      <c r="G15" s="20">
        <f t="shared" si="3"/>
        <v>7920000</v>
      </c>
      <c r="H15" s="20">
        <f t="shared" si="3"/>
        <v>20022200</v>
      </c>
      <c r="I15" s="59">
        <f t="shared" si="3"/>
        <v>67489200</v>
      </c>
      <c r="J15" s="60">
        <f t="shared" si="3"/>
        <v>35601500</v>
      </c>
      <c r="K15" s="30">
        <f t="shared" si="3"/>
        <v>32290500</v>
      </c>
      <c r="L15" s="35">
        <f>L5*$C$5+L6*$C$6+L7*$C$7+L8*$C$8+L9*$C$9+L11*$C$11+L13*$C$13</f>
        <v>37834500</v>
      </c>
      <c r="M15" s="35">
        <f>M5*$C$5+M6*$C$6+M7*$C$7+M8*$C$8+M9*$C$9+M11*$C$11+M13*$C$13</f>
        <v>37598000</v>
      </c>
      <c r="N15" s="35">
        <f>N5*$C$5+N6*$C$6+N7*$C$7+N8*$C$8+N9*$C$9+N11*$C$11+N13*$C$13</f>
        <v>30497500</v>
      </c>
      <c r="O15" s="35">
        <f>O5*$C$5+O6*$C$6+O7*$C$7+O8*$C$8+O9*$C$9+O11*$C$11+O13*$C$13</f>
        <v>20361000</v>
      </c>
      <c r="P15" s="39">
        <f>P5*$C$5+P6*$C$6+P7*$C$7+P8*$C$8+P9*$C$9+P11*$C$11+P13*$C$13+P12*$C$12</f>
        <v>34023000</v>
      </c>
      <c r="Q15" s="39">
        <f>Q5*$C$5+Q6*$C$6+Q7*$C$7+Q8*$C$8+Q9*$C$9+Q11*$C$11+Q13*$C$13+Q12*$C$12</f>
        <v>24123000</v>
      </c>
      <c r="R15" s="39">
        <f t="shared" ref="R15:BL15" si="4">R5*$C$5+R6*$C$6+R7*$C$7+R8*$C$8+R9*$C$9+R10*$C$10+R11*$C$11+R13*$C$13+R12*$C$12</f>
        <v>20102500</v>
      </c>
      <c r="S15" s="39">
        <f t="shared" si="4"/>
        <v>20192000</v>
      </c>
      <c r="T15" s="54">
        <f t="shared" si="4"/>
        <v>25960000</v>
      </c>
      <c r="U15" s="54">
        <f t="shared" si="4"/>
        <v>27929000</v>
      </c>
      <c r="V15" s="54">
        <f t="shared" si="4"/>
        <v>24497000</v>
      </c>
      <c r="W15" s="51">
        <f t="shared" si="4"/>
        <v>13667500</v>
      </c>
      <c r="X15" s="51">
        <f t="shared" si="4"/>
        <v>33176000</v>
      </c>
      <c r="Y15" s="51">
        <f t="shared" si="4"/>
        <v>2065000</v>
      </c>
      <c r="Z15" s="51">
        <f t="shared" si="4"/>
        <v>18007000</v>
      </c>
      <c r="AA15" s="51">
        <f t="shared" si="4"/>
        <v>16148000</v>
      </c>
      <c r="AB15" s="71">
        <f t="shared" si="4"/>
        <v>33649000</v>
      </c>
      <c r="AC15" s="71">
        <f t="shared" si="4"/>
        <v>2520000</v>
      </c>
      <c r="AD15" s="71">
        <f t="shared" si="4"/>
        <v>29799000</v>
      </c>
      <c r="AE15" s="71">
        <f t="shared" si="4"/>
        <v>28160000</v>
      </c>
      <c r="AF15" s="71">
        <f t="shared" si="4"/>
        <v>2625000</v>
      </c>
      <c r="AG15" s="83">
        <f t="shared" si="4"/>
        <v>18133500</v>
      </c>
      <c r="AH15" s="83">
        <f t="shared" si="4"/>
        <v>24409000</v>
      </c>
      <c r="AI15" s="83">
        <f t="shared" si="4"/>
        <v>1750000</v>
      </c>
      <c r="AJ15" s="83">
        <f t="shared" si="4"/>
        <v>20399500</v>
      </c>
      <c r="AK15" s="83">
        <f t="shared" si="4"/>
        <v>21793000</v>
      </c>
      <c r="AL15" s="83">
        <f t="shared" si="4"/>
        <v>17363500</v>
      </c>
      <c r="AM15" s="83">
        <f t="shared" si="4"/>
        <v>1890000</v>
      </c>
      <c r="AN15" s="88">
        <f t="shared" si="4"/>
        <v>24137000</v>
      </c>
      <c r="AO15" s="88">
        <f t="shared" si="4"/>
        <v>1050000</v>
      </c>
      <c r="AP15" s="88">
        <f t="shared" si="4"/>
        <v>22497000</v>
      </c>
      <c r="AQ15" s="88">
        <f t="shared" si="4"/>
        <v>22429000</v>
      </c>
      <c r="AR15" s="88">
        <f t="shared" si="4"/>
        <v>423500</v>
      </c>
      <c r="AS15" s="88">
        <f t="shared" si="4"/>
        <v>21395000</v>
      </c>
      <c r="AT15" s="21">
        <f t="shared" si="4"/>
        <v>24948000</v>
      </c>
      <c r="AU15" s="21">
        <f t="shared" si="4"/>
        <v>22632500</v>
      </c>
      <c r="AV15" s="21">
        <f t="shared" si="4"/>
        <v>23553000</v>
      </c>
      <c r="AW15" s="21">
        <f t="shared" si="4"/>
        <v>1960000</v>
      </c>
      <c r="AX15" s="21">
        <f t="shared" si="4"/>
        <v>22825000</v>
      </c>
      <c r="AY15" s="21">
        <f t="shared" si="4"/>
        <v>19404000</v>
      </c>
      <c r="AZ15" s="97">
        <f t="shared" si="4"/>
        <v>23639000</v>
      </c>
      <c r="BA15" s="97">
        <f t="shared" si="4"/>
        <v>1960000</v>
      </c>
      <c r="BB15" s="97">
        <f t="shared" si="4"/>
        <v>22902000</v>
      </c>
      <c r="BC15" s="97">
        <f t="shared" si="4"/>
        <v>24893000</v>
      </c>
      <c r="BD15" s="97">
        <f t="shared" si="4"/>
        <v>24442000</v>
      </c>
      <c r="BE15" s="30">
        <f t="shared" si="4"/>
        <v>24651000</v>
      </c>
      <c r="BF15" s="30">
        <f t="shared" si="4"/>
        <v>1960000</v>
      </c>
      <c r="BG15" s="30">
        <f t="shared" si="4"/>
        <v>24387000</v>
      </c>
      <c r="BH15" s="30">
        <f t="shared" si="4"/>
        <v>1960000</v>
      </c>
      <c r="BI15" s="30">
        <f t="shared" si="4"/>
        <v>20097000</v>
      </c>
      <c r="BJ15" s="30">
        <f t="shared" si="4"/>
        <v>26922500</v>
      </c>
      <c r="BK15" s="30">
        <f t="shared" si="4"/>
        <v>2520000</v>
      </c>
      <c r="BL15" s="30">
        <f t="shared" si="4"/>
        <v>23413500</v>
      </c>
      <c r="BM15" s="79">
        <f t="shared" si="0"/>
        <v>1221724600</v>
      </c>
    </row>
    <row r="16" spans="1:66" s="3" customFormat="1" x14ac:dyDescent="0.35">
      <c r="A16" s="13"/>
      <c r="B16" s="14" t="s">
        <v>73</v>
      </c>
      <c r="C16" s="19"/>
      <c r="D16" s="16"/>
      <c r="E16" s="20">
        <f t="shared" ref="E16:BL16" si="5">+E15*10%</f>
        <v>1949640</v>
      </c>
      <c r="F16" s="21">
        <f t="shared" si="5"/>
        <v>1923130</v>
      </c>
      <c r="G16" s="21">
        <f t="shared" si="5"/>
        <v>792000</v>
      </c>
      <c r="H16" s="21">
        <f t="shared" si="5"/>
        <v>2002220</v>
      </c>
      <c r="I16" s="61">
        <f t="shared" si="5"/>
        <v>6748920</v>
      </c>
      <c r="J16" s="60">
        <f t="shared" si="5"/>
        <v>3560150</v>
      </c>
      <c r="K16" s="30">
        <f t="shared" si="5"/>
        <v>3229050</v>
      </c>
      <c r="L16" s="35">
        <f t="shared" si="5"/>
        <v>3783450</v>
      </c>
      <c r="M16" s="35">
        <f t="shared" si="5"/>
        <v>3759800</v>
      </c>
      <c r="N16" s="35">
        <f t="shared" si="5"/>
        <v>3049750</v>
      </c>
      <c r="O16" s="35">
        <f t="shared" si="5"/>
        <v>2036100</v>
      </c>
      <c r="P16" s="39">
        <f t="shared" si="5"/>
        <v>3402300</v>
      </c>
      <c r="Q16" s="39">
        <f t="shared" si="5"/>
        <v>2412300</v>
      </c>
      <c r="R16" s="39">
        <f t="shared" si="5"/>
        <v>2010250</v>
      </c>
      <c r="S16" s="39">
        <f t="shared" si="5"/>
        <v>2019200</v>
      </c>
      <c r="T16" s="43">
        <f t="shared" si="5"/>
        <v>2596000</v>
      </c>
      <c r="U16" s="43">
        <f t="shared" si="5"/>
        <v>2792900</v>
      </c>
      <c r="V16" s="43">
        <f t="shared" si="5"/>
        <v>2449700</v>
      </c>
      <c r="W16" s="51">
        <f t="shared" si="5"/>
        <v>1366750</v>
      </c>
      <c r="X16" s="51">
        <f t="shared" si="5"/>
        <v>3317600</v>
      </c>
      <c r="Y16" s="51">
        <f t="shared" si="5"/>
        <v>206500</v>
      </c>
      <c r="Z16" s="51">
        <f t="shared" si="5"/>
        <v>1800700</v>
      </c>
      <c r="AA16" s="51">
        <f t="shared" si="5"/>
        <v>1614800</v>
      </c>
      <c r="AB16" s="71">
        <f t="shared" si="5"/>
        <v>3364900</v>
      </c>
      <c r="AC16" s="71">
        <f t="shared" si="5"/>
        <v>252000</v>
      </c>
      <c r="AD16" s="71">
        <f t="shared" si="5"/>
        <v>2979900</v>
      </c>
      <c r="AE16" s="71">
        <f t="shared" si="5"/>
        <v>2816000</v>
      </c>
      <c r="AF16" s="71">
        <f t="shared" si="5"/>
        <v>262500</v>
      </c>
      <c r="AG16" s="83">
        <f t="shared" si="5"/>
        <v>1813350</v>
      </c>
      <c r="AH16" s="83">
        <f t="shared" si="5"/>
        <v>2440900</v>
      </c>
      <c r="AI16" s="83">
        <f t="shared" si="5"/>
        <v>175000</v>
      </c>
      <c r="AJ16" s="83">
        <f t="shared" si="5"/>
        <v>2039950</v>
      </c>
      <c r="AK16" s="83">
        <f t="shared" si="5"/>
        <v>2179300</v>
      </c>
      <c r="AL16" s="83">
        <f t="shared" si="5"/>
        <v>1736350</v>
      </c>
      <c r="AM16" s="83">
        <f t="shared" si="5"/>
        <v>189000</v>
      </c>
      <c r="AN16" s="88">
        <f t="shared" si="5"/>
        <v>2413700</v>
      </c>
      <c r="AO16" s="88">
        <f t="shared" si="5"/>
        <v>105000</v>
      </c>
      <c r="AP16" s="88">
        <f t="shared" si="5"/>
        <v>2249700</v>
      </c>
      <c r="AQ16" s="88">
        <f t="shared" si="5"/>
        <v>2242900</v>
      </c>
      <c r="AR16" s="88">
        <f t="shared" si="5"/>
        <v>42350</v>
      </c>
      <c r="AS16" s="88">
        <f t="shared" si="5"/>
        <v>2139500</v>
      </c>
      <c r="AT16" s="21">
        <f t="shared" si="5"/>
        <v>2494800</v>
      </c>
      <c r="AU16" s="21">
        <f t="shared" si="5"/>
        <v>2263250</v>
      </c>
      <c r="AV16" s="21">
        <f t="shared" si="5"/>
        <v>2355300</v>
      </c>
      <c r="AW16" s="21">
        <f t="shared" si="5"/>
        <v>196000</v>
      </c>
      <c r="AX16" s="21">
        <f t="shared" si="5"/>
        <v>2282500</v>
      </c>
      <c r="AY16" s="21">
        <f t="shared" si="5"/>
        <v>1940400</v>
      </c>
      <c r="AZ16" s="97">
        <f t="shared" si="5"/>
        <v>2363900</v>
      </c>
      <c r="BA16" s="97">
        <f t="shared" si="5"/>
        <v>196000</v>
      </c>
      <c r="BB16" s="97">
        <f t="shared" si="5"/>
        <v>2290200</v>
      </c>
      <c r="BC16" s="97">
        <f t="shared" si="5"/>
        <v>2489300</v>
      </c>
      <c r="BD16" s="97">
        <f t="shared" si="5"/>
        <v>2444200</v>
      </c>
      <c r="BE16" s="30">
        <f t="shared" si="5"/>
        <v>2465100</v>
      </c>
      <c r="BF16" s="30">
        <f t="shared" si="5"/>
        <v>196000</v>
      </c>
      <c r="BG16" s="30">
        <f t="shared" si="5"/>
        <v>2438700</v>
      </c>
      <c r="BH16" s="30">
        <f t="shared" si="5"/>
        <v>196000</v>
      </c>
      <c r="BI16" s="30">
        <f t="shared" si="5"/>
        <v>2009700</v>
      </c>
      <c r="BJ16" s="30">
        <f t="shared" si="5"/>
        <v>2692250</v>
      </c>
      <c r="BK16" s="30">
        <f t="shared" si="5"/>
        <v>252000</v>
      </c>
      <c r="BL16" s="102">
        <f t="shared" si="5"/>
        <v>2341350</v>
      </c>
      <c r="BM16" s="79">
        <f t="shared" si="0"/>
        <v>122172460</v>
      </c>
    </row>
    <row r="17" spans="1:66" s="3" customFormat="1" ht="17" thickBot="1" x14ac:dyDescent="0.4">
      <c r="A17" s="13"/>
      <c r="B17" s="14" t="s">
        <v>74</v>
      </c>
      <c r="C17" s="19"/>
      <c r="D17" s="16"/>
      <c r="E17" s="22">
        <f t="shared" ref="E17:BL17" si="6">+E15+E16</f>
        <v>21446040</v>
      </c>
      <c r="F17" s="23">
        <f t="shared" si="6"/>
        <v>21154430</v>
      </c>
      <c r="G17" s="23">
        <f t="shared" si="6"/>
        <v>8712000</v>
      </c>
      <c r="H17" s="23">
        <f t="shared" si="6"/>
        <v>22024420</v>
      </c>
      <c r="I17" s="62">
        <f t="shared" si="6"/>
        <v>74238120</v>
      </c>
      <c r="J17" s="63">
        <f t="shared" si="6"/>
        <v>39161650</v>
      </c>
      <c r="K17" s="31">
        <f t="shared" si="6"/>
        <v>35519550</v>
      </c>
      <c r="L17" s="36">
        <f t="shared" si="6"/>
        <v>41617950</v>
      </c>
      <c r="M17" s="36">
        <f t="shared" si="6"/>
        <v>41357800</v>
      </c>
      <c r="N17" s="36">
        <f t="shared" si="6"/>
        <v>33547250</v>
      </c>
      <c r="O17" s="36">
        <f t="shared" si="6"/>
        <v>22397100</v>
      </c>
      <c r="P17" s="40">
        <f t="shared" si="6"/>
        <v>37425300</v>
      </c>
      <c r="Q17" s="40">
        <f t="shared" si="6"/>
        <v>26535300</v>
      </c>
      <c r="R17" s="40">
        <f t="shared" si="6"/>
        <v>22112750</v>
      </c>
      <c r="S17" s="40">
        <f t="shared" si="6"/>
        <v>22211200</v>
      </c>
      <c r="T17" s="44">
        <f t="shared" si="6"/>
        <v>28556000</v>
      </c>
      <c r="U17" s="44">
        <f t="shared" si="6"/>
        <v>30721900</v>
      </c>
      <c r="V17" s="44">
        <f t="shared" si="6"/>
        <v>26946700</v>
      </c>
      <c r="W17" s="53">
        <f t="shared" si="6"/>
        <v>15034250</v>
      </c>
      <c r="X17" s="53">
        <f t="shared" si="6"/>
        <v>36493600</v>
      </c>
      <c r="Y17" s="53">
        <f t="shared" si="6"/>
        <v>2271500</v>
      </c>
      <c r="Z17" s="53">
        <f t="shared" si="6"/>
        <v>19807700</v>
      </c>
      <c r="AA17" s="53">
        <f t="shared" si="6"/>
        <v>17762800</v>
      </c>
      <c r="AB17" s="72">
        <f t="shared" si="6"/>
        <v>37013900</v>
      </c>
      <c r="AC17" s="72">
        <f t="shared" si="6"/>
        <v>2772000</v>
      </c>
      <c r="AD17" s="72">
        <f t="shared" si="6"/>
        <v>32778900</v>
      </c>
      <c r="AE17" s="72">
        <f t="shared" si="6"/>
        <v>30976000</v>
      </c>
      <c r="AF17" s="72">
        <f t="shared" si="6"/>
        <v>2887500</v>
      </c>
      <c r="AG17" s="84">
        <f t="shared" si="6"/>
        <v>19946850</v>
      </c>
      <c r="AH17" s="84">
        <f t="shared" si="6"/>
        <v>26849900</v>
      </c>
      <c r="AI17" s="84">
        <f t="shared" si="6"/>
        <v>1925000</v>
      </c>
      <c r="AJ17" s="84">
        <f t="shared" si="6"/>
        <v>22439450</v>
      </c>
      <c r="AK17" s="84">
        <f t="shared" si="6"/>
        <v>23972300</v>
      </c>
      <c r="AL17" s="84">
        <f t="shared" si="6"/>
        <v>19099850</v>
      </c>
      <c r="AM17" s="84">
        <f t="shared" si="6"/>
        <v>2079000</v>
      </c>
      <c r="AN17" s="89">
        <f t="shared" si="6"/>
        <v>26550700</v>
      </c>
      <c r="AO17" s="89">
        <f t="shared" si="6"/>
        <v>1155000</v>
      </c>
      <c r="AP17" s="89">
        <f t="shared" si="6"/>
        <v>24746700</v>
      </c>
      <c r="AQ17" s="89">
        <f t="shared" si="6"/>
        <v>24671900</v>
      </c>
      <c r="AR17" s="89">
        <f t="shared" si="6"/>
        <v>465850</v>
      </c>
      <c r="AS17" s="89">
        <f t="shared" si="6"/>
        <v>23534500</v>
      </c>
      <c r="AT17" s="23">
        <f t="shared" si="6"/>
        <v>27442800</v>
      </c>
      <c r="AU17" s="23">
        <f t="shared" si="6"/>
        <v>24895750</v>
      </c>
      <c r="AV17" s="23">
        <f t="shared" si="6"/>
        <v>25908300</v>
      </c>
      <c r="AW17" s="23">
        <f t="shared" si="6"/>
        <v>2156000</v>
      </c>
      <c r="AX17" s="23">
        <f t="shared" si="6"/>
        <v>25107500</v>
      </c>
      <c r="AY17" s="23">
        <f t="shared" si="6"/>
        <v>21344400</v>
      </c>
      <c r="AZ17" s="98">
        <f t="shared" si="6"/>
        <v>26002900</v>
      </c>
      <c r="BA17" s="98">
        <f t="shared" si="6"/>
        <v>2156000</v>
      </c>
      <c r="BB17" s="98">
        <f t="shared" si="6"/>
        <v>25192200</v>
      </c>
      <c r="BC17" s="98">
        <f t="shared" si="6"/>
        <v>27382300</v>
      </c>
      <c r="BD17" s="98">
        <f t="shared" si="6"/>
        <v>26886200</v>
      </c>
      <c r="BE17" s="31">
        <f t="shared" si="6"/>
        <v>27116100</v>
      </c>
      <c r="BF17" s="31">
        <f t="shared" si="6"/>
        <v>2156000</v>
      </c>
      <c r="BG17" s="31">
        <f t="shared" si="6"/>
        <v>26825700</v>
      </c>
      <c r="BH17" s="31">
        <f t="shared" si="6"/>
        <v>2156000</v>
      </c>
      <c r="BI17" s="31">
        <f t="shared" si="6"/>
        <v>22106700</v>
      </c>
      <c r="BJ17" s="31">
        <f t="shared" si="6"/>
        <v>29614750</v>
      </c>
      <c r="BK17" s="31">
        <f t="shared" si="6"/>
        <v>2772000</v>
      </c>
      <c r="BL17" s="103">
        <f t="shared" si="6"/>
        <v>25754850</v>
      </c>
      <c r="BM17" s="79">
        <f t="shared" si="0"/>
        <v>1343897060</v>
      </c>
      <c r="BN17" s="24"/>
    </row>
    <row r="18" spans="1:66" ht="41.25" customHeight="1" x14ac:dyDescent="0.35">
      <c r="A18" s="297" t="s">
        <v>75</v>
      </c>
      <c r="B18" s="298"/>
      <c r="C18" s="298"/>
      <c r="D18" s="299"/>
      <c r="E18" s="300" t="s">
        <v>76</v>
      </c>
      <c r="F18" s="300"/>
      <c r="G18" s="300"/>
      <c r="H18" s="300"/>
      <c r="I18" s="300"/>
      <c r="J18" s="300"/>
      <c r="K18" s="300"/>
      <c r="L18" s="300"/>
      <c r="M18" s="300"/>
      <c r="N18" s="300"/>
      <c r="O18" s="300"/>
      <c r="P18" s="300"/>
      <c r="Q18" s="300"/>
      <c r="R18" s="300"/>
      <c r="S18" s="300"/>
      <c r="T18" s="301"/>
      <c r="U18" s="301"/>
      <c r="V18" s="301"/>
      <c r="W18" s="301"/>
      <c r="X18" s="301"/>
      <c r="Y18" s="301"/>
      <c r="Z18" s="300"/>
      <c r="AA18" s="300"/>
      <c r="AB18" s="300"/>
      <c r="AC18" s="300"/>
      <c r="AD18" s="300"/>
      <c r="AE18" s="300"/>
      <c r="AF18" s="300"/>
      <c r="AG18" s="300"/>
      <c r="AH18" s="300"/>
      <c r="AI18" s="300"/>
      <c r="AJ18" s="300"/>
      <c r="AK18" s="300"/>
      <c r="AL18" s="300"/>
      <c r="AM18" s="300"/>
      <c r="AN18" s="300"/>
      <c r="AO18" s="300"/>
      <c r="AP18" s="300"/>
      <c r="AQ18" s="300"/>
      <c r="AR18" s="300"/>
      <c r="AS18" s="300"/>
      <c r="AT18" s="300"/>
      <c r="AU18" s="300"/>
      <c r="AV18" s="300"/>
      <c r="AW18" s="300"/>
      <c r="AX18" s="300"/>
      <c r="AY18" s="300"/>
      <c r="AZ18" s="300"/>
      <c r="BA18" s="300"/>
      <c r="BB18" s="300"/>
      <c r="BC18" s="300"/>
      <c r="BD18" s="300"/>
      <c r="BE18" s="300"/>
      <c r="BF18" s="300"/>
      <c r="BG18" s="300"/>
      <c r="BH18" s="300"/>
      <c r="BI18" s="300"/>
      <c r="BJ18" s="300"/>
      <c r="BK18" s="300"/>
      <c r="BL18" s="300"/>
      <c r="BM18" s="25"/>
      <c r="BN18" s="26"/>
    </row>
    <row r="19" spans="1:66" s="47" customFormat="1" ht="35.25" customHeight="1" x14ac:dyDescent="0.35">
      <c r="A19" s="294" t="s">
        <v>77</v>
      </c>
      <c r="B19" s="295"/>
      <c r="C19" s="295"/>
      <c r="D19" s="296"/>
      <c r="E19" s="291" t="s">
        <v>78</v>
      </c>
      <c r="F19" s="292"/>
      <c r="G19" s="292"/>
      <c r="H19" s="293"/>
      <c r="I19" s="76" t="s">
        <v>79</v>
      </c>
      <c r="J19" s="66" t="s">
        <v>80</v>
      </c>
      <c r="K19" s="291" t="s">
        <v>81</v>
      </c>
      <c r="L19" s="292"/>
      <c r="M19" s="292"/>
      <c r="N19" s="292"/>
      <c r="O19" s="292"/>
      <c r="P19" s="292"/>
      <c r="Q19" s="293"/>
      <c r="R19" s="291" t="s">
        <v>80</v>
      </c>
      <c r="S19" s="302"/>
      <c r="T19" s="303" t="s">
        <v>82</v>
      </c>
      <c r="U19" s="292"/>
      <c r="V19" s="292"/>
      <c r="W19" s="292"/>
      <c r="X19" s="292"/>
      <c r="Y19" s="92" t="s">
        <v>79</v>
      </c>
      <c r="Z19" s="303" t="s">
        <v>83</v>
      </c>
      <c r="AA19" s="292"/>
      <c r="AB19" s="292"/>
      <c r="AC19" s="92" t="s">
        <v>79</v>
      </c>
      <c r="AD19" s="304" t="s">
        <v>83</v>
      </c>
      <c r="AE19" s="304"/>
      <c r="AF19" s="92" t="s">
        <v>79</v>
      </c>
      <c r="AG19" s="90"/>
      <c r="AH19" s="90"/>
      <c r="AI19" s="90"/>
      <c r="AJ19" s="90"/>
      <c r="AK19" s="90"/>
      <c r="AL19" s="90"/>
      <c r="AM19" s="90"/>
      <c r="AN19" s="90"/>
      <c r="AO19" s="90"/>
      <c r="AP19" s="90"/>
      <c r="AQ19" s="90"/>
      <c r="AR19" s="90"/>
      <c r="AS19" s="90"/>
      <c r="AT19" s="90"/>
      <c r="AU19" s="90"/>
      <c r="AV19" s="90"/>
      <c r="AW19" s="90"/>
      <c r="AX19" s="90"/>
      <c r="AY19" s="90"/>
      <c r="AZ19" s="90"/>
      <c r="BA19" s="90"/>
      <c r="BB19" s="90"/>
      <c r="BC19" s="90"/>
      <c r="BD19" s="90"/>
      <c r="BE19" s="90"/>
      <c r="BF19" s="90"/>
      <c r="BG19" s="90"/>
      <c r="BH19" s="90"/>
      <c r="BI19" s="90"/>
      <c r="BJ19" s="90"/>
      <c r="BK19" s="90"/>
      <c r="BL19" s="91"/>
    </row>
    <row r="20" spans="1:66" x14ac:dyDescent="0.35">
      <c r="BM20" s="3">
        <v>169909</v>
      </c>
    </row>
    <row r="21" spans="1:66" x14ac:dyDescent="0.35">
      <c r="G21" s="2" t="s">
        <v>84</v>
      </c>
    </row>
    <row r="23" spans="1:66" x14ac:dyDescent="0.35">
      <c r="Q23" s="48"/>
    </row>
    <row r="24" spans="1:66" x14ac:dyDescent="0.35">
      <c r="O24" s="26"/>
      <c r="AL24" s="2">
        <f>280*35000</f>
        <v>9800000</v>
      </c>
    </row>
    <row r="26" spans="1:66" x14ac:dyDescent="0.35">
      <c r="AL26" s="2">
        <f>280*5500</f>
        <v>1540000</v>
      </c>
    </row>
    <row r="31" spans="1:66" x14ac:dyDescent="0.35">
      <c r="G31" s="2">
        <f>1300000*0.3</f>
        <v>390000</v>
      </c>
    </row>
  </sheetData>
  <mergeCells count="27">
    <mergeCell ref="A1:BM1"/>
    <mergeCell ref="A2:A4"/>
    <mergeCell ref="J3:K3"/>
    <mergeCell ref="L3:O3"/>
    <mergeCell ref="E3:I3"/>
    <mergeCell ref="P3:S3"/>
    <mergeCell ref="T3:V3"/>
    <mergeCell ref="D3:D4"/>
    <mergeCell ref="C3:C4"/>
    <mergeCell ref="B3:B4"/>
    <mergeCell ref="B2:D2"/>
    <mergeCell ref="W3:AA3"/>
    <mergeCell ref="AB3:AF3"/>
    <mergeCell ref="AG3:AM3"/>
    <mergeCell ref="AN3:AS3"/>
    <mergeCell ref="AT3:AY3"/>
    <mergeCell ref="AZ3:BD3"/>
    <mergeCell ref="BE3:BL3"/>
    <mergeCell ref="K19:Q19"/>
    <mergeCell ref="A19:D19"/>
    <mergeCell ref="A18:D18"/>
    <mergeCell ref="E18:BL18"/>
    <mergeCell ref="E19:H19"/>
    <mergeCell ref="R19:S19"/>
    <mergeCell ref="T19:X19"/>
    <mergeCell ref="Z19:AB19"/>
    <mergeCell ref="AD19:AE19"/>
  </mergeCells>
  <pageMargins left="0.7" right="0.7" top="0.75" bottom="0.75" header="0.3" footer="0.3"/>
  <pageSetup scale="50" orientation="landscape"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N32"/>
  <sheetViews>
    <sheetView zoomScale="70" zoomScaleNormal="70" workbookViewId="0">
      <pane xSplit="3" ySplit="4" topLeftCell="BT6" activePane="bottomRight" state="frozen"/>
      <selection pane="topRight" activeCell="E1" sqref="E1"/>
      <selection pane="bottomLeft" activeCell="A4" sqref="A4"/>
      <selection pane="bottomRight" activeCell="B6" sqref="A6:XFD6"/>
    </sheetView>
  </sheetViews>
  <sheetFormatPr defaultColWidth="9.1796875" defaultRowHeight="16.5" x14ac:dyDescent="0.35"/>
  <cols>
    <col min="1" max="1" width="4.81640625" style="2" bestFit="1" customWidth="1"/>
    <col min="2" max="2" width="32.54296875" style="27" customWidth="1"/>
    <col min="3" max="3" width="19" style="27" customWidth="1"/>
    <col min="4" max="4" width="14" style="2" customWidth="1"/>
    <col min="5" max="11" width="15.1796875" style="2" customWidth="1"/>
    <col min="12" max="15" width="14.81640625" style="2" customWidth="1"/>
    <col min="16" max="38" width="15.1796875" style="2" customWidth="1"/>
    <col min="39" max="39" width="16.453125" style="2" customWidth="1"/>
    <col min="40" max="41" width="15.1796875" style="2" customWidth="1"/>
    <col min="42" max="42" width="16.81640625" style="2" customWidth="1"/>
    <col min="43" max="90" width="15.1796875" style="2" customWidth="1"/>
    <col min="91" max="91" width="24.453125" style="134" customWidth="1"/>
    <col min="92" max="92" width="9.1796875" style="2" customWidth="1"/>
    <col min="93" max="16384" width="9.1796875" style="2"/>
  </cols>
  <sheetData>
    <row r="1" spans="1:92" ht="57.75" customHeight="1" x14ac:dyDescent="0.35">
      <c r="A1" s="271" t="s">
        <v>85</v>
      </c>
      <c r="B1" s="272"/>
      <c r="C1" s="272"/>
      <c r="D1" s="272"/>
      <c r="E1" s="272"/>
      <c r="F1" s="272"/>
      <c r="G1" s="272"/>
      <c r="H1" s="272"/>
      <c r="I1" s="272"/>
      <c r="J1" s="272"/>
      <c r="K1" s="272"/>
      <c r="L1" s="272"/>
      <c r="M1" s="272"/>
      <c r="N1" s="272"/>
      <c r="O1" s="272"/>
      <c r="P1" s="272"/>
      <c r="Q1" s="272"/>
      <c r="R1" s="272"/>
      <c r="S1" s="272"/>
      <c r="T1" s="272"/>
      <c r="U1" s="272"/>
      <c r="V1" s="272"/>
      <c r="W1" s="272"/>
      <c r="X1" s="272"/>
      <c r="Y1" s="272"/>
      <c r="Z1" s="272"/>
      <c r="AA1" s="272"/>
      <c r="AB1" s="272"/>
      <c r="AC1" s="272"/>
      <c r="AD1" s="272"/>
      <c r="AE1" s="272"/>
      <c r="AF1" s="272"/>
      <c r="AG1" s="272"/>
      <c r="AH1" s="272"/>
      <c r="AI1" s="272"/>
      <c r="AJ1" s="272"/>
      <c r="AK1" s="272"/>
      <c r="AL1" s="272"/>
      <c r="AM1" s="272"/>
      <c r="AN1" s="272"/>
      <c r="AO1" s="272"/>
      <c r="AP1" s="272"/>
      <c r="AQ1" s="272"/>
      <c r="AR1" s="272"/>
      <c r="AS1" s="272"/>
      <c r="AT1" s="272"/>
      <c r="AU1" s="272"/>
      <c r="AV1" s="272"/>
      <c r="AW1" s="272"/>
      <c r="AX1" s="272"/>
      <c r="AY1" s="272"/>
      <c r="AZ1" s="272"/>
      <c r="BA1" s="272"/>
      <c r="BB1" s="272"/>
      <c r="BC1" s="272"/>
      <c r="BD1" s="272"/>
      <c r="BE1" s="272"/>
      <c r="BF1" s="272"/>
      <c r="BG1" s="272"/>
      <c r="BH1" s="272"/>
      <c r="BI1" s="272"/>
      <c r="BJ1" s="272"/>
      <c r="BK1" s="272"/>
      <c r="BL1" s="272"/>
      <c r="BM1" s="272"/>
      <c r="BN1" s="272"/>
      <c r="BO1" s="272"/>
      <c r="BP1" s="272"/>
      <c r="BQ1" s="272"/>
      <c r="BR1" s="272"/>
      <c r="BS1" s="272"/>
      <c r="BT1" s="272"/>
      <c r="BU1" s="272"/>
      <c r="BV1" s="272"/>
      <c r="BW1" s="272"/>
      <c r="BX1" s="272"/>
      <c r="BY1" s="272"/>
      <c r="BZ1" s="272"/>
      <c r="CA1" s="272"/>
      <c r="CB1" s="272"/>
      <c r="CC1" s="272"/>
      <c r="CD1" s="272"/>
      <c r="CE1" s="272"/>
      <c r="CF1" s="272"/>
      <c r="CG1" s="272"/>
      <c r="CH1" s="272"/>
      <c r="CI1" s="272"/>
      <c r="CJ1" s="272"/>
      <c r="CK1" s="272"/>
      <c r="CL1" s="272"/>
      <c r="CM1" s="272"/>
      <c r="CN1" s="1"/>
    </row>
    <row r="2" spans="1:92" s="1" customFormat="1" ht="22.5" customHeight="1" x14ac:dyDescent="0.35">
      <c r="A2" s="273" t="s">
        <v>1</v>
      </c>
      <c r="B2" s="274" t="s">
        <v>2</v>
      </c>
      <c r="C2" s="275"/>
      <c r="D2" s="276"/>
      <c r="E2" s="64" t="s">
        <v>3</v>
      </c>
      <c r="F2" s="64" t="s">
        <v>3</v>
      </c>
      <c r="G2" s="64" t="s">
        <v>3</v>
      </c>
      <c r="H2" s="107" t="s">
        <v>3</v>
      </c>
      <c r="I2" s="64" t="s">
        <v>3</v>
      </c>
      <c r="J2" s="64" t="s">
        <v>3</v>
      </c>
      <c r="K2" s="64" t="s">
        <v>3</v>
      </c>
      <c r="L2" s="107" t="s">
        <v>3</v>
      </c>
      <c r="M2" s="13" t="s">
        <v>3</v>
      </c>
      <c r="N2" s="13" t="s">
        <v>3</v>
      </c>
      <c r="O2" s="13" t="s">
        <v>3</v>
      </c>
      <c r="P2" s="64" t="s">
        <v>3</v>
      </c>
      <c r="Q2" s="107" t="s">
        <v>3</v>
      </c>
      <c r="R2" s="64" t="s">
        <v>3</v>
      </c>
      <c r="S2" s="64" t="s">
        <v>3</v>
      </c>
      <c r="T2" s="64" t="s">
        <v>3</v>
      </c>
      <c r="U2" s="107" t="s">
        <v>3</v>
      </c>
      <c r="V2" s="64" t="s">
        <v>3</v>
      </c>
      <c r="W2" s="124" t="s">
        <v>3</v>
      </c>
      <c r="X2" s="64" t="s">
        <v>3</v>
      </c>
      <c r="Y2" s="124" t="s">
        <v>3</v>
      </c>
      <c r="Z2" s="64" t="s">
        <v>3</v>
      </c>
      <c r="AA2" s="64" t="s">
        <v>3</v>
      </c>
      <c r="AB2" s="64" t="s">
        <v>3</v>
      </c>
      <c r="AC2" s="64" t="s">
        <v>3</v>
      </c>
      <c r="AD2" s="107" t="s">
        <v>3</v>
      </c>
      <c r="AE2" s="64" t="s">
        <v>3</v>
      </c>
      <c r="AF2" s="64" t="s">
        <v>3</v>
      </c>
      <c r="AG2" s="107" t="s">
        <v>3</v>
      </c>
      <c r="AH2" s="64" t="s">
        <v>3</v>
      </c>
      <c r="AI2" s="107" t="s">
        <v>3</v>
      </c>
      <c r="AJ2" s="64" t="s">
        <v>3</v>
      </c>
      <c r="AK2" s="64" t="s">
        <v>3</v>
      </c>
      <c r="AL2" s="125" t="s">
        <v>3</v>
      </c>
      <c r="AM2" s="107" t="s">
        <v>86</v>
      </c>
      <c r="AN2" s="64" t="s">
        <v>3</v>
      </c>
      <c r="AO2" s="64" t="s">
        <v>3</v>
      </c>
      <c r="AP2" s="107" t="s">
        <v>86</v>
      </c>
      <c r="AQ2" s="64" t="s">
        <v>3</v>
      </c>
      <c r="AR2" s="64" t="s">
        <v>3</v>
      </c>
      <c r="AS2" s="107" t="s">
        <v>3</v>
      </c>
      <c r="AT2" s="64" t="s">
        <v>3</v>
      </c>
      <c r="AU2" s="64" t="s">
        <v>3</v>
      </c>
      <c r="AV2" s="107" t="s">
        <v>3</v>
      </c>
      <c r="AW2" s="64" t="s">
        <v>3</v>
      </c>
      <c r="AX2" s="64" t="s">
        <v>3</v>
      </c>
      <c r="AY2" s="64" t="s">
        <v>3</v>
      </c>
      <c r="AZ2" s="107" t="s">
        <v>3</v>
      </c>
      <c r="BA2" s="64" t="s">
        <v>3</v>
      </c>
      <c r="BB2" s="107" t="s">
        <v>3</v>
      </c>
      <c r="BC2" s="64" t="s">
        <v>3</v>
      </c>
      <c r="BD2" s="107" t="s">
        <v>3</v>
      </c>
      <c r="BE2" s="64" t="s">
        <v>3</v>
      </c>
      <c r="BF2" s="64" t="s">
        <v>3</v>
      </c>
      <c r="BG2" s="64" t="s">
        <v>3</v>
      </c>
      <c r="BH2" s="107" t="s">
        <v>3</v>
      </c>
      <c r="BI2" s="64" t="s">
        <v>3</v>
      </c>
      <c r="BJ2" s="64" t="s">
        <v>3</v>
      </c>
      <c r="BK2" s="107" t="s">
        <v>3</v>
      </c>
      <c r="BL2" s="64" t="s">
        <v>3</v>
      </c>
      <c r="BM2" s="64" t="s">
        <v>3</v>
      </c>
      <c r="BN2" s="126" t="s">
        <v>3</v>
      </c>
      <c r="BO2" s="107" t="s">
        <v>3</v>
      </c>
      <c r="BP2" s="64" t="s">
        <v>3</v>
      </c>
      <c r="BQ2" s="64" t="s">
        <v>3</v>
      </c>
      <c r="BR2" s="107" t="s">
        <v>3</v>
      </c>
      <c r="BS2" s="64" t="s">
        <v>3</v>
      </c>
      <c r="BT2" s="64" t="s">
        <v>3</v>
      </c>
      <c r="BU2" s="107" t="s">
        <v>3</v>
      </c>
      <c r="BV2" s="64" t="s">
        <v>3</v>
      </c>
      <c r="BW2" s="107" t="s">
        <v>3</v>
      </c>
      <c r="BX2" s="64" t="s">
        <v>3</v>
      </c>
      <c r="BY2" s="64" t="s">
        <v>3</v>
      </c>
      <c r="BZ2" s="64" t="s">
        <v>3</v>
      </c>
      <c r="CA2" s="107" t="s">
        <v>3</v>
      </c>
      <c r="CB2" s="64" t="s">
        <v>3</v>
      </c>
      <c r="CC2" s="135"/>
      <c r="CD2" s="107" t="s">
        <v>3</v>
      </c>
      <c r="CE2" s="107" t="s">
        <v>3</v>
      </c>
      <c r="CF2" s="64" t="s">
        <v>3</v>
      </c>
      <c r="CG2" s="64" t="s">
        <v>3</v>
      </c>
      <c r="CH2" s="64" t="s">
        <v>3</v>
      </c>
      <c r="CI2" s="107" t="s">
        <v>3</v>
      </c>
      <c r="CJ2" s="64" t="s">
        <v>3</v>
      </c>
      <c r="CK2" s="64"/>
      <c r="CL2" s="135"/>
      <c r="CM2" s="128"/>
    </row>
    <row r="3" spans="1:92" s="3" customFormat="1" ht="22.5" customHeight="1" x14ac:dyDescent="0.35">
      <c r="A3" s="273"/>
      <c r="B3" s="277" t="s">
        <v>6</v>
      </c>
      <c r="C3" s="277" t="s">
        <v>7</v>
      </c>
      <c r="D3" s="277" t="s">
        <v>8</v>
      </c>
      <c r="E3" s="305" t="s">
        <v>9</v>
      </c>
      <c r="F3" s="305"/>
      <c r="G3" s="305"/>
      <c r="H3" s="305"/>
      <c r="I3" s="305"/>
      <c r="J3" s="305"/>
      <c r="K3" s="305"/>
      <c r="L3" s="273" t="s">
        <v>10</v>
      </c>
      <c r="M3" s="273"/>
      <c r="N3" s="273"/>
      <c r="O3" s="273"/>
      <c r="P3" s="278" t="s">
        <v>11</v>
      </c>
      <c r="Q3" s="280"/>
      <c r="R3" s="280"/>
      <c r="S3" s="280"/>
      <c r="T3" s="280"/>
      <c r="U3" s="279"/>
      <c r="V3" s="305" t="s">
        <v>12</v>
      </c>
      <c r="W3" s="305"/>
      <c r="X3" s="305"/>
      <c r="Y3" s="305"/>
      <c r="Z3" s="305"/>
      <c r="AA3" s="305"/>
      <c r="AB3" s="305"/>
      <c r="AC3" s="278" t="s">
        <v>13</v>
      </c>
      <c r="AD3" s="280"/>
      <c r="AE3" s="280"/>
      <c r="AF3" s="280"/>
      <c r="AG3" s="280"/>
      <c r="AH3" s="280"/>
      <c r="AI3" s="280"/>
      <c r="AJ3" s="280"/>
      <c r="AK3" s="305"/>
      <c r="AL3" s="305"/>
      <c r="AM3" s="305"/>
      <c r="AN3" s="305"/>
      <c r="AO3" s="305"/>
      <c r="AP3" s="305"/>
      <c r="AQ3" s="305"/>
      <c r="AR3" s="278" t="s">
        <v>15</v>
      </c>
      <c r="AS3" s="280"/>
      <c r="AT3" s="280"/>
      <c r="AU3" s="280"/>
      <c r="AV3" s="280"/>
      <c r="AW3" s="280"/>
      <c r="AX3" s="280"/>
      <c r="AY3" s="278" t="s">
        <v>16</v>
      </c>
      <c r="AZ3" s="280"/>
      <c r="BA3" s="280"/>
      <c r="BB3" s="280"/>
      <c r="BC3" s="280"/>
      <c r="BD3" s="280"/>
      <c r="BE3" s="280"/>
      <c r="BF3" s="280"/>
      <c r="BG3" s="280"/>
      <c r="BH3" s="278" t="s">
        <v>17</v>
      </c>
      <c r="BI3" s="280"/>
      <c r="BJ3" s="280"/>
      <c r="BK3" s="280"/>
      <c r="BL3" s="280"/>
      <c r="BM3" s="279"/>
      <c r="BN3" s="278" t="s">
        <v>18</v>
      </c>
      <c r="BO3" s="280"/>
      <c r="BP3" s="280"/>
      <c r="BQ3" s="280"/>
      <c r="BR3" s="280"/>
      <c r="BS3" s="280"/>
      <c r="BT3" s="280"/>
      <c r="BU3" s="127"/>
      <c r="BV3" s="127"/>
      <c r="BW3" s="278" t="s">
        <v>19</v>
      </c>
      <c r="BX3" s="280"/>
      <c r="BY3" s="280"/>
      <c r="BZ3" s="280"/>
      <c r="CA3" s="280"/>
      <c r="CB3" s="280"/>
      <c r="CC3" s="280"/>
      <c r="CD3" s="280"/>
      <c r="CE3" s="278" t="s">
        <v>20</v>
      </c>
      <c r="CF3" s="280"/>
      <c r="CG3" s="280"/>
      <c r="CH3" s="280"/>
      <c r="CI3" s="280"/>
      <c r="CJ3" s="280"/>
      <c r="CK3" s="280"/>
      <c r="CL3" s="279"/>
      <c r="CM3" s="129"/>
      <c r="CN3" s="1"/>
    </row>
    <row r="4" spans="1:92" s="3" customFormat="1" ht="48" customHeight="1" x14ac:dyDescent="0.35">
      <c r="A4" s="273"/>
      <c r="B4" s="277"/>
      <c r="C4" s="277"/>
      <c r="D4" s="277"/>
      <c r="E4" s="73">
        <v>43374</v>
      </c>
      <c r="F4" s="73">
        <v>43405</v>
      </c>
      <c r="G4" s="73" t="s">
        <v>87</v>
      </c>
      <c r="H4" s="73" t="s">
        <v>88</v>
      </c>
      <c r="I4" s="73" t="s">
        <v>89</v>
      </c>
      <c r="J4" s="73" t="s">
        <v>90</v>
      </c>
      <c r="K4" s="73" t="s">
        <v>91</v>
      </c>
      <c r="L4" s="75">
        <v>43253</v>
      </c>
      <c r="M4" s="75">
        <v>43253</v>
      </c>
      <c r="N4" s="75">
        <v>43345</v>
      </c>
      <c r="O4" s="75">
        <v>43375</v>
      </c>
      <c r="P4" s="67">
        <v>43346</v>
      </c>
      <c r="Q4" s="67" t="s">
        <v>92</v>
      </c>
      <c r="R4" s="67" t="s">
        <v>93</v>
      </c>
      <c r="S4" s="67" t="s">
        <v>94</v>
      </c>
      <c r="T4" s="67" t="s">
        <v>95</v>
      </c>
      <c r="U4" s="67" t="s">
        <v>96</v>
      </c>
      <c r="V4" s="45">
        <v>43194</v>
      </c>
      <c r="W4" s="45">
        <v>43408</v>
      </c>
      <c r="X4" s="45">
        <v>43408</v>
      </c>
      <c r="Y4" s="45" t="s">
        <v>97</v>
      </c>
      <c r="Z4" s="45" t="s">
        <v>97</v>
      </c>
      <c r="AA4" s="45" t="s">
        <v>98</v>
      </c>
      <c r="AB4" s="45" t="s">
        <v>99</v>
      </c>
      <c r="AC4" s="46">
        <v>43225</v>
      </c>
      <c r="AD4" s="46">
        <v>43225</v>
      </c>
      <c r="AE4" s="46">
        <v>43409</v>
      </c>
      <c r="AF4" s="46" t="s">
        <v>100</v>
      </c>
      <c r="AG4" s="46" t="s">
        <v>100</v>
      </c>
      <c r="AH4" s="46" t="s">
        <v>101</v>
      </c>
      <c r="AI4" s="46" t="s">
        <v>102</v>
      </c>
      <c r="AJ4" s="46" t="s">
        <v>102</v>
      </c>
      <c r="AK4" s="49">
        <v>43226</v>
      </c>
      <c r="AL4" s="49">
        <v>43440</v>
      </c>
      <c r="AM4" s="49">
        <v>43440</v>
      </c>
      <c r="AN4" s="49" t="s">
        <v>103</v>
      </c>
      <c r="AO4" s="49" t="s">
        <v>104</v>
      </c>
      <c r="AP4" s="49" t="s">
        <v>105</v>
      </c>
      <c r="AQ4" s="49" t="s">
        <v>106</v>
      </c>
      <c r="AR4" s="68">
        <v>43258</v>
      </c>
      <c r="AS4" s="68">
        <v>43411</v>
      </c>
      <c r="AT4" s="68" t="s">
        <v>107</v>
      </c>
      <c r="AU4" s="68" t="s">
        <v>108</v>
      </c>
      <c r="AV4" s="68" t="s">
        <v>108</v>
      </c>
      <c r="AW4" s="68" t="s">
        <v>109</v>
      </c>
      <c r="AX4" s="68" t="s">
        <v>110</v>
      </c>
      <c r="AY4" s="80">
        <v>43198</v>
      </c>
      <c r="AZ4" s="80">
        <v>43259</v>
      </c>
      <c r="BA4" s="80">
        <v>43381</v>
      </c>
      <c r="BB4" s="80">
        <v>43381</v>
      </c>
      <c r="BC4" s="80" t="s">
        <v>111</v>
      </c>
      <c r="BD4" s="80" t="s">
        <v>112</v>
      </c>
      <c r="BE4" s="80" t="s">
        <v>113</v>
      </c>
      <c r="BF4" s="80" t="s">
        <v>114</v>
      </c>
      <c r="BG4" s="80" t="s">
        <v>115</v>
      </c>
      <c r="BH4" s="85">
        <v>43260</v>
      </c>
      <c r="BI4" s="85">
        <v>43321</v>
      </c>
      <c r="BJ4" s="85" t="s">
        <v>116</v>
      </c>
      <c r="BK4" s="85" t="s">
        <v>117</v>
      </c>
      <c r="BL4" s="85" t="s">
        <v>117</v>
      </c>
      <c r="BM4" s="85" t="s">
        <v>118</v>
      </c>
      <c r="BN4" s="104">
        <v>43169</v>
      </c>
      <c r="BO4" s="104">
        <v>43353</v>
      </c>
      <c r="BP4" s="104">
        <v>43383</v>
      </c>
      <c r="BQ4" s="104" t="s">
        <v>119</v>
      </c>
      <c r="BR4" s="104" t="s">
        <v>120</v>
      </c>
      <c r="BS4" s="104" t="s">
        <v>120</v>
      </c>
      <c r="BT4" s="104" t="s">
        <v>121</v>
      </c>
      <c r="BU4" s="104" t="s">
        <v>122</v>
      </c>
      <c r="BV4" s="104" t="s">
        <v>122</v>
      </c>
      <c r="BW4" s="94">
        <v>43111</v>
      </c>
      <c r="BX4" s="94">
        <v>43262</v>
      </c>
      <c r="BY4" s="94">
        <v>43445</v>
      </c>
      <c r="BZ4" s="94" t="s">
        <v>123</v>
      </c>
      <c r="CA4" s="94" t="s">
        <v>123</v>
      </c>
      <c r="CB4" s="94" t="s">
        <v>124</v>
      </c>
      <c r="CC4" s="94" t="s">
        <v>125</v>
      </c>
      <c r="CD4" s="94" t="s">
        <v>125</v>
      </c>
      <c r="CE4" s="75">
        <v>43263</v>
      </c>
      <c r="CF4" s="75">
        <v>43263</v>
      </c>
      <c r="CG4" s="75">
        <v>43416</v>
      </c>
      <c r="CH4" s="75" t="s">
        <v>126</v>
      </c>
      <c r="CI4" s="75" t="s">
        <v>127</v>
      </c>
      <c r="CJ4" s="75" t="s">
        <v>127</v>
      </c>
      <c r="CK4" s="75" t="s">
        <v>128</v>
      </c>
      <c r="CL4" s="99" t="s">
        <v>129</v>
      </c>
      <c r="CM4" s="77" t="s">
        <v>60</v>
      </c>
      <c r="CN4" s="5"/>
    </row>
    <row r="5" spans="1:92" ht="49.5" x14ac:dyDescent="0.35">
      <c r="A5" s="6">
        <v>1</v>
      </c>
      <c r="B5" s="7" t="s">
        <v>61</v>
      </c>
      <c r="C5" s="111">
        <v>7700</v>
      </c>
      <c r="D5" s="9">
        <v>180201</v>
      </c>
      <c r="E5" s="10">
        <v>1390</v>
      </c>
      <c r="F5" s="11">
        <v>1815</v>
      </c>
      <c r="G5" s="11">
        <v>2265</v>
      </c>
      <c r="H5" s="11"/>
      <c r="I5" s="11">
        <v>3210</v>
      </c>
      <c r="J5" s="11">
        <v>1880</v>
      </c>
      <c r="K5" s="11">
        <v>1325</v>
      </c>
      <c r="L5" s="28"/>
      <c r="M5" s="28">
        <v>1980</v>
      </c>
      <c r="N5" s="28">
        <f>1520+1365</f>
        <v>2885</v>
      </c>
      <c r="O5" s="28">
        <v>1500</v>
      </c>
      <c r="P5" s="32">
        <v>2055</v>
      </c>
      <c r="Q5" s="32"/>
      <c r="R5" s="113">
        <v>1985</v>
      </c>
      <c r="S5" s="113">
        <v>1555</v>
      </c>
      <c r="T5" s="32">
        <v>2075</v>
      </c>
      <c r="U5" s="32"/>
      <c r="V5" s="37">
        <v>2385</v>
      </c>
      <c r="W5" s="37"/>
      <c r="X5" s="37">
        <v>1900</v>
      </c>
      <c r="Y5" s="37"/>
      <c r="Z5" s="37">
        <v>2065</v>
      </c>
      <c r="AA5" s="37">
        <v>2290</v>
      </c>
      <c r="AB5" s="37">
        <v>1210</v>
      </c>
      <c r="AC5" s="41">
        <v>1800</v>
      </c>
      <c r="AD5" s="41"/>
      <c r="AE5" s="41">
        <v>2115</v>
      </c>
      <c r="AF5" s="41">
        <v>1800</v>
      </c>
      <c r="AG5" s="41"/>
      <c r="AH5" s="41">
        <v>2200</v>
      </c>
      <c r="AI5" s="41"/>
      <c r="AJ5" s="41">
        <v>1705</v>
      </c>
      <c r="AK5" s="50">
        <v>1875</v>
      </c>
      <c r="AL5" s="50">
        <v>1630</v>
      </c>
      <c r="AM5" s="50"/>
      <c r="AN5" s="50">
        <v>2310</v>
      </c>
      <c r="AO5" s="50">
        <v>1770</v>
      </c>
      <c r="AP5" s="50"/>
      <c r="AQ5" s="50">
        <v>2020</v>
      </c>
      <c r="AR5" s="69">
        <v>1955</v>
      </c>
      <c r="AS5" s="69"/>
      <c r="AT5" s="69">
        <v>1700</v>
      </c>
      <c r="AU5" s="69">
        <v>1910</v>
      </c>
      <c r="AV5" s="69"/>
      <c r="AW5" s="69">
        <v>1870</v>
      </c>
      <c r="AX5" s="69">
        <v>2120</v>
      </c>
      <c r="AY5" s="81">
        <v>1230</v>
      </c>
      <c r="AZ5" s="81"/>
      <c r="BA5" s="81">
        <v>2190</v>
      </c>
      <c r="BB5" s="81"/>
      <c r="BC5" s="81">
        <v>2040</v>
      </c>
      <c r="BD5" s="81"/>
      <c r="BE5" s="81">
        <v>1820</v>
      </c>
      <c r="BF5" s="81">
        <v>1580</v>
      </c>
      <c r="BG5" s="81">
        <v>2810</v>
      </c>
      <c r="BH5" s="86"/>
      <c r="BI5" s="86">
        <v>1540</v>
      </c>
      <c r="BJ5" s="86">
        <v>1550</v>
      </c>
      <c r="BK5" s="86"/>
      <c r="BL5" s="86">
        <v>1465</v>
      </c>
      <c r="BM5" s="86">
        <v>2130</v>
      </c>
      <c r="BN5" s="105">
        <v>2400</v>
      </c>
      <c r="BO5" s="105"/>
      <c r="BP5" s="105">
        <v>1900</v>
      </c>
      <c r="BQ5" s="105">
        <v>1910</v>
      </c>
      <c r="BR5" s="105"/>
      <c r="BS5" s="105">
        <v>1515</v>
      </c>
      <c r="BT5" s="105">
        <v>2015</v>
      </c>
      <c r="BU5" s="105"/>
      <c r="BV5" s="105">
        <v>1860</v>
      </c>
      <c r="BW5" s="95"/>
      <c r="BX5" s="95">
        <v>1710</v>
      </c>
      <c r="BY5" s="95">
        <v>1860</v>
      </c>
      <c r="BZ5" s="95">
        <v>1740</v>
      </c>
      <c r="CA5" s="95"/>
      <c r="CB5" s="95">
        <v>1630</v>
      </c>
      <c r="CC5" s="95">
        <v>1630</v>
      </c>
      <c r="CD5" s="95"/>
      <c r="CE5" s="28"/>
      <c r="CF5" s="28">
        <v>1130</v>
      </c>
      <c r="CG5" s="28">
        <v>1950</v>
      </c>
      <c r="CH5" s="28">
        <v>1270</v>
      </c>
      <c r="CI5" s="28"/>
      <c r="CJ5" s="28">
        <v>1330</v>
      </c>
      <c r="CK5" s="28">
        <v>1995</v>
      </c>
      <c r="CL5" s="100">
        <v>1220</v>
      </c>
      <c r="CM5" s="130">
        <f t="shared" ref="CM5:CM16" si="0">SUM(E5:CL5)</f>
        <v>111970</v>
      </c>
    </row>
    <row r="6" spans="1:92" ht="49.5" x14ac:dyDescent="0.35">
      <c r="A6" s="306">
        <v>2</v>
      </c>
      <c r="B6" s="7" t="s">
        <v>62</v>
      </c>
      <c r="C6" s="111">
        <v>35000</v>
      </c>
      <c r="D6" s="9">
        <v>180102</v>
      </c>
      <c r="E6" s="10"/>
      <c r="F6" s="11"/>
      <c r="G6" s="11"/>
      <c r="H6" s="11">
        <v>59</v>
      </c>
      <c r="I6" s="11"/>
      <c r="J6" s="11"/>
      <c r="K6" s="11"/>
      <c r="L6" s="28">
        <v>49</v>
      </c>
      <c r="M6" s="28"/>
      <c r="N6" s="28"/>
      <c r="O6" s="28"/>
      <c r="P6" s="32"/>
      <c r="Q6" s="32">
        <v>54</v>
      </c>
      <c r="R6" s="113"/>
      <c r="S6" s="113"/>
      <c r="T6" s="32"/>
      <c r="U6" s="32">
        <v>54</v>
      </c>
      <c r="V6" s="37"/>
      <c r="W6" s="37">
        <v>54</v>
      </c>
      <c r="X6" s="37"/>
      <c r="Y6" s="37">
        <v>108</v>
      </c>
      <c r="Z6" s="37"/>
      <c r="AA6" s="37"/>
      <c r="AB6" s="37"/>
      <c r="AC6" s="41"/>
      <c r="AD6" s="41">
        <v>58</v>
      </c>
      <c r="AE6" s="41"/>
      <c r="AF6" s="41"/>
      <c r="AG6" s="41">
        <v>49</v>
      </c>
      <c r="AH6" s="41"/>
      <c r="AI6" s="41">
        <v>58</v>
      </c>
      <c r="AJ6" s="41"/>
      <c r="AK6" s="50"/>
      <c r="AL6" s="50"/>
      <c r="AM6" s="50">
        <v>57</v>
      </c>
      <c r="AN6" s="50"/>
      <c r="AO6" s="50"/>
      <c r="AP6" s="50">
        <v>56</v>
      </c>
      <c r="AQ6" s="50"/>
      <c r="AR6" s="69"/>
      <c r="AS6" s="69">
        <v>58</v>
      </c>
      <c r="AT6" s="69"/>
      <c r="AU6" s="69"/>
      <c r="AV6" s="69">
        <v>47</v>
      </c>
      <c r="AW6" s="69"/>
      <c r="AX6" s="69"/>
      <c r="AY6" s="81"/>
      <c r="AZ6" s="81">
        <v>58</v>
      </c>
      <c r="BA6" s="81"/>
      <c r="BB6" s="81"/>
      <c r="BC6" s="81"/>
      <c r="BD6" s="81">
        <v>55</v>
      </c>
      <c r="BE6" s="81"/>
      <c r="BF6" s="81"/>
      <c r="BG6" s="81"/>
      <c r="BH6" s="86">
        <v>58</v>
      </c>
      <c r="BI6" s="86"/>
      <c r="BJ6" s="86"/>
      <c r="BK6" s="86">
        <v>58</v>
      </c>
      <c r="BL6" s="86"/>
      <c r="BM6" s="86"/>
      <c r="BN6" s="105"/>
      <c r="BO6" s="105">
        <v>58</v>
      </c>
      <c r="BP6" s="105"/>
      <c r="BQ6" s="105"/>
      <c r="BR6" s="105">
        <v>33</v>
      </c>
      <c r="BS6" s="105"/>
      <c r="BT6" s="105"/>
      <c r="BU6" s="105">
        <v>58</v>
      </c>
      <c r="BV6" s="105"/>
      <c r="BW6" s="95">
        <v>40</v>
      </c>
      <c r="BX6" s="95"/>
      <c r="BY6" s="95"/>
      <c r="BZ6" s="95"/>
      <c r="CA6" s="95">
        <v>56</v>
      </c>
      <c r="CB6" s="95"/>
      <c r="CC6" s="95"/>
      <c r="CD6" s="95">
        <v>58</v>
      </c>
      <c r="CE6" s="28">
        <v>47</v>
      </c>
      <c r="CF6" s="28"/>
      <c r="CG6" s="28"/>
      <c r="CH6" s="28"/>
      <c r="CI6" s="28">
        <v>68</v>
      </c>
      <c r="CJ6" s="28"/>
      <c r="CK6" s="28"/>
      <c r="CL6" s="100"/>
      <c r="CM6" s="130">
        <f t="shared" si="0"/>
        <v>1408</v>
      </c>
    </row>
    <row r="7" spans="1:92" ht="49.5" x14ac:dyDescent="0.35">
      <c r="A7" s="307"/>
      <c r="B7" s="7" t="s">
        <v>62</v>
      </c>
      <c r="C7" s="111">
        <v>175000</v>
      </c>
      <c r="D7" s="9">
        <v>180103</v>
      </c>
      <c r="E7" s="10"/>
      <c r="F7" s="11"/>
      <c r="G7" s="11">
        <v>100</v>
      </c>
      <c r="H7" s="11"/>
      <c r="I7" s="11"/>
      <c r="J7" s="11"/>
      <c r="K7" s="11"/>
      <c r="L7" s="28"/>
      <c r="M7" s="28"/>
      <c r="N7" s="28"/>
      <c r="O7" s="28"/>
      <c r="P7" s="32"/>
      <c r="Q7" s="32"/>
      <c r="R7" s="113"/>
      <c r="S7" s="113"/>
      <c r="T7" s="32"/>
      <c r="U7" s="32"/>
      <c r="V7" s="37"/>
      <c r="W7" s="37"/>
      <c r="X7" s="37"/>
      <c r="Y7" s="37"/>
      <c r="Z7" s="37"/>
      <c r="AA7" s="37"/>
      <c r="AB7" s="37"/>
      <c r="AC7" s="41"/>
      <c r="AD7" s="41"/>
      <c r="AE7" s="41"/>
      <c r="AF7" s="41"/>
      <c r="AG7" s="41"/>
      <c r="AH7" s="41"/>
      <c r="AI7" s="41"/>
      <c r="AJ7" s="41"/>
      <c r="AK7" s="50"/>
      <c r="AL7" s="50"/>
      <c r="AM7" s="50"/>
      <c r="AN7" s="50"/>
      <c r="AO7" s="50"/>
      <c r="AP7" s="50"/>
      <c r="AQ7" s="50"/>
      <c r="AR7" s="69"/>
      <c r="AS7" s="69"/>
      <c r="AT7" s="69"/>
      <c r="AU7" s="69"/>
      <c r="AV7" s="69"/>
      <c r="AW7" s="69"/>
      <c r="AX7" s="69"/>
      <c r="AY7" s="81"/>
      <c r="AZ7" s="81"/>
      <c r="BA7" s="81"/>
      <c r="BB7" s="81">
        <v>8</v>
      </c>
      <c r="BC7" s="81"/>
      <c r="BD7" s="81"/>
      <c r="BE7" s="81"/>
      <c r="BF7" s="81"/>
      <c r="BG7" s="81"/>
      <c r="BH7" s="86"/>
      <c r="BI7" s="86"/>
      <c r="BJ7" s="86"/>
      <c r="BK7" s="86"/>
      <c r="BL7" s="86"/>
      <c r="BM7" s="86"/>
      <c r="BN7" s="105"/>
      <c r="BO7" s="105"/>
      <c r="BP7" s="105"/>
      <c r="BQ7" s="105"/>
      <c r="BR7" s="105">
        <v>4</v>
      </c>
      <c r="BS7" s="105"/>
      <c r="BT7" s="105"/>
      <c r="BU7" s="105"/>
      <c r="BV7" s="105"/>
      <c r="BW7" s="95"/>
      <c r="BX7" s="95"/>
      <c r="BY7" s="95"/>
      <c r="BZ7" s="95"/>
      <c r="CA7" s="95"/>
      <c r="CB7" s="95"/>
      <c r="CC7" s="95"/>
      <c r="CD7" s="95"/>
      <c r="CE7" s="28"/>
      <c r="CF7" s="28"/>
      <c r="CG7" s="28"/>
      <c r="CH7" s="28"/>
      <c r="CI7" s="28"/>
      <c r="CJ7" s="28"/>
      <c r="CK7" s="28"/>
      <c r="CL7" s="100"/>
      <c r="CM7" s="130">
        <f t="shared" si="0"/>
        <v>112</v>
      </c>
    </row>
    <row r="8" spans="1:92" ht="33" x14ac:dyDescent="0.35">
      <c r="A8" s="6">
        <v>3</v>
      </c>
      <c r="B8" s="7" t="s">
        <v>63</v>
      </c>
      <c r="C8" s="111">
        <v>7700</v>
      </c>
      <c r="D8" s="12" t="s">
        <v>130</v>
      </c>
      <c r="E8" s="10"/>
      <c r="F8" s="11"/>
      <c r="G8" s="11"/>
      <c r="H8" s="11"/>
      <c r="I8" s="11"/>
      <c r="J8" s="11"/>
      <c r="K8" s="11"/>
      <c r="L8" s="28"/>
      <c r="M8" s="28"/>
      <c r="N8" s="28"/>
      <c r="O8" s="28"/>
      <c r="P8" s="32"/>
      <c r="Q8" s="32"/>
      <c r="R8" s="113"/>
      <c r="S8" s="113"/>
      <c r="T8" s="32"/>
      <c r="U8" s="32"/>
      <c r="V8" s="37"/>
      <c r="W8" s="37"/>
      <c r="X8" s="37"/>
      <c r="Y8" s="37"/>
      <c r="Z8" s="37"/>
      <c r="AA8" s="37"/>
      <c r="AB8" s="37"/>
      <c r="AC8" s="41"/>
      <c r="AD8" s="41"/>
      <c r="AE8" s="41"/>
      <c r="AF8" s="41"/>
      <c r="AG8" s="41"/>
      <c r="AH8" s="41"/>
      <c r="AI8" s="41"/>
      <c r="AJ8" s="41"/>
      <c r="AK8" s="50"/>
      <c r="AL8" s="50"/>
      <c r="AM8" s="50"/>
      <c r="AN8" s="50"/>
      <c r="AO8" s="50"/>
      <c r="AP8" s="50"/>
      <c r="AQ8" s="50"/>
      <c r="AR8" s="69"/>
      <c r="AS8" s="69"/>
      <c r="AT8" s="69"/>
      <c r="AU8" s="69"/>
      <c r="AV8" s="69"/>
      <c r="AW8" s="69"/>
      <c r="AX8" s="69"/>
      <c r="AY8" s="81"/>
      <c r="AZ8" s="81"/>
      <c r="BA8" s="81"/>
      <c r="BB8" s="81"/>
      <c r="BC8" s="81"/>
      <c r="BD8" s="81"/>
      <c r="BE8" s="81"/>
      <c r="BF8" s="81"/>
      <c r="BG8" s="81"/>
      <c r="BH8" s="86"/>
      <c r="BI8" s="86"/>
      <c r="BJ8" s="86"/>
      <c r="BK8" s="86"/>
      <c r="BL8" s="86"/>
      <c r="BM8" s="86"/>
      <c r="BN8" s="105"/>
      <c r="BO8" s="105"/>
      <c r="BP8" s="105"/>
      <c r="BQ8" s="105"/>
      <c r="BR8" s="105"/>
      <c r="BS8" s="105"/>
      <c r="BT8" s="105"/>
      <c r="BU8" s="105"/>
      <c r="BV8" s="105"/>
      <c r="BW8" s="95"/>
      <c r="BX8" s="95"/>
      <c r="BY8" s="95"/>
      <c r="BZ8" s="95"/>
      <c r="CA8" s="95"/>
      <c r="CB8" s="95">
        <v>200</v>
      </c>
      <c r="CC8" s="95">
        <v>200</v>
      </c>
      <c r="CD8" s="95"/>
      <c r="CE8" s="28"/>
      <c r="CF8" s="28">
        <v>200</v>
      </c>
      <c r="CG8" s="28">
        <v>200</v>
      </c>
      <c r="CH8" s="28">
        <v>200</v>
      </c>
      <c r="CI8" s="28"/>
      <c r="CJ8" s="28">
        <v>100</v>
      </c>
      <c r="CK8" s="28">
        <v>200</v>
      </c>
      <c r="CL8" s="100">
        <v>200</v>
      </c>
      <c r="CM8" s="130">
        <f t="shared" si="0"/>
        <v>1500</v>
      </c>
    </row>
    <row r="9" spans="1:92" ht="33" x14ac:dyDescent="0.35">
      <c r="A9" s="6">
        <v>4</v>
      </c>
      <c r="B9" s="7" t="s">
        <v>64</v>
      </c>
      <c r="C9" s="111">
        <v>7700</v>
      </c>
      <c r="D9" s="9">
        <v>170204</v>
      </c>
      <c r="E9" s="10"/>
      <c r="F9" s="11"/>
      <c r="G9" s="11"/>
      <c r="H9" s="11"/>
      <c r="I9" s="11"/>
      <c r="J9" s="11"/>
      <c r="K9" s="11"/>
      <c r="L9" s="28"/>
      <c r="M9" s="28"/>
      <c r="N9" s="28"/>
      <c r="O9" s="28"/>
      <c r="P9" s="32"/>
      <c r="Q9" s="32"/>
      <c r="R9" s="113"/>
      <c r="S9" s="113"/>
      <c r="T9" s="32"/>
      <c r="U9" s="32"/>
      <c r="V9" s="37"/>
      <c r="W9" s="37"/>
      <c r="X9" s="37"/>
      <c r="Y9" s="37"/>
      <c r="Z9" s="37"/>
      <c r="AA9" s="37"/>
      <c r="AB9" s="37"/>
      <c r="AC9" s="41"/>
      <c r="AD9" s="41"/>
      <c r="AE9" s="41"/>
      <c r="AF9" s="41"/>
      <c r="AG9" s="41"/>
      <c r="AH9" s="41"/>
      <c r="AI9" s="41"/>
      <c r="AJ9" s="41"/>
      <c r="AK9" s="50"/>
      <c r="AL9" s="50"/>
      <c r="AM9" s="50"/>
      <c r="AN9" s="50"/>
      <c r="AO9" s="50"/>
      <c r="AP9" s="50"/>
      <c r="AQ9" s="50"/>
      <c r="AR9" s="69"/>
      <c r="AS9" s="69"/>
      <c r="AT9" s="69"/>
      <c r="AU9" s="69"/>
      <c r="AV9" s="69"/>
      <c r="AW9" s="69"/>
      <c r="AX9" s="69"/>
      <c r="AY9" s="81"/>
      <c r="AZ9" s="81"/>
      <c r="BA9" s="81"/>
      <c r="BB9" s="81"/>
      <c r="BC9" s="81"/>
      <c r="BD9" s="81"/>
      <c r="BE9" s="81"/>
      <c r="BF9" s="81"/>
      <c r="BG9" s="81"/>
      <c r="BH9" s="86"/>
      <c r="BI9" s="86"/>
      <c r="BJ9" s="86"/>
      <c r="BK9" s="86"/>
      <c r="BL9" s="86"/>
      <c r="BM9" s="86"/>
      <c r="BN9" s="105"/>
      <c r="BO9" s="105"/>
      <c r="BP9" s="105"/>
      <c r="BQ9" s="105"/>
      <c r="BR9" s="105"/>
      <c r="BS9" s="105"/>
      <c r="BT9" s="105"/>
      <c r="BU9" s="105"/>
      <c r="BV9" s="105"/>
      <c r="BW9" s="95"/>
      <c r="BX9" s="95"/>
      <c r="BY9" s="95"/>
      <c r="BZ9" s="95"/>
      <c r="CA9" s="95"/>
      <c r="CB9" s="95"/>
      <c r="CC9" s="95"/>
      <c r="CD9" s="95"/>
      <c r="CE9" s="28"/>
      <c r="CF9" s="28"/>
      <c r="CG9" s="28"/>
      <c r="CH9" s="28"/>
      <c r="CI9" s="28"/>
      <c r="CJ9" s="28"/>
      <c r="CK9" s="28"/>
      <c r="CL9" s="100"/>
      <c r="CM9" s="130">
        <f t="shared" si="0"/>
        <v>0</v>
      </c>
    </row>
    <row r="10" spans="1:92" ht="33" x14ac:dyDescent="0.35">
      <c r="A10" s="6">
        <v>5</v>
      </c>
      <c r="B10" s="7" t="s">
        <v>65</v>
      </c>
      <c r="C10" s="111">
        <v>7700</v>
      </c>
      <c r="D10" s="9">
        <v>160106</v>
      </c>
      <c r="E10" s="10"/>
      <c r="F10" s="11">
        <v>10</v>
      </c>
      <c r="G10" s="11"/>
      <c r="H10" s="11"/>
      <c r="I10" s="11"/>
      <c r="J10" s="11">
        <v>10</v>
      </c>
      <c r="K10" s="11"/>
      <c r="L10" s="28"/>
      <c r="M10" s="28"/>
      <c r="N10" s="28"/>
      <c r="O10" s="28"/>
      <c r="P10" s="32"/>
      <c r="Q10" s="32"/>
      <c r="R10" s="113"/>
      <c r="S10" s="113">
        <v>10</v>
      </c>
      <c r="T10" s="32"/>
      <c r="U10" s="32"/>
      <c r="V10" s="37"/>
      <c r="W10" s="37"/>
      <c r="X10" s="37"/>
      <c r="Y10" s="37"/>
      <c r="Z10" s="37">
        <v>10</v>
      </c>
      <c r="AA10" s="37"/>
      <c r="AB10" s="37"/>
      <c r="AC10" s="41"/>
      <c r="AD10" s="41"/>
      <c r="AE10" s="41"/>
      <c r="AF10" s="41"/>
      <c r="AG10" s="41"/>
      <c r="AH10" s="41"/>
      <c r="AI10" s="41"/>
      <c r="AJ10" s="41">
        <v>10</v>
      </c>
      <c r="AK10" s="50"/>
      <c r="AL10" s="50"/>
      <c r="AM10" s="50"/>
      <c r="AN10" s="50"/>
      <c r="AO10" s="50"/>
      <c r="AP10" s="50"/>
      <c r="AQ10" s="50"/>
      <c r="AR10" s="69"/>
      <c r="AS10" s="69"/>
      <c r="AT10" s="69"/>
      <c r="AU10" s="69"/>
      <c r="AV10" s="69"/>
      <c r="AW10" s="69"/>
      <c r="AX10" s="69"/>
      <c r="AY10" s="81"/>
      <c r="AZ10" s="81"/>
      <c r="BA10" s="81"/>
      <c r="BB10" s="81"/>
      <c r="BC10" s="81"/>
      <c r="BD10" s="81"/>
      <c r="BE10" s="81"/>
      <c r="BF10" s="81"/>
      <c r="BG10" s="81"/>
      <c r="BH10" s="86"/>
      <c r="BI10" s="86"/>
      <c r="BJ10" s="86"/>
      <c r="BK10" s="86"/>
      <c r="BL10" s="86">
        <v>10</v>
      </c>
      <c r="BM10" s="86"/>
      <c r="BN10" s="105">
        <v>25</v>
      </c>
      <c r="BO10" s="105"/>
      <c r="BP10" s="105"/>
      <c r="BQ10" s="105"/>
      <c r="BR10" s="105"/>
      <c r="BS10" s="105"/>
      <c r="BT10" s="105"/>
      <c r="BU10" s="105"/>
      <c r="BV10" s="105">
        <v>15</v>
      </c>
      <c r="BW10" s="95"/>
      <c r="BX10" s="95">
        <v>30</v>
      </c>
      <c r="BY10" s="95"/>
      <c r="BZ10" s="95"/>
      <c r="CA10" s="95"/>
      <c r="CB10" s="95"/>
      <c r="CC10" s="95"/>
      <c r="CD10" s="95"/>
      <c r="CE10" s="28"/>
      <c r="CF10" s="28"/>
      <c r="CG10" s="28"/>
      <c r="CH10" s="28"/>
      <c r="CI10" s="28"/>
      <c r="CJ10" s="28"/>
      <c r="CK10" s="28"/>
      <c r="CL10" s="100"/>
      <c r="CM10" s="130">
        <f t="shared" si="0"/>
        <v>130</v>
      </c>
    </row>
    <row r="11" spans="1:92" ht="31.5" customHeight="1" x14ac:dyDescent="0.35">
      <c r="A11" s="6">
        <v>6</v>
      </c>
      <c r="B11" s="7" t="s">
        <v>66</v>
      </c>
      <c r="C11" s="111">
        <v>7700</v>
      </c>
      <c r="D11" s="9"/>
      <c r="E11" s="10"/>
      <c r="F11" s="11"/>
      <c r="G11" s="11"/>
      <c r="H11" s="11"/>
      <c r="I11" s="11"/>
      <c r="J11" s="11"/>
      <c r="K11" s="11"/>
      <c r="L11" s="28"/>
      <c r="M11" s="28"/>
      <c r="N11" s="28"/>
      <c r="O11" s="28"/>
      <c r="P11" s="32"/>
      <c r="Q11" s="32"/>
      <c r="R11" s="113"/>
      <c r="S11" s="113"/>
      <c r="T11" s="32"/>
      <c r="U11" s="32"/>
      <c r="V11" s="37"/>
      <c r="W11" s="37"/>
      <c r="X11" s="37"/>
      <c r="Y11" s="37"/>
      <c r="Z11" s="37"/>
      <c r="AA11" s="37"/>
      <c r="AB11" s="37"/>
      <c r="AC11" s="41"/>
      <c r="AD11" s="41"/>
      <c r="AE11" s="41"/>
      <c r="AF11" s="41"/>
      <c r="AG11" s="41"/>
      <c r="AH11" s="41"/>
      <c r="AI11" s="41"/>
      <c r="AJ11" s="41"/>
      <c r="AK11" s="50"/>
      <c r="AL11" s="50"/>
      <c r="AM11" s="50"/>
      <c r="AN11" s="50"/>
      <c r="AO11" s="50"/>
      <c r="AP11" s="50"/>
      <c r="AQ11" s="50"/>
      <c r="AR11" s="69"/>
      <c r="AS11" s="69"/>
      <c r="AT11" s="69"/>
      <c r="AU11" s="69"/>
      <c r="AV11" s="69"/>
      <c r="AW11" s="69"/>
      <c r="AX11" s="69"/>
      <c r="AY11" s="81"/>
      <c r="AZ11" s="81"/>
      <c r="BA11" s="81"/>
      <c r="BB11" s="81"/>
      <c r="BC11" s="81"/>
      <c r="BD11" s="81"/>
      <c r="BE11" s="81"/>
      <c r="BF11" s="81"/>
      <c r="BG11" s="81"/>
      <c r="BH11" s="86"/>
      <c r="BI11" s="86"/>
      <c r="BJ11" s="86"/>
      <c r="BK11" s="86"/>
      <c r="BL11" s="86"/>
      <c r="BM11" s="86"/>
      <c r="BN11" s="105"/>
      <c r="BO11" s="105"/>
      <c r="BP11" s="105"/>
      <c r="BQ11" s="105"/>
      <c r="BR11" s="105"/>
      <c r="BS11" s="105"/>
      <c r="BT11" s="105"/>
      <c r="BU11" s="105"/>
      <c r="BV11" s="105"/>
      <c r="BW11" s="95"/>
      <c r="BX11" s="95"/>
      <c r="BY11" s="95"/>
      <c r="BZ11" s="95"/>
      <c r="CA11" s="95"/>
      <c r="CB11" s="95"/>
      <c r="CC11" s="95"/>
      <c r="CD11" s="95"/>
      <c r="CE11" s="28"/>
      <c r="CF11" s="28"/>
      <c r="CG11" s="28"/>
      <c r="CH11" s="28"/>
      <c r="CI11" s="28"/>
      <c r="CJ11" s="28"/>
      <c r="CK11" s="28"/>
      <c r="CL11" s="100"/>
      <c r="CM11" s="130">
        <f t="shared" si="0"/>
        <v>0</v>
      </c>
    </row>
    <row r="12" spans="1:92" ht="49.5" x14ac:dyDescent="0.35">
      <c r="A12" s="6">
        <v>7</v>
      </c>
      <c r="B12" s="7" t="s">
        <v>67</v>
      </c>
      <c r="C12" s="111">
        <v>5500</v>
      </c>
      <c r="D12" s="9">
        <v>160110</v>
      </c>
      <c r="E12" s="10"/>
      <c r="F12" s="11">
        <v>1600</v>
      </c>
      <c r="G12" s="11">
        <v>1000</v>
      </c>
      <c r="H12" s="11"/>
      <c r="I12" s="11"/>
      <c r="J12" s="11">
        <v>1200</v>
      </c>
      <c r="K12" s="11">
        <v>1000</v>
      </c>
      <c r="L12" s="28"/>
      <c r="M12" s="28">
        <v>1000</v>
      </c>
      <c r="N12" s="28">
        <v>1000</v>
      </c>
      <c r="O12" s="28">
        <v>200</v>
      </c>
      <c r="P12" s="32">
        <v>500</v>
      </c>
      <c r="Q12" s="32"/>
      <c r="R12" s="113">
        <v>1000</v>
      </c>
      <c r="S12" s="113">
        <v>600</v>
      </c>
      <c r="T12" s="32">
        <v>1000</v>
      </c>
      <c r="U12" s="32"/>
      <c r="V12" s="37">
        <v>1000</v>
      </c>
      <c r="W12" s="37"/>
      <c r="X12" s="37">
        <v>1000</v>
      </c>
      <c r="Y12" s="37"/>
      <c r="Z12" s="37">
        <v>800</v>
      </c>
      <c r="AA12" s="37">
        <v>600</v>
      </c>
      <c r="AB12" s="37"/>
      <c r="AC12" s="41">
        <v>1200</v>
      </c>
      <c r="AD12" s="41"/>
      <c r="AE12" s="41">
        <v>800</v>
      </c>
      <c r="AF12" s="41">
        <v>1000</v>
      </c>
      <c r="AG12" s="41"/>
      <c r="AH12" s="41">
        <v>800</v>
      </c>
      <c r="AI12" s="41"/>
      <c r="AJ12" s="41">
        <v>1200</v>
      </c>
      <c r="AK12" s="50">
        <v>600</v>
      </c>
      <c r="AL12" s="50">
        <v>1400</v>
      </c>
      <c r="AM12" s="50"/>
      <c r="AN12" s="50">
        <v>800</v>
      </c>
      <c r="AO12" s="50">
        <v>1000</v>
      </c>
      <c r="AP12" s="50"/>
      <c r="AQ12" s="50">
        <v>800</v>
      </c>
      <c r="AR12" s="69">
        <v>800</v>
      </c>
      <c r="AS12" s="69"/>
      <c r="AT12" s="69">
        <v>1600</v>
      </c>
      <c r="AU12" s="69">
        <v>1200</v>
      </c>
      <c r="AV12" s="69"/>
      <c r="AW12" s="69">
        <v>600</v>
      </c>
      <c r="AX12" s="69">
        <v>1000</v>
      </c>
      <c r="AY12" s="81">
        <v>600</v>
      </c>
      <c r="AZ12" s="81"/>
      <c r="BA12" s="81">
        <v>1000</v>
      </c>
      <c r="BB12" s="81"/>
      <c r="BC12" s="81">
        <v>600</v>
      </c>
      <c r="BD12" s="81"/>
      <c r="BE12" s="81">
        <v>1000</v>
      </c>
      <c r="BF12" s="81">
        <v>600</v>
      </c>
      <c r="BG12" s="81">
        <v>1200</v>
      </c>
      <c r="BH12" s="86"/>
      <c r="BI12" s="86">
        <v>800</v>
      </c>
      <c r="BJ12" s="86">
        <v>1600</v>
      </c>
      <c r="BK12" s="86"/>
      <c r="BL12" s="86">
        <v>1400</v>
      </c>
      <c r="BM12" s="86">
        <v>1000</v>
      </c>
      <c r="BN12" s="105">
        <v>600</v>
      </c>
      <c r="BO12" s="105"/>
      <c r="BP12" s="105">
        <v>1200</v>
      </c>
      <c r="BQ12" s="105">
        <v>2000</v>
      </c>
      <c r="BR12" s="105"/>
      <c r="BS12" s="105">
        <v>1600</v>
      </c>
      <c r="BT12" s="105">
        <v>600</v>
      </c>
      <c r="BU12" s="105"/>
      <c r="BV12" s="105">
        <v>1200</v>
      </c>
      <c r="BW12" s="95"/>
      <c r="BX12" s="95">
        <v>1200</v>
      </c>
      <c r="BY12" s="95">
        <v>1200</v>
      </c>
      <c r="BZ12" s="95">
        <v>800</v>
      </c>
      <c r="CA12" s="95"/>
      <c r="CB12" s="95">
        <v>1400</v>
      </c>
      <c r="CC12" s="95">
        <v>600</v>
      </c>
      <c r="CD12" s="95"/>
      <c r="CE12" s="28"/>
      <c r="CF12" s="28">
        <v>1800</v>
      </c>
      <c r="CG12" s="28">
        <v>2000</v>
      </c>
      <c r="CH12" s="28">
        <v>1400</v>
      </c>
      <c r="CI12" s="28"/>
      <c r="CJ12" s="28">
        <v>1400</v>
      </c>
      <c r="CK12" s="28">
        <v>1200</v>
      </c>
      <c r="CL12" s="100">
        <v>1200</v>
      </c>
      <c r="CM12" s="130">
        <f t="shared" si="0"/>
        <v>59500</v>
      </c>
    </row>
    <row r="13" spans="1:92" ht="34.5" customHeight="1" x14ac:dyDescent="0.35">
      <c r="A13" s="6">
        <v>8</v>
      </c>
      <c r="B13" s="7" t="s">
        <v>68</v>
      </c>
      <c r="C13" s="111">
        <v>7700</v>
      </c>
      <c r="D13" s="12" t="s">
        <v>69</v>
      </c>
      <c r="E13" s="10"/>
      <c r="F13" s="11"/>
      <c r="G13" s="11"/>
      <c r="H13" s="11"/>
      <c r="I13" s="11"/>
      <c r="J13" s="11"/>
      <c r="K13" s="11"/>
      <c r="L13" s="28"/>
      <c r="M13" s="28"/>
      <c r="N13" s="28">
        <v>30</v>
      </c>
      <c r="O13" s="28"/>
      <c r="P13" s="32"/>
      <c r="Q13" s="32"/>
      <c r="R13" s="113"/>
      <c r="S13" s="113"/>
      <c r="T13" s="32"/>
      <c r="U13" s="32"/>
      <c r="V13" s="37"/>
      <c r="W13" s="37"/>
      <c r="X13" s="37"/>
      <c r="Y13" s="37"/>
      <c r="Z13" s="37"/>
      <c r="AA13" s="37"/>
      <c r="AB13" s="37"/>
      <c r="AC13" s="41"/>
      <c r="AD13" s="41"/>
      <c r="AE13" s="41"/>
      <c r="AF13" s="41"/>
      <c r="AG13" s="41"/>
      <c r="AH13" s="41"/>
      <c r="AI13" s="41"/>
      <c r="AJ13" s="41"/>
      <c r="AK13" s="50"/>
      <c r="AL13" s="50"/>
      <c r="AM13" s="50"/>
      <c r="AN13" s="50"/>
      <c r="AO13" s="50"/>
      <c r="AP13" s="50"/>
      <c r="AQ13" s="50"/>
      <c r="AR13" s="69"/>
      <c r="AS13" s="69"/>
      <c r="AT13" s="69"/>
      <c r="AU13" s="69"/>
      <c r="AV13" s="69"/>
      <c r="AW13" s="69"/>
      <c r="AX13" s="69"/>
      <c r="AY13" s="81"/>
      <c r="AZ13" s="81"/>
      <c r="BA13" s="81"/>
      <c r="BB13" s="81"/>
      <c r="BC13" s="81"/>
      <c r="BD13" s="81"/>
      <c r="BE13" s="81"/>
      <c r="BF13" s="81"/>
      <c r="BG13" s="81"/>
      <c r="BH13" s="86"/>
      <c r="BI13" s="86"/>
      <c r="BJ13" s="86"/>
      <c r="BK13" s="86"/>
      <c r="BL13" s="86"/>
      <c r="BM13" s="86"/>
      <c r="BN13" s="105"/>
      <c r="BO13" s="105"/>
      <c r="BP13" s="105"/>
      <c r="BQ13" s="105"/>
      <c r="BR13" s="105"/>
      <c r="BS13" s="105"/>
      <c r="BT13" s="105"/>
      <c r="BU13" s="105"/>
      <c r="BV13" s="105"/>
      <c r="BW13" s="95"/>
      <c r="BX13" s="95"/>
      <c r="BY13" s="95"/>
      <c r="BZ13" s="95"/>
      <c r="CA13" s="95"/>
      <c r="CB13" s="95"/>
      <c r="CC13" s="95"/>
      <c r="CD13" s="95"/>
      <c r="CE13" s="28"/>
      <c r="CF13" s="28"/>
      <c r="CG13" s="28"/>
      <c r="CH13" s="28"/>
      <c r="CI13" s="28"/>
      <c r="CJ13" s="28">
        <v>130</v>
      </c>
      <c r="CK13" s="28">
        <v>150</v>
      </c>
      <c r="CL13" s="100">
        <v>200</v>
      </c>
      <c r="CM13" s="130">
        <f t="shared" si="0"/>
        <v>510</v>
      </c>
    </row>
    <row r="14" spans="1:92" ht="49.5" x14ac:dyDescent="0.35">
      <c r="A14" s="6">
        <v>9</v>
      </c>
      <c r="B14" s="7" t="s">
        <v>70</v>
      </c>
      <c r="C14" s="111">
        <v>7700</v>
      </c>
      <c r="D14" s="9">
        <v>130101</v>
      </c>
      <c r="E14" s="10"/>
      <c r="F14" s="11"/>
      <c r="G14" s="11"/>
      <c r="H14" s="11"/>
      <c r="I14" s="11"/>
      <c r="J14" s="11"/>
      <c r="K14" s="11">
        <v>5</v>
      </c>
      <c r="L14" s="28"/>
      <c r="M14" s="28"/>
      <c r="N14" s="28"/>
      <c r="O14" s="28"/>
      <c r="P14" s="32"/>
      <c r="Q14" s="32"/>
      <c r="R14" s="113"/>
      <c r="S14" s="113">
        <v>10</v>
      </c>
      <c r="T14" s="32"/>
      <c r="U14" s="32"/>
      <c r="V14" s="37"/>
      <c r="W14" s="37"/>
      <c r="X14" s="37"/>
      <c r="Y14" s="37"/>
      <c r="Z14" s="37">
        <v>5</v>
      </c>
      <c r="AA14" s="37"/>
      <c r="AB14" s="37"/>
      <c r="AC14" s="41"/>
      <c r="AD14" s="41"/>
      <c r="AE14" s="41"/>
      <c r="AF14" s="41">
        <v>15</v>
      </c>
      <c r="AG14" s="41"/>
      <c r="AH14" s="41"/>
      <c r="AI14" s="41"/>
      <c r="AJ14" s="41"/>
      <c r="AK14" s="50"/>
      <c r="AL14" s="50"/>
      <c r="AM14" s="50"/>
      <c r="AN14" s="50"/>
      <c r="AO14" s="50">
        <v>2</v>
      </c>
      <c r="AP14" s="50"/>
      <c r="AQ14" s="50"/>
      <c r="AR14" s="69"/>
      <c r="AS14" s="69"/>
      <c r="AT14" s="69"/>
      <c r="AU14" s="69">
        <v>10</v>
      </c>
      <c r="AV14" s="69"/>
      <c r="AW14" s="69"/>
      <c r="AX14" s="69"/>
      <c r="AY14" s="81"/>
      <c r="AZ14" s="81"/>
      <c r="BA14" s="81">
        <v>5</v>
      </c>
      <c r="BB14" s="81"/>
      <c r="BC14" s="81"/>
      <c r="BD14" s="81"/>
      <c r="BE14" s="81"/>
      <c r="BF14" s="81"/>
      <c r="BG14" s="81">
        <v>10</v>
      </c>
      <c r="BH14" s="86"/>
      <c r="BI14" s="86"/>
      <c r="BJ14" s="86"/>
      <c r="BK14" s="86"/>
      <c r="BL14" s="86"/>
      <c r="BM14" s="86">
        <v>10</v>
      </c>
      <c r="BN14" s="105"/>
      <c r="BO14" s="105"/>
      <c r="BP14" s="105"/>
      <c r="BQ14" s="105"/>
      <c r="BR14" s="105"/>
      <c r="BS14" s="105"/>
      <c r="BT14" s="105"/>
      <c r="BU14" s="105"/>
      <c r="BV14" s="105"/>
      <c r="BW14" s="95"/>
      <c r="BX14" s="95">
        <v>10</v>
      </c>
      <c r="BY14" s="95"/>
      <c r="BZ14" s="95"/>
      <c r="CA14" s="95"/>
      <c r="CB14" s="95"/>
      <c r="CC14" s="95"/>
      <c r="CD14" s="95"/>
      <c r="CE14" s="28"/>
      <c r="CF14" s="28"/>
      <c r="CG14" s="28">
        <v>10</v>
      </c>
      <c r="CH14" s="28"/>
      <c r="CI14" s="28"/>
      <c r="CJ14" s="28"/>
      <c r="CK14" s="28"/>
      <c r="CL14" s="100"/>
      <c r="CM14" s="130">
        <f t="shared" si="0"/>
        <v>92</v>
      </c>
    </row>
    <row r="15" spans="1:92" s="3" customFormat="1" ht="29.25" customHeight="1" x14ac:dyDescent="0.35">
      <c r="A15" s="13"/>
      <c r="B15" s="14" t="s">
        <v>71</v>
      </c>
      <c r="C15" s="15"/>
      <c r="D15" s="16"/>
      <c r="E15" s="120">
        <f t="shared" ref="E15:CL15" si="1">SUM(E5:E14)</f>
        <v>1390</v>
      </c>
      <c r="F15" s="18">
        <f t="shared" si="1"/>
        <v>3425</v>
      </c>
      <c r="G15" s="18">
        <f t="shared" si="1"/>
        <v>3365</v>
      </c>
      <c r="H15" s="18">
        <f t="shared" si="1"/>
        <v>59</v>
      </c>
      <c r="I15" s="18">
        <f t="shared" si="1"/>
        <v>3210</v>
      </c>
      <c r="J15" s="18">
        <f t="shared" si="1"/>
        <v>3090</v>
      </c>
      <c r="K15" s="18">
        <f t="shared" si="1"/>
        <v>2330</v>
      </c>
      <c r="L15" s="29">
        <f t="shared" si="1"/>
        <v>49</v>
      </c>
      <c r="M15" s="29">
        <f t="shared" si="1"/>
        <v>2980</v>
      </c>
      <c r="N15" s="29">
        <f t="shared" si="1"/>
        <v>3915</v>
      </c>
      <c r="O15" s="121">
        <f t="shared" si="1"/>
        <v>1700</v>
      </c>
      <c r="P15" s="34">
        <f t="shared" si="1"/>
        <v>2555</v>
      </c>
      <c r="Q15" s="34">
        <f t="shared" si="1"/>
        <v>54</v>
      </c>
      <c r="R15" s="34">
        <f t="shared" si="1"/>
        <v>2985</v>
      </c>
      <c r="S15" s="34">
        <f t="shared" si="1"/>
        <v>2175</v>
      </c>
      <c r="T15" s="34">
        <f t="shared" si="1"/>
        <v>3075</v>
      </c>
      <c r="U15" s="34">
        <f t="shared" si="1"/>
        <v>54</v>
      </c>
      <c r="V15" s="116">
        <f t="shared" si="1"/>
        <v>3385</v>
      </c>
      <c r="W15" s="38">
        <f t="shared" si="1"/>
        <v>54</v>
      </c>
      <c r="X15" s="38">
        <f t="shared" si="1"/>
        <v>2900</v>
      </c>
      <c r="Y15" s="38">
        <f t="shared" si="1"/>
        <v>108</v>
      </c>
      <c r="Z15" s="38">
        <f t="shared" si="1"/>
        <v>2880</v>
      </c>
      <c r="AA15" s="38">
        <f t="shared" si="1"/>
        <v>2890</v>
      </c>
      <c r="AB15" s="38">
        <f t="shared" si="1"/>
        <v>1210</v>
      </c>
      <c r="AC15" s="42">
        <f t="shared" si="1"/>
        <v>3000</v>
      </c>
      <c r="AD15" s="42">
        <f t="shared" si="1"/>
        <v>58</v>
      </c>
      <c r="AE15" s="42">
        <f t="shared" si="1"/>
        <v>2915</v>
      </c>
      <c r="AF15" s="42">
        <f t="shared" si="1"/>
        <v>2815</v>
      </c>
      <c r="AG15" s="42">
        <f t="shared" si="1"/>
        <v>49</v>
      </c>
      <c r="AH15" s="42">
        <f t="shared" si="1"/>
        <v>3000</v>
      </c>
      <c r="AI15" s="42">
        <f t="shared" si="1"/>
        <v>58</v>
      </c>
      <c r="AJ15" s="42">
        <f t="shared" si="1"/>
        <v>2915</v>
      </c>
      <c r="AK15" s="52">
        <f t="shared" si="1"/>
        <v>2475</v>
      </c>
      <c r="AL15" s="52">
        <f t="shared" si="1"/>
        <v>3030</v>
      </c>
      <c r="AM15" s="52">
        <f t="shared" si="1"/>
        <v>57</v>
      </c>
      <c r="AN15" s="52">
        <f t="shared" si="1"/>
        <v>3110</v>
      </c>
      <c r="AO15" s="52">
        <f t="shared" si="1"/>
        <v>2772</v>
      </c>
      <c r="AP15" s="52">
        <f t="shared" si="1"/>
        <v>56</v>
      </c>
      <c r="AQ15" s="52">
        <f t="shared" si="1"/>
        <v>2820</v>
      </c>
      <c r="AR15" s="70">
        <f t="shared" si="1"/>
        <v>2755</v>
      </c>
      <c r="AS15" s="70">
        <f t="shared" si="1"/>
        <v>58</v>
      </c>
      <c r="AT15" s="70">
        <f t="shared" si="1"/>
        <v>3300</v>
      </c>
      <c r="AU15" s="70">
        <f t="shared" si="1"/>
        <v>3120</v>
      </c>
      <c r="AV15" s="70">
        <f t="shared" si="1"/>
        <v>47</v>
      </c>
      <c r="AW15" s="70">
        <f t="shared" si="1"/>
        <v>2470</v>
      </c>
      <c r="AX15" s="70">
        <f t="shared" si="1"/>
        <v>3120</v>
      </c>
      <c r="AY15" s="82">
        <f t="shared" si="1"/>
        <v>1830</v>
      </c>
      <c r="AZ15" s="82">
        <f t="shared" si="1"/>
        <v>58</v>
      </c>
      <c r="BA15" s="82">
        <f t="shared" si="1"/>
        <v>3195</v>
      </c>
      <c r="BB15" s="82">
        <f t="shared" si="1"/>
        <v>8</v>
      </c>
      <c r="BC15" s="82">
        <f t="shared" si="1"/>
        <v>2640</v>
      </c>
      <c r="BD15" s="82">
        <f t="shared" si="1"/>
        <v>55</v>
      </c>
      <c r="BE15" s="82">
        <f t="shared" si="1"/>
        <v>2820</v>
      </c>
      <c r="BF15" s="82">
        <f t="shared" si="1"/>
        <v>2180</v>
      </c>
      <c r="BG15" s="82">
        <f t="shared" si="1"/>
        <v>4020</v>
      </c>
      <c r="BH15" s="87">
        <f t="shared" si="1"/>
        <v>58</v>
      </c>
      <c r="BI15" s="87">
        <f t="shared" si="1"/>
        <v>2340</v>
      </c>
      <c r="BJ15" s="87">
        <f t="shared" si="1"/>
        <v>3150</v>
      </c>
      <c r="BK15" s="87">
        <f t="shared" si="1"/>
        <v>58</v>
      </c>
      <c r="BL15" s="87">
        <f t="shared" si="1"/>
        <v>2875</v>
      </c>
      <c r="BM15" s="87">
        <f t="shared" si="1"/>
        <v>3140</v>
      </c>
      <c r="BN15" s="18">
        <f t="shared" si="1"/>
        <v>3025</v>
      </c>
      <c r="BO15" s="18">
        <f t="shared" si="1"/>
        <v>58</v>
      </c>
      <c r="BP15" s="18">
        <f t="shared" si="1"/>
        <v>3100</v>
      </c>
      <c r="BQ15" s="18">
        <f t="shared" si="1"/>
        <v>3910</v>
      </c>
      <c r="BR15" s="18">
        <f t="shared" si="1"/>
        <v>37</v>
      </c>
      <c r="BS15" s="18">
        <f t="shared" si="1"/>
        <v>3115</v>
      </c>
      <c r="BT15" s="18">
        <f t="shared" si="1"/>
        <v>2615</v>
      </c>
      <c r="BU15" s="18">
        <f t="shared" si="1"/>
        <v>58</v>
      </c>
      <c r="BV15" s="18">
        <f t="shared" si="1"/>
        <v>3075</v>
      </c>
      <c r="BW15" s="96">
        <f t="shared" si="1"/>
        <v>40</v>
      </c>
      <c r="BX15" s="96">
        <f t="shared" si="1"/>
        <v>2950</v>
      </c>
      <c r="BY15" s="96">
        <f t="shared" si="1"/>
        <v>3060</v>
      </c>
      <c r="BZ15" s="96">
        <f t="shared" si="1"/>
        <v>2540</v>
      </c>
      <c r="CA15" s="96">
        <f t="shared" si="1"/>
        <v>56</v>
      </c>
      <c r="CB15" s="96">
        <f t="shared" si="1"/>
        <v>3230</v>
      </c>
      <c r="CC15" s="96">
        <f t="shared" si="1"/>
        <v>2430</v>
      </c>
      <c r="CD15" s="96">
        <f t="shared" si="1"/>
        <v>58</v>
      </c>
      <c r="CE15" s="29">
        <f t="shared" si="1"/>
        <v>47</v>
      </c>
      <c r="CF15" s="29">
        <f t="shared" si="1"/>
        <v>3130</v>
      </c>
      <c r="CG15" s="29">
        <f t="shared" si="1"/>
        <v>4160</v>
      </c>
      <c r="CH15" s="29">
        <f t="shared" si="1"/>
        <v>2870</v>
      </c>
      <c r="CI15" s="29">
        <f t="shared" si="1"/>
        <v>68</v>
      </c>
      <c r="CJ15" s="29">
        <f t="shared" si="1"/>
        <v>2960</v>
      </c>
      <c r="CK15" s="29">
        <f t="shared" si="1"/>
        <v>3545</v>
      </c>
      <c r="CL15" s="101">
        <f t="shared" si="1"/>
        <v>2820</v>
      </c>
      <c r="CM15" s="130">
        <f t="shared" si="0"/>
        <v>175222</v>
      </c>
    </row>
    <row r="16" spans="1:92" s="3" customFormat="1" ht="29.25" customHeight="1" x14ac:dyDescent="0.35">
      <c r="A16" s="13"/>
      <c r="B16" s="14" t="s">
        <v>72</v>
      </c>
      <c r="C16" s="19"/>
      <c r="D16" s="16"/>
      <c r="E16" s="114">
        <f>E5*$C$5+E6*$C$6+E8*$C$8+E9*$C$9+E10*$C$10+E12*$C$12+E14*$C$14+E13*$C$13</f>
        <v>10703000</v>
      </c>
      <c r="F16" s="21">
        <f>F5*$C$5+F6*$C$6+F8*$C$8+F9*$C$9+F10*$C$10+F12*$C$12+F14*$C$14+F13*$C$13</f>
        <v>22852500</v>
      </c>
      <c r="G16" s="21">
        <f>G5*$C$5+G6*$C$6+G8*$C$8+G9*$C$9+G10*$C$10+G12*$C$12+G14*$C$14+G13*$C$13+G7*$C$7</f>
        <v>40440500</v>
      </c>
      <c r="H16" s="21">
        <f t="shared" ref="H16:CL16" si="2">H5*$C$5+H6*$C$6+H8*$C$8+H9*$C$9+H10*$C$10+H12*$C$12+H14*$C$14+H13*$C$13+H7*$C$7</f>
        <v>2065000</v>
      </c>
      <c r="I16" s="21">
        <f t="shared" si="2"/>
        <v>24717000</v>
      </c>
      <c r="J16" s="21">
        <f t="shared" si="2"/>
        <v>21153000</v>
      </c>
      <c r="K16" s="21">
        <f t="shared" si="2"/>
        <v>15741000</v>
      </c>
      <c r="L16" s="21">
        <f t="shared" si="2"/>
        <v>1715000</v>
      </c>
      <c r="M16" s="21">
        <f t="shared" si="2"/>
        <v>20746000</v>
      </c>
      <c r="N16" s="21">
        <f t="shared" si="2"/>
        <v>27945500</v>
      </c>
      <c r="O16" s="122">
        <f t="shared" si="2"/>
        <v>12650000</v>
      </c>
      <c r="P16" s="21">
        <f t="shared" si="2"/>
        <v>18573500</v>
      </c>
      <c r="Q16" s="21">
        <f t="shared" si="2"/>
        <v>1890000</v>
      </c>
      <c r="R16" s="21">
        <f t="shared" si="2"/>
        <v>20784500</v>
      </c>
      <c r="S16" s="21">
        <f t="shared" si="2"/>
        <v>15427500</v>
      </c>
      <c r="T16" s="21">
        <f t="shared" si="2"/>
        <v>21477500</v>
      </c>
      <c r="U16" s="21">
        <f t="shared" si="2"/>
        <v>1890000</v>
      </c>
      <c r="V16" s="117">
        <f t="shared" si="2"/>
        <v>23864500</v>
      </c>
      <c r="W16" s="20">
        <f t="shared" si="2"/>
        <v>1890000</v>
      </c>
      <c r="X16" s="20">
        <f t="shared" si="2"/>
        <v>20130000</v>
      </c>
      <c r="Y16" s="20">
        <f t="shared" si="2"/>
        <v>3780000</v>
      </c>
      <c r="Z16" s="20">
        <f t="shared" si="2"/>
        <v>20416000</v>
      </c>
      <c r="AA16" s="20">
        <f t="shared" si="2"/>
        <v>20933000</v>
      </c>
      <c r="AB16" s="20">
        <f t="shared" si="2"/>
        <v>9317000</v>
      </c>
      <c r="AC16" s="20">
        <f t="shared" si="2"/>
        <v>20460000</v>
      </c>
      <c r="AD16" s="20">
        <f t="shared" si="2"/>
        <v>2030000</v>
      </c>
      <c r="AE16" s="20">
        <f t="shared" si="2"/>
        <v>20685500</v>
      </c>
      <c r="AF16" s="20">
        <f t="shared" si="2"/>
        <v>19475500</v>
      </c>
      <c r="AG16" s="20">
        <f t="shared" si="2"/>
        <v>1715000</v>
      </c>
      <c r="AH16" s="20">
        <f t="shared" si="2"/>
        <v>21340000</v>
      </c>
      <c r="AI16" s="20">
        <f t="shared" si="2"/>
        <v>2030000</v>
      </c>
      <c r="AJ16" s="20">
        <f t="shared" si="2"/>
        <v>19805500</v>
      </c>
      <c r="AK16" s="20">
        <f t="shared" si="2"/>
        <v>17737500</v>
      </c>
      <c r="AL16" s="20">
        <f t="shared" si="2"/>
        <v>20251000</v>
      </c>
      <c r="AM16" s="20">
        <f t="shared" si="2"/>
        <v>1995000</v>
      </c>
      <c r="AN16" s="20">
        <f t="shared" si="2"/>
        <v>22187000</v>
      </c>
      <c r="AO16" s="20">
        <f t="shared" si="2"/>
        <v>19144400</v>
      </c>
      <c r="AP16" s="20">
        <f t="shared" si="2"/>
        <v>1960000</v>
      </c>
      <c r="AQ16" s="20">
        <f t="shared" si="2"/>
        <v>19954000</v>
      </c>
      <c r="AR16" s="20">
        <f t="shared" si="2"/>
        <v>19453500</v>
      </c>
      <c r="AS16" s="20">
        <f t="shared" si="2"/>
        <v>2030000</v>
      </c>
      <c r="AT16" s="20">
        <f t="shared" si="2"/>
        <v>21890000</v>
      </c>
      <c r="AU16" s="20">
        <f t="shared" si="2"/>
        <v>21384000</v>
      </c>
      <c r="AV16" s="20">
        <f t="shared" si="2"/>
        <v>1645000</v>
      </c>
      <c r="AW16" s="20">
        <f t="shared" si="2"/>
        <v>17699000</v>
      </c>
      <c r="AX16" s="20">
        <f t="shared" si="2"/>
        <v>21824000</v>
      </c>
      <c r="AY16" s="20">
        <f t="shared" si="2"/>
        <v>12771000</v>
      </c>
      <c r="AZ16" s="20">
        <f t="shared" si="2"/>
        <v>2030000</v>
      </c>
      <c r="BA16" s="20">
        <f t="shared" si="2"/>
        <v>22401500</v>
      </c>
      <c r="BB16" s="20">
        <f t="shared" si="2"/>
        <v>1400000</v>
      </c>
      <c r="BC16" s="20">
        <f t="shared" si="2"/>
        <v>19008000</v>
      </c>
      <c r="BD16" s="20">
        <f t="shared" si="2"/>
        <v>1925000</v>
      </c>
      <c r="BE16" s="20">
        <f t="shared" si="2"/>
        <v>19514000</v>
      </c>
      <c r="BF16" s="20">
        <f t="shared" si="2"/>
        <v>15466000</v>
      </c>
      <c r="BG16" s="20">
        <f t="shared" si="2"/>
        <v>28314000</v>
      </c>
      <c r="BH16" s="20">
        <f t="shared" si="2"/>
        <v>2030000</v>
      </c>
      <c r="BI16" s="20">
        <f t="shared" si="2"/>
        <v>16258000</v>
      </c>
      <c r="BJ16" s="20">
        <f t="shared" si="2"/>
        <v>20735000</v>
      </c>
      <c r="BK16" s="20">
        <f t="shared" si="2"/>
        <v>2030000</v>
      </c>
      <c r="BL16" s="20">
        <f t="shared" si="2"/>
        <v>19057500</v>
      </c>
      <c r="BM16" s="20">
        <f t="shared" si="2"/>
        <v>21978000</v>
      </c>
      <c r="BN16" s="20">
        <f t="shared" si="2"/>
        <v>21972500</v>
      </c>
      <c r="BO16" s="20">
        <f t="shared" si="2"/>
        <v>2030000</v>
      </c>
      <c r="BP16" s="20">
        <f t="shared" si="2"/>
        <v>21230000</v>
      </c>
      <c r="BQ16" s="20">
        <f t="shared" si="2"/>
        <v>25707000</v>
      </c>
      <c r="BR16" s="20">
        <f t="shared" si="2"/>
        <v>1855000</v>
      </c>
      <c r="BS16" s="20">
        <f t="shared" si="2"/>
        <v>20465500</v>
      </c>
      <c r="BT16" s="20">
        <f t="shared" si="2"/>
        <v>18815500</v>
      </c>
      <c r="BU16" s="20">
        <f t="shared" si="2"/>
        <v>2030000</v>
      </c>
      <c r="BV16" s="20">
        <f t="shared" si="2"/>
        <v>21037500</v>
      </c>
      <c r="BW16" s="20">
        <f t="shared" si="2"/>
        <v>1400000</v>
      </c>
      <c r="BX16" s="20">
        <f t="shared" si="2"/>
        <v>20075000</v>
      </c>
      <c r="BY16" s="20">
        <f t="shared" si="2"/>
        <v>20922000</v>
      </c>
      <c r="BZ16" s="20">
        <f t="shared" si="2"/>
        <v>17798000</v>
      </c>
      <c r="CA16" s="20">
        <f t="shared" si="2"/>
        <v>1960000</v>
      </c>
      <c r="CB16" s="20">
        <f t="shared" si="2"/>
        <v>21791000</v>
      </c>
      <c r="CC16" s="20">
        <f t="shared" si="2"/>
        <v>17391000</v>
      </c>
      <c r="CD16" s="20">
        <f t="shared" si="2"/>
        <v>2030000</v>
      </c>
      <c r="CE16" s="20">
        <f t="shared" si="2"/>
        <v>1645000</v>
      </c>
      <c r="CF16" s="20">
        <f t="shared" si="2"/>
        <v>20141000</v>
      </c>
      <c r="CG16" s="20">
        <f t="shared" si="2"/>
        <v>27632000</v>
      </c>
      <c r="CH16" s="20">
        <f t="shared" si="2"/>
        <v>19019000</v>
      </c>
      <c r="CI16" s="20">
        <f t="shared" si="2"/>
        <v>2380000</v>
      </c>
      <c r="CJ16" s="20">
        <f t="shared" si="2"/>
        <v>19712000</v>
      </c>
      <c r="CK16" s="20">
        <f t="shared" si="2"/>
        <v>24656500</v>
      </c>
      <c r="CL16" s="20">
        <f t="shared" si="2"/>
        <v>19074000</v>
      </c>
      <c r="CM16" s="131">
        <f t="shared" si="0"/>
        <v>1275485400</v>
      </c>
    </row>
    <row r="17" spans="1:92" s="3" customFormat="1" ht="29.25" customHeight="1" x14ac:dyDescent="0.35">
      <c r="A17" s="13"/>
      <c r="B17" s="14" t="s">
        <v>73</v>
      </c>
      <c r="C17" s="19"/>
      <c r="D17" s="16"/>
      <c r="E17" s="114">
        <f t="shared" ref="E17:CM17" si="3">+E16*10%</f>
        <v>1070300</v>
      </c>
      <c r="F17" s="21">
        <f t="shared" si="3"/>
        <v>2285250</v>
      </c>
      <c r="G17" s="21">
        <f t="shared" si="3"/>
        <v>4044050</v>
      </c>
      <c r="H17" s="21">
        <f t="shared" si="3"/>
        <v>206500</v>
      </c>
      <c r="I17" s="21">
        <f t="shared" si="3"/>
        <v>2471700</v>
      </c>
      <c r="J17" s="21">
        <f t="shared" si="3"/>
        <v>2115300</v>
      </c>
      <c r="K17" s="21">
        <f t="shared" si="3"/>
        <v>1574100</v>
      </c>
      <c r="L17" s="30">
        <f t="shared" si="3"/>
        <v>171500</v>
      </c>
      <c r="M17" s="30">
        <f t="shared" si="3"/>
        <v>2074600</v>
      </c>
      <c r="N17" s="30">
        <f t="shared" si="3"/>
        <v>2794550</v>
      </c>
      <c r="O17" s="123">
        <f t="shared" si="3"/>
        <v>1265000</v>
      </c>
      <c r="P17" s="35">
        <f t="shared" si="3"/>
        <v>1857350</v>
      </c>
      <c r="Q17" s="35">
        <f t="shared" si="3"/>
        <v>189000</v>
      </c>
      <c r="R17" s="35">
        <f t="shared" si="3"/>
        <v>2078450</v>
      </c>
      <c r="S17" s="35">
        <f t="shared" si="3"/>
        <v>1542750</v>
      </c>
      <c r="T17" s="35">
        <f t="shared" si="3"/>
        <v>2147750</v>
      </c>
      <c r="U17" s="35">
        <f t="shared" si="3"/>
        <v>189000</v>
      </c>
      <c r="V17" s="118">
        <f t="shared" si="3"/>
        <v>2386450</v>
      </c>
      <c r="W17" s="39">
        <f t="shared" si="3"/>
        <v>189000</v>
      </c>
      <c r="X17" s="39">
        <f t="shared" si="3"/>
        <v>2013000</v>
      </c>
      <c r="Y17" s="39">
        <f t="shared" si="3"/>
        <v>378000</v>
      </c>
      <c r="Z17" s="39">
        <f t="shared" si="3"/>
        <v>2041600</v>
      </c>
      <c r="AA17" s="39">
        <f t="shared" si="3"/>
        <v>2093300</v>
      </c>
      <c r="AB17" s="39">
        <f t="shared" si="3"/>
        <v>931700</v>
      </c>
      <c r="AC17" s="43">
        <f t="shared" si="3"/>
        <v>2046000</v>
      </c>
      <c r="AD17" s="43">
        <f t="shared" si="3"/>
        <v>203000</v>
      </c>
      <c r="AE17" s="43">
        <f t="shared" si="3"/>
        <v>2068550</v>
      </c>
      <c r="AF17" s="43">
        <f t="shared" si="3"/>
        <v>1947550</v>
      </c>
      <c r="AG17" s="43">
        <f t="shared" si="3"/>
        <v>171500</v>
      </c>
      <c r="AH17" s="43">
        <f t="shared" si="3"/>
        <v>2134000</v>
      </c>
      <c r="AI17" s="43">
        <f t="shared" si="3"/>
        <v>203000</v>
      </c>
      <c r="AJ17" s="43">
        <f t="shared" si="3"/>
        <v>1980550</v>
      </c>
      <c r="AK17" s="51">
        <f t="shared" si="3"/>
        <v>1773750</v>
      </c>
      <c r="AL17" s="51">
        <f t="shared" si="3"/>
        <v>2025100</v>
      </c>
      <c r="AM17" s="51">
        <f t="shared" si="3"/>
        <v>199500</v>
      </c>
      <c r="AN17" s="51">
        <f t="shared" si="3"/>
        <v>2218700</v>
      </c>
      <c r="AO17" s="51">
        <f t="shared" si="3"/>
        <v>1914440</v>
      </c>
      <c r="AP17" s="51">
        <f t="shared" si="3"/>
        <v>196000</v>
      </c>
      <c r="AQ17" s="51">
        <f t="shared" si="3"/>
        <v>1995400</v>
      </c>
      <c r="AR17" s="71">
        <f t="shared" si="3"/>
        <v>1945350</v>
      </c>
      <c r="AS17" s="71">
        <f t="shared" si="3"/>
        <v>203000</v>
      </c>
      <c r="AT17" s="71">
        <f t="shared" si="3"/>
        <v>2189000</v>
      </c>
      <c r="AU17" s="71">
        <f t="shared" si="3"/>
        <v>2138400</v>
      </c>
      <c r="AV17" s="71">
        <f t="shared" si="3"/>
        <v>164500</v>
      </c>
      <c r="AW17" s="71">
        <f t="shared" si="3"/>
        <v>1769900</v>
      </c>
      <c r="AX17" s="71">
        <f t="shared" si="3"/>
        <v>2182400</v>
      </c>
      <c r="AY17" s="83">
        <f t="shared" si="3"/>
        <v>1277100</v>
      </c>
      <c r="AZ17" s="83">
        <f t="shared" si="3"/>
        <v>203000</v>
      </c>
      <c r="BA17" s="83">
        <f t="shared" si="3"/>
        <v>2240150</v>
      </c>
      <c r="BB17" s="83">
        <f t="shared" si="3"/>
        <v>140000</v>
      </c>
      <c r="BC17" s="83">
        <f t="shared" si="3"/>
        <v>1900800</v>
      </c>
      <c r="BD17" s="83">
        <f t="shared" si="3"/>
        <v>192500</v>
      </c>
      <c r="BE17" s="83">
        <f t="shared" si="3"/>
        <v>1951400</v>
      </c>
      <c r="BF17" s="83">
        <f t="shared" si="3"/>
        <v>1546600</v>
      </c>
      <c r="BG17" s="83">
        <f t="shared" si="3"/>
        <v>2831400</v>
      </c>
      <c r="BH17" s="88">
        <f t="shared" si="3"/>
        <v>203000</v>
      </c>
      <c r="BI17" s="88">
        <f t="shared" si="3"/>
        <v>1625800</v>
      </c>
      <c r="BJ17" s="88">
        <f t="shared" si="3"/>
        <v>2073500</v>
      </c>
      <c r="BK17" s="88">
        <f t="shared" si="3"/>
        <v>203000</v>
      </c>
      <c r="BL17" s="88">
        <f t="shared" si="3"/>
        <v>1905750</v>
      </c>
      <c r="BM17" s="88">
        <f t="shared" si="3"/>
        <v>2197800</v>
      </c>
      <c r="BN17" s="21">
        <f t="shared" si="3"/>
        <v>2197250</v>
      </c>
      <c r="BO17" s="21">
        <f t="shared" si="3"/>
        <v>203000</v>
      </c>
      <c r="BP17" s="21">
        <f t="shared" si="3"/>
        <v>2123000</v>
      </c>
      <c r="BQ17" s="21">
        <f t="shared" si="3"/>
        <v>2570700</v>
      </c>
      <c r="BR17" s="21">
        <f t="shared" si="3"/>
        <v>185500</v>
      </c>
      <c r="BS17" s="21">
        <f t="shared" si="3"/>
        <v>2046550</v>
      </c>
      <c r="BT17" s="21">
        <f t="shared" si="3"/>
        <v>1881550</v>
      </c>
      <c r="BU17" s="21">
        <f t="shared" si="3"/>
        <v>203000</v>
      </c>
      <c r="BV17" s="21">
        <f t="shared" si="3"/>
        <v>2103750</v>
      </c>
      <c r="BW17" s="97">
        <f t="shared" si="3"/>
        <v>140000</v>
      </c>
      <c r="BX17" s="97">
        <f t="shared" si="3"/>
        <v>2007500</v>
      </c>
      <c r="BY17" s="97">
        <f t="shared" si="3"/>
        <v>2092200</v>
      </c>
      <c r="BZ17" s="97">
        <f t="shared" si="3"/>
        <v>1779800</v>
      </c>
      <c r="CA17" s="97">
        <f t="shared" si="3"/>
        <v>196000</v>
      </c>
      <c r="CB17" s="97">
        <f t="shared" si="3"/>
        <v>2179100</v>
      </c>
      <c r="CC17" s="97">
        <f t="shared" si="3"/>
        <v>1739100</v>
      </c>
      <c r="CD17" s="97">
        <f t="shared" si="3"/>
        <v>203000</v>
      </c>
      <c r="CE17" s="30">
        <f t="shared" si="3"/>
        <v>164500</v>
      </c>
      <c r="CF17" s="30">
        <f t="shared" si="3"/>
        <v>2014100</v>
      </c>
      <c r="CG17" s="30">
        <f t="shared" si="3"/>
        <v>2763200</v>
      </c>
      <c r="CH17" s="30">
        <f t="shared" si="3"/>
        <v>1901900</v>
      </c>
      <c r="CI17" s="30">
        <f t="shared" si="3"/>
        <v>238000</v>
      </c>
      <c r="CJ17" s="30">
        <f t="shared" si="3"/>
        <v>1971200</v>
      </c>
      <c r="CK17" s="30">
        <f t="shared" si="3"/>
        <v>2465650</v>
      </c>
      <c r="CL17" s="102">
        <f t="shared" si="3"/>
        <v>1907400</v>
      </c>
      <c r="CM17" s="131">
        <f t="shared" si="3"/>
        <v>127548540</v>
      </c>
    </row>
    <row r="18" spans="1:92" s="3" customFormat="1" ht="29.25" customHeight="1" thickBot="1" x14ac:dyDescent="0.4">
      <c r="A18" s="13"/>
      <c r="B18" s="14" t="s">
        <v>74</v>
      </c>
      <c r="C18" s="19"/>
      <c r="D18" s="16"/>
      <c r="E18" s="22">
        <f t="shared" ref="E18:CM18" si="4">+E16+E17</f>
        <v>11773300</v>
      </c>
      <c r="F18" s="23">
        <f t="shared" si="4"/>
        <v>25137750</v>
      </c>
      <c r="G18" s="23">
        <f t="shared" si="4"/>
        <v>44484550</v>
      </c>
      <c r="H18" s="23">
        <f t="shared" si="4"/>
        <v>2271500</v>
      </c>
      <c r="I18" s="23">
        <f t="shared" si="4"/>
        <v>27188700</v>
      </c>
      <c r="J18" s="23">
        <f t="shared" si="4"/>
        <v>23268300</v>
      </c>
      <c r="K18" s="23">
        <f t="shared" si="4"/>
        <v>17315100</v>
      </c>
      <c r="L18" s="31">
        <f t="shared" si="4"/>
        <v>1886500</v>
      </c>
      <c r="M18" s="31">
        <f t="shared" si="4"/>
        <v>22820600</v>
      </c>
      <c r="N18" s="31">
        <f t="shared" si="4"/>
        <v>30740050</v>
      </c>
      <c r="O18" s="115">
        <f t="shared" si="4"/>
        <v>13915000</v>
      </c>
      <c r="P18" s="35">
        <f t="shared" si="4"/>
        <v>20430850</v>
      </c>
      <c r="Q18" s="35">
        <f t="shared" si="4"/>
        <v>2079000</v>
      </c>
      <c r="R18" s="35">
        <f t="shared" si="4"/>
        <v>22862950</v>
      </c>
      <c r="S18" s="35">
        <f t="shared" si="4"/>
        <v>16970250</v>
      </c>
      <c r="T18" s="35">
        <f t="shared" si="4"/>
        <v>23625250</v>
      </c>
      <c r="U18" s="35">
        <f t="shared" si="4"/>
        <v>2079000</v>
      </c>
      <c r="V18" s="119">
        <f t="shared" si="4"/>
        <v>26250950</v>
      </c>
      <c r="W18" s="40">
        <f t="shared" si="4"/>
        <v>2079000</v>
      </c>
      <c r="X18" s="40">
        <f t="shared" si="4"/>
        <v>22143000</v>
      </c>
      <c r="Y18" s="40">
        <f t="shared" si="4"/>
        <v>4158000</v>
      </c>
      <c r="Z18" s="40">
        <f t="shared" si="4"/>
        <v>22457600</v>
      </c>
      <c r="AA18" s="40">
        <f t="shared" si="4"/>
        <v>23026300</v>
      </c>
      <c r="AB18" s="40">
        <f t="shared" si="4"/>
        <v>10248700</v>
      </c>
      <c r="AC18" s="44">
        <f t="shared" si="4"/>
        <v>22506000</v>
      </c>
      <c r="AD18" s="44">
        <f t="shared" si="4"/>
        <v>2233000</v>
      </c>
      <c r="AE18" s="44">
        <f t="shared" si="4"/>
        <v>22754050</v>
      </c>
      <c r="AF18" s="44">
        <f t="shared" si="4"/>
        <v>21423050</v>
      </c>
      <c r="AG18" s="44">
        <f t="shared" si="4"/>
        <v>1886500</v>
      </c>
      <c r="AH18" s="44">
        <f t="shared" si="4"/>
        <v>23474000</v>
      </c>
      <c r="AI18" s="44">
        <f t="shared" si="4"/>
        <v>2233000</v>
      </c>
      <c r="AJ18" s="44">
        <f t="shared" si="4"/>
        <v>21786050</v>
      </c>
      <c r="AK18" s="53">
        <f t="shared" si="4"/>
        <v>19511250</v>
      </c>
      <c r="AL18" s="53">
        <f t="shared" si="4"/>
        <v>22276100</v>
      </c>
      <c r="AM18" s="53">
        <f t="shared" si="4"/>
        <v>2194500</v>
      </c>
      <c r="AN18" s="53">
        <f t="shared" si="4"/>
        <v>24405700</v>
      </c>
      <c r="AO18" s="53">
        <f t="shared" si="4"/>
        <v>21058840</v>
      </c>
      <c r="AP18" s="53">
        <f t="shared" si="4"/>
        <v>2156000</v>
      </c>
      <c r="AQ18" s="53">
        <f t="shared" si="4"/>
        <v>21949400</v>
      </c>
      <c r="AR18" s="72">
        <f t="shared" si="4"/>
        <v>21398850</v>
      </c>
      <c r="AS18" s="72">
        <f t="shared" si="4"/>
        <v>2233000</v>
      </c>
      <c r="AT18" s="72">
        <f t="shared" si="4"/>
        <v>24079000</v>
      </c>
      <c r="AU18" s="72">
        <f t="shared" si="4"/>
        <v>23522400</v>
      </c>
      <c r="AV18" s="72">
        <f t="shared" si="4"/>
        <v>1809500</v>
      </c>
      <c r="AW18" s="72">
        <f t="shared" si="4"/>
        <v>19468900</v>
      </c>
      <c r="AX18" s="72">
        <f t="shared" si="4"/>
        <v>24006400</v>
      </c>
      <c r="AY18" s="84">
        <f t="shared" si="4"/>
        <v>14048100</v>
      </c>
      <c r="AZ18" s="84">
        <f t="shared" si="4"/>
        <v>2233000</v>
      </c>
      <c r="BA18" s="84">
        <f t="shared" si="4"/>
        <v>24641650</v>
      </c>
      <c r="BB18" s="84">
        <f t="shared" si="4"/>
        <v>1540000</v>
      </c>
      <c r="BC18" s="84">
        <f t="shared" si="4"/>
        <v>20908800</v>
      </c>
      <c r="BD18" s="84">
        <f t="shared" si="4"/>
        <v>2117500</v>
      </c>
      <c r="BE18" s="84">
        <f t="shared" si="4"/>
        <v>21465400</v>
      </c>
      <c r="BF18" s="84">
        <f t="shared" si="4"/>
        <v>17012600</v>
      </c>
      <c r="BG18" s="84">
        <f t="shared" si="4"/>
        <v>31145400</v>
      </c>
      <c r="BH18" s="89">
        <f t="shared" si="4"/>
        <v>2233000</v>
      </c>
      <c r="BI18" s="89">
        <f t="shared" si="4"/>
        <v>17883800</v>
      </c>
      <c r="BJ18" s="89">
        <f t="shared" si="4"/>
        <v>22808500</v>
      </c>
      <c r="BK18" s="89">
        <f t="shared" si="4"/>
        <v>2233000</v>
      </c>
      <c r="BL18" s="89">
        <f t="shared" si="4"/>
        <v>20963250</v>
      </c>
      <c r="BM18" s="89">
        <f t="shared" si="4"/>
        <v>24175800</v>
      </c>
      <c r="BN18" s="23">
        <f t="shared" si="4"/>
        <v>24169750</v>
      </c>
      <c r="BO18" s="23">
        <f t="shared" si="4"/>
        <v>2233000</v>
      </c>
      <c r="BP18" s="23">
        <f t="shared" si="4"/>
        <v>23353000</v>
      </c>
      <c r="BQ18" s="23">
        <f t="shared" si="4"/>
        <v>28277700</v>
      </c>
      <c r="BR18" s="23">
        <f t="shared" si="4"/>
        <v>2040500</v>
      </c>
      <c r="BS18" s="23">
        <f t="shared" si="4"/>
        <v>22512050</v>
      </c>
      <c r="BT18" s="23">
        <f t="shared" si="4"/>
        <v>20697050</v>
      </c>
      <c r="BU18" s="23">
        <f t="shared" si="4"/>
        <v>2233000</v>
      </c>
      <c r="BV18" s="23">
        <f t="shared" si="4"/>
        <v>23141250</v>
      </c>
      <c r="BW18" s="98">
        <f t="shared" si="4"/>
        <v>1540000</v>
      </c>
      <c r="BX18" s="98">
        <f t="shared" si="4"/>
        <v>22082500</v>
      </c>
      <c r="BY18" s="98">
        <f t="shared" si="4"/>
        <v>23014200</v>
      </c>
      <c r="BZ18" s="98">
        <f t="shared" si="4"/>
        <v>19577800</v>
      </c>
      <c r="CA18" s="98">
        <f t="shared" si="4"/>
        <v>2156000</v>
      </c>
      <c r="CB18" s="98">
        <f t="shared" si="4"/>
        <v>23970100</v>
      </c>
      <c r="CC18" s="98">
        <f t="shared" si="4"/>
        <v>19130100</v>
      </c>
      <c r="CD18" s="98">
        <f t="shared" si="4"/>
        <v>2233000</v>
      </c>
      <c r="CE18" s="31">
        <f t="shared" si="4"/>
        <v>1809500</v>
      </c>
      <c r="CF18" s="31">
        <f t="shared" si="4"/>
        <v>22155100</v>
      </c>
      <c r="CG18" s="31">
        <f t="shared" si="4"/>
        <v>30395200</v>
      </c>
      <c r="CH18" s="31">
        <f t="shared" si="4"/>
        <v>20920900</v>
      </c>
      <c r="CI18" s="31">
        <f t="shared" si="4"/>
        <v>2618000</v>
      </c>
      <c r="CJ18" s="31">
        <f t="shared" si="4"/>
        <v>21683200</v>
      </c>
      <c r="CK18" s="31">
        <f t="shared" si="4"/>
        <v>27122150</v>
      </c>
      <c r="CL18" s="103">
        <f t="shared" si="4"/>
        <v>20981400</v>
      </c>
      <c r="CM18" s="131">
        <f t="shared" si="4"/>
        <v>1403033940</v>
      </c>
      <c r="CN18" s="24"/>
    </row>
    <row r="19" spans="1:92" ht="41.25" customHeight="1" x14ac:dyDescent="0.35">
      <c r="A19" s="308" t="s">
        <v>75</v>
      </c>
      <c r="B19" s="309"/>
      <c r="C19" s="309"/>
      <c r="D19" s="310"/>
      <c r="E19" s="300" t="s">
        <v>76</v>
      </c>
      <c r="F19" s="300"/>
      <c r="G19" s="300"/>
      <c r="H19" s="300"/>
      <c r="I19" s="300"/>
      <c r="J19" s="300"/>
      <c r="K19" s="300"/>
      <c r="L19" s="300"/>
      <c r="M19" s="300"/>
      <c r="N19" s="300"/>
      <c r="O19" s="300"/>
      <c r="P19" s="300"/>
      <c r="Q19" s="300"/>
      <c r="R19" s="300"/>
      <c r="S19" s="300"/>
      <c r="T19" s="300"/>
      <c r="U19" s="300"/>
      <c r="V19" s="300"/>
      <c r="W19" s="300"/>
      <c r="X19" s="300"/>
      <c r="Y19" s="300"/>
      <c r="Z19" s="300"/>
      <c r="AA19" s="300"/>
      <c r="AB19" s="300"/>
      <c r="AC19" s="301"/>
      <c r="AD19" s="301"/>
      <c r="AE19" s="301"/>
      <c r="AF19" s="301"/>
      <c r="AG19" s="301"/>
      <c r="AH19" s="301"/>
      <c r="AI19" s="301"/>
      <c r="AJ19" s="301"/>
      <c r="AK19" s="301"/>
      <c r="AL19" s="301"/>
      <c r="AM19" s="301"/>
      <c r="AN19" s="300"/>
      <c r="AO19" s="300"/>
      <c r="AP19" s="300"/>
      <c r="AQ19" s="300"/>
      <c r="AR19" s="300"/>
      <c r="AS19" s="300"/>
      <c r="AT19" s="300"/>
      <c r="AU19" s="300"/>
      <c r="AV19" s="300"/>
      <c r="AW19" s="300"/>
      <c r="AX19" s="300"/>
      <c r="AY19" s="300"/>
      <c r="AZ19" s="300"/>
      <c r="BA19" s="300"/>
      <c r="BB19" s="300"/>
      <c r="BC19" s="300"/>
      <c r="BD19" s="300"/>
      <c r="BE19" s="300"/>
      <c r="BF19" s="300"/>
      <c r="BG19" s="300"/>
      <c r="BH19" s="300"/>
      <c r="BI19" s="300"/>
      <c r="BJ19" s="300"/>
      <c r="BK19" s="300"/>
      <c r="BL19" s="300"/>
      <c r="BM19" s="300"/>
      <c r="BN19" s="300"/>
      <c r="BO19" s="300"/>
      <c r="BP19" s="300"/>
      <c r="BQ19" s="300"/>
      <c r="BR19" s="300"/>
      <c r="BS19" s="300"/>
      <c r="BT19" s="300"/>
      <c r="BU19" s="300"/>
      <c r="BV19" s="300"/>
      <c r="BW19" s="300"/>
      <c r="BX19" s="300"/>
      <c r="BY19" s="300"/>
      <c r="BZ19" s="300"/>
      <c r="CA19" s="300"/>
      <c r="CB19" s="300"/>
      <c r="CC19" s="300"/>
      <c r="CD19" s="300"/>
      <c r="CE19" s="300"/>
      <c r="CF19" s="300"/>
      <c r="CG19" s="300"/>
      <c r="CH19" s="300"/>
      <c r="CI19" s="300"/>
      <c r="CJ19" s="300"/>
      <c r="CK19" s="300"/>
      <c r="CL19" s="300"/>
      <c r="CM19" s="132"/>
      <c r="CN19" s="26"/>
    </row>
    <row r="20" spans="1:92" s="47" customFormat="1" ht="21" customHeight="1" x14ac:dyDescent="0.35">
      <c r="A20" s="294" t="s">
        <v>77</v>
      </c>
      <c r="B20" s="295"/>
      <c r="C20" s="295"/>
      <c r="D20" s="296"/>
      <c r="E20" s="66"/>
      <c r="F20" s="110"/>
      <c r="G20" s="110"/>
      <c r="H20" s="110"/>
      <c r="I20" s="108"/>
      <c r="J20" s="108"/>
      <c r="K20" s="108"/>
      <c r="L20" s="109"/>
      <c r="M20" s="112"/>
      <c r="N20" s="112"/>
      <c r="O20" s="112"/>
      <c r="P20" s="292"/>
      <c r="Q20" s="292"/>
      <c r="R20" s="292"/>
      <c r="S20" s="292"/>
      <c r="T20" s="292"/>
      <c r="U20" s="292"/>
      <c r="V20" s="292"/>
      <c r="W20" s="293"/>
      <c r="X20" s="291"/>
      <c r="Y20" s="302"/>
      <c r="Z20" s="302"/>
      <c r="AA20" s="302"/>
      <c r="AB20" s="302"/>
      <c r="AC20" s="303"/>
      <c r="AD20" s="292"/>
      <c r="AE20" s="292"/>
      <c r="AF20" s="292"/>
      <c r="AG20" s="292"/>
      <c r="AH20" s="292"/>
      <c r="AI20" s="292"/>
      <c r="AJ20" s="292"/>
      <c r="AK20" s="292"/>
      <c r="AL20" s="292"/>
      <c r="AM20" s="92"/>
      <c r="AN20" s="303"/>
      <c r="AO20" s="292"/>
      <c r="AP20" s="292"/>
      <c r="AQ20" s="292"/>
      <c r="AR20" s="292"/>
      <c r="AS20" s="92"/>
      <c r="AT20" s="304"/>
      <c r="AU20" s="304"/>
      <c r="AV20" s="304"/>
      <c r="AW20" s="304"/>
      <c r="AX20" s="92"/>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c r="CI20" s="90"/>
      <c r="CJ20" s="90"/>
      <c r="CK20" s="90"/>
      <c r="CL20" s="91"/>
      <c r="CM20" s="133"/>
    </row>
    <row r="22" spans="1:92" x14ac:dyDescent="0.35">
      <c r="G22" s="2" t="s">
        <v>84</v>
      </c>
    </row>
    <row r="24" spans="1:92" x14ac:dyDescent="0.35">
      <c r="W24" s="48"/>
      <c r="BG24" s="2" t="s">
        <v>131</v>
      </c>
    </row>
    <row r="25" spans="1:92" x14ac:dyDescent="0.35">
      <c r="S25" s="26"/>
      <c r="T25" s="26"/>
      <c r="U25" s="26"/>
    </row>
    <row r="32" spans="1:92" x14ac:dyDescent="0.35">
      <c r="G32" s="2">
        <f>1300000*0.3</f>
        <v>390000</v>
      </c>
    </row>
  </sheetData>
  <mergeCells count="27">
    <mergeCell ref="AT20:AW20"/>
    <mergeCell ref="A6:A7"/>
    <mergeCell ref="BW3:CD3"/>
    <mergeCell ref="CE3:CL3"/>
    <mergeCell ref="A19:D19"/>
    <mergeCell ref="E19:CL19"/>
    <mergeCell ref="A20:D20"/>
    <mergeCell ref="P20:W20"/>
    <mergeCell ref="X20:AB20"/>
    <mergeCell ref="AC20:AL20"/>
    <mergeCell ref="AN20:AR20"/>
    <mergeCell ref="AC3:AJ3"/>
    <mergeCell ref="AK3:AQ3"/>
    <mergeCell ref="AR3:AX3"/>
    <mergeCell ref="AY3:BG3"/>
    <mergeCell ref="BH3:BM3"/>
    <mergeCell ref="BN3:BT3"/>
    <mergeCell ref="A1:CM1"/>
    <mergeCell ref="A2:A4"/>
    <mergeCell ref="B2:D2"/>
    <mergeCell ref="B3:B4"/>
    <mergeCell ref="C3:C4"/>
    <mergeCell ref="D3:D4"/>
    <mergeCell ref="E3:K3"/>
    <mergeCell ref="L3:O3"/>
    <mergeCell ref="V3:AB3"/>
    <mergeCell ref="P3:U3"/>
  </mergeCells>
  <pageMargins left="0.7" right="0.7" top="0.75" bottom="0.75" header="0.3" footer="0.3"/>
  <pageSetup scale="50" orientation="landscape" horizontalDpi="4294967295" verticalDpi="4294967295"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Y31"/>
  <sheetViews>
    <sheetView zoomScale="70" zoomScaleNormal="70" workbookViewId="0">
      <pane xSplit="4" ySplit="5" topLeftCell="E6" activePane="bottomRight" state="frozen"/>
      <selection pane="topRight" activeCell="E1" sqref="E1"/>
      <selection pane="bottomLeft" activeCell="A5" sqref="A5"/>
      <selection pane="bottomRight" activeCell="C19" sqref="C19"/>
    </sheetView>
  </sheetViews>
  <sheetFormatPr defaultColWidth="9.1796875" defaultRowHeight="16.5" x14ac:dyDescent="0.35"/>
  <cols>
    <col min="1" max="1" width="4.81640625" style="2" bestFit="1" customWidth="1"/>
    <col min="2" max="2" width="32.54296875" style="27" customWidth="1"/>
    <col min="3" max="3" width="19" style="27" customWidth="1"/>
    <col min="4" max="4" width="14" style="2" customWidth="1"/>
    <col min="5" max="12" width="15.1796875" style="2" customWidth="1"/>
    <col min="13" max="15" width="14.81640625" style="2" customWidth="1"/>
    <col min="16" max="35" width="15.1796875" style="2" customWidth="1"/>
    <col min="36" max="36" width="16.453125" style="2" customWidth="1"/>
    <col min="37" max="75" width="15.1796875" style="2" customWidth="1"/>
    <col min="76" max="76" width="24.453125" style="134" customWidth="1"/>
    <col min="77" max="77" width="9.1796875" style="2" customWidth="1"/>
    <col min="78" max="16384" width="9.1796875" style="2"/>
  </cols>
  <sheetData>
    <row r="1" spans="1:77" ht="57.75" customHeight="1" x14ac:dyDescent="0.35">
      <c r="A1" s="271" t="s">
        <v>132</v>
      </c>
      <c r="B1" s="272"/>
      <c r="C1" s="272"/>
      <c r="D1" s="272"/>
      <c r="E1" s="272"/>
      <c r="F1" s="272"/>
      <c r="G1" s="272"/>
      <c r="H1" s="272"/>
      <c r="I1" s="272"/>
      <c r="J1" s="272"/>
      <c r="K1" s="272"/>
      <c r="L1" s="272"/>
      <c r="M1" s="272"/>
      <c r="N1" s="272"/>
      <c r="O1" s="272"/>
      <c r="P1" s="272"/>
      <c r="Q1" s="272"/>
      <c r="R1" s="272"/>
      <c r="S1" s="272"/>
      <c r="T1" s="272"/>
      <c r="U1" s="272"/>
      <c r="V1" s="272"/>
      <c r="W1" s="272"/>
      <c r="X1" s="272"/>
      <c r="Y1" s="272"/>
      <c r="Z1" s="272"/>
      <c r="AA1" s="272"/>
      <c r="AB1" s="272"/>
      <c r="AC1" s="272"/>
      <c r="AD1" s="272"/>
      <c r="AE1" s="272"/>
      <c r="AF1" s="272"/>
      <c r="AG1" s="272"/>
      <c r="AH1" s="272"/>
      <c r="AI1" s="272"/>
      <c r="AJ1" s="272"/>
      <c r="AK1" s="272"/>
      <c r="AL1" s="272"/>
      <c r="AM1" s="272"/>
      <c r="AN1" s="272"/>
      <c r="AO1" s="272"/>
      <c r="AP1" s="272"/>
      <c r="AQ1" s="272"/>
      <c r="AR1" s="272"/>
      <c r="AS1" s="272"/>
      <c r="AT1" s="272"/>
      <c r="AU1" s="272"/>
      <c r="AV1" s="272"/>
      <c r="AW1" s="272"/>
      <c r="AX1" s="272"/>
      <c r="AY1" s="272"/>
      <c r="AZ1" s="272"/>
      <c r="BA1" s="272"/>
      <c r="BB1" s="272"/>
      <c r="BC1" s="272"/>
      <c r="BD1" s="272"/>
      <c r="BE1" s="272"/>
      <c r="BF1" s="272"/>
      <c r="BG1" s="272"/>
      <c r="BH1" s="272"/>
      <c r="BI1" s="272"/>
      <c r="BJ1" s="272"/>
      <c r="BK1" s="272"/>
      <c r="BL1" s="272"/>
      <c r="BM1" s="272"/>
      <c r="BN1" s="272"/>
      <c r="BO1" s="272"/>
      <c r="BP1" s="272"/>
      <c r="BQ1" s="272"/>
      <c r="BR1" s="272"/>
      <c r="BS1" s="272"/>
      <c r="BT1" s="272"/>
      <c r="BU1" s="272"/>
      <c r="BV1" s="272"/>
      <c r="BW1" s="272"/>
      <c r="BX1" s="272"/>
      <c r="BY1" s="1"/>
    </row>
    <row r="2" spans="1:77" s="1" customFormat="1" ht="22.5" customHeight="1" x14ac:dyDescent="0.35">
      <c r="A2" s="273" t="s">
        <v>1</v>
      </c>
      <c r="B2" s="274" t="s">
        <v>133</v>
      </c>
      <c r="C2" s="275"/>
      <c r="D2" s="276"/>
      <c r="E2" s="64"/>
      <c r="F2" s="64"/>
      <c r="G2" s="64"/>
      <c r="H2" s="64"/>
      <c r="I2" s="139"/>
      <c r="J2" s="139"/>
      <c r="K2" s="139" t="s">
        <v>3</v>
      </c>
      <c r="L2" s="139" t="s">
        <v>3</v>
      </c>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47" t="s">
        <v>3</v>
      </c>
      <c r="BJ2" s="139"/>
      <c r="BK2" s="139"/>
      <c r="BL2" s="139"/>
      <c r="BM2" s="139"/>
      <c r="BN2" s="139" t="s">
        <v>3</v>
      </c>
      <c r="BO2" s="139" t="s">
        <v>3</v>
      </c>
      <c r="BP2" s="139"/>
      <c r="BQ2" s="139" t="s">
        <v>3</v>
      </c>
      <c r="BR2" s="139" t="s">
        <v>3</v>
      </c>
      <c r="BS2" s="139"/>
      <c r="BT2" s="140" t="s">
        <v>3</v>
      </c>
      <c r="BU2" s="140" t="s">
        <v>3</v>
      </c>
      <c r="BV2" s="140" t="s">
        <v>3</v>
      </c>
      <c r="BW2" s="140"/>
      <c r="BX2" s="128"/>
    </row>
    <row r="3" spans="1:77" s="1" customFormat="1" ht="22.5" customHeight="1" x14ac:dyDescent="0.35">
      <c r="A3" s="273"/>
      <c r="B3" s="274" t="s">
        <v>134</v>
      </c>
      <c r="C3" s="275"/>
      <c r="D3" s="276"/>
      <c r="E3" s="64"/>
      <c r="F3" s="64"/>
      <c r="G3" s="64"/>
      <c r="H3" s="64"/>
      <c r="I3" s="139" t="s">
        <v>3</v>
      </c>
      <c r="J3" s="139"/>
      <c r="K3" s="139"/>
      <c r="L3" s="139"/>
      <c r="M3" s="139"/>
      <c r="N3" s="139"/>
      <c r="O3" s="139"/>
      <c r="P3" s="140"/>
      <c r="Q3" s="127"/>
      <c r="R3" s="127"/>
      <c r="S3" s="127"/>
      <c r="T3" s="127"/>
      <c r="U3" s="141"/>
      <c r="V3" s="139"/>
      <c r="W3" s="139"/>
      <c r="X3" s="139"/>
      <c r="Y3" s="139"/>
      <c r="Z3" s="139"/>
      <c r="AA3" s="139"/>
      <c r="AB3" s="139"/>
      <c r="AC3" s="140"/>
      <c r="AD3" s="127"/>
      <c r="AE3" s="127"/>
      <c r="AF3" s="127"/>
      <c r="AG3" s="127"/>
      <c r="AH3" s="139"/>
      <c r="AI3" s="139"/>
      <c r="AJ3" s="139"/>
      <c r="AK3" s="139"/>
      <c r="AL3" s="139"/>
      <c r="AM3" s="140"/>
      <c r="AN3" s="127"/>
      <c r="AO3" s="127" t="s">
        <v>3</v>
      </c>
      <c r="AP3" s="127"/>
      <c r="AQ3" s="127"/>
      <c r="AR3" s="127"/>
      <c r="AS3" s="127" t="s">
        <v>3</v>
      </c>
      <c r="AT3" s="140"/>
      <c r="AU3" s="127"/>
      <c r="AV3" s="127"/>
      <c r="AW3" s="127"/>
      <c r="AX3" s="127"/>
      <c r="AY3" s="127"/>
      <c r="AZ3" s="127"/>
      <c r="BA3" s="127"/>
      <c r="BB3" s="140"/>
      <c r="BC3" s="127"/>
      <c r="BD3" s="127"/>
      <c r="BE3" s="127"/>
      <c r="BF3" s="127"/>
      <c r="BG3" s="141"/>
      <c r="BH3" s="127"/>
      <c r="BI3" s="148"/>
      <c r="BJ3" s="127"/>
      <c r="BK3" s="127"/>
      <c r="BL3" s="127"/>
      <c r="BM3" s="127"/>
      <c r="BN3" s="140"/>
      <c r="BO3" s="127" t="s">
        <v>3</v>
      </c>
      <c r="BP3" s="127" t="s">
        <v>3</v>
      </c>
      <c r="BQ3" s="127" t="s">
        <v>3</v>
      </c>
      <c r="BR3" s="127" t="s">
        <v>3</v>
      </c>
      <c r="BS3" s="140" t="s">
        <v>3</v>
      </c>
      <c r="BT3" s="140" t="s">
        <v>3</v>
      </c>
      <c r="BU3" s="140" t="s">
        <v>3</v>
      </c>
      <c r="BV3" s="140" t="s">
        <v>3</v>
      </c>
      <c r="BW3" s="140" t="s">
        <v>3</v>
      </c>
      <c r="BX3" s="129"/>
    </row>
    <row r="4" spans="1:77" s="3" customFormat="1" ht="22.5" customHeight="1" x14ac:dyDescent="0.35">
      <c r="A4" s="273"/>
      <c r="B4" s="277" t="s">
        <v>6</v>
      </c>
      <c r="C4" s="277" t="s">
        <v>135</v>
      </c>
      <c r="D4" s="277" t="s">
        <v>8</v>
      </c>
      <c r="E4" s="305" t="s">
        <v>9</v>
      </c>
      <c r="F4" s="305"/>
      <c r="G4" s="305"/>
      <c r="H4" s="305"/>
      <c r="I4" s="305"/>
      <c r="J4" s="305"/>
      <c r="K4" s="305"/>
      <c r="L4" s="305"/>
      <c r="M4" s="263" t="s">
        <v>10</v>
      </c>
      <c r="N4" s="264"/>
      <c r="O4" s="323"/>
      <c r="P4" s="278" t="s">
        <v>11</v>
      </c>
      <c r="Q4" s="280"/>
      <c r="R4" s="280"/>
      <c r="S4" s="280"/>
      <c r="T4" s="280"/>
      <c r="U4" s="279"/>
      <c r="V4" s="278" t="s">
        <v>12</v>
      </c>
      <c r="W4" s="280"/>
      <c r="X4" s="280"/>
      <c r="Y4" s="280"/>
      <c r="Z4" s="280"/>
      <c r="AA4" s="280"/>
      <c r="AB4" s="279"/>
      <c r="AC4" s="278" t="s">
        <v>13</v>
      </c>
      <c r="AD4" s="280"/>
      <c r="AE4" s="280"/>
      <c r="AF4" s="280"/>
      <c r="AG4" s="279"/>
      <c r="AH4" s="305" t="s">
        <v>136</v>
      </c>
      <c r="AI4" s="305"/>
      <c r="AJ4" s="305"/>
      <c r="AK4" s="305"/>
      <c r="AL4" s="305"/>
      <c r="AM4" s="278" t="s">
        <v>15</v>
      </c>
      <c r="AN4" s="280"/>
      <c r="AO4" s="280"/>
      <c r="AP4" s="280"/>
      <c r="AQ4" s="280"/>
      <c r="AR4" s="280"/>
      <c r="AS4" s="280"/>
      <c r="AT4" s="280"/>
      <c r="AU4" s="127"/>
      <c r="AV4" s="280" t="s">
        <v>16</v>
      </c>
      <c r="AW4" s="280"/>
      <c r="AX4" s="280"/>
      <c r="AY4" s="280"/>
      <c r="AZ4" s="280"/>
      <c r="BA4" s="280"/>
      <c r="BB4" s="278" t="s">
        <v>17</v>
      </c>
      <c r="BC4" s="280"/>
      <c r="BD4" s="280"/>
      <c r="BE4" s="280"/>
      <c r="BF4" s="280"/>
      <c r="BG4" s="279"/>
      <c r="BH4" s="127"/>
      <c r="BI4" s="278" t="s">
        <v>18</v>
      </c>
      <c r="BJ4" s="280"/>
      <c r="BK4" s="280"/>
      <c r="BL4" s="280"/>
      <c r="BM4" s="280"/>
      <c r="BN4" s="278" t="s">
        <v>19</v>
      </c>
      <c r="BO4" s="280"/>
      <c r="BP4" s="280"/>
      <c r="BQ4" s="280"/>
      <c r="BR4" s="280"/>
      <c r="BS4" s="305" t="s">
        <v>20</v>
      </c>
      <c r="BT4" s="305"/>
      <c r="BU4" s="305"/>
      <c r="BV4" s="305"/>
      <c r="BW4" s="305"/>
      <c r="BX4" s="129"/>
      <c r="BY4" s="1"/>
    </row>
    <row r="5" spans="1:77" s="3" customFormat="1" ht="48" customHeight="1" x14ac:dyDescent="0.35">
      <c r="A5" s="273"/>
      <c r="B5" s="277"/>
      <c r="C5" s="277"/>
      <c r="D5" s="277"/>
      <c r="E5" s="73">
        <v>43282</v>
      </c>
      <c r="F5" s="73">
        <v>43556</v>
      </c>
      <c r="G5" s="73">
        <v>43800</v>
      </c>
      <c r="H5" s="73" t="s">
        <v>137</v>
      </c>
      <c r="I5" s="73" t="s">
        <v>138</v>
      </c>
      <c r="J5" s="73" t="s">
        <v>139</v>
      </c>
      <c r="K5" s="73" t="s">
        <v>140</v>
      </c>
      <c r="L5" s="73" t="s">
        <v>141</v>
      </c>
      <c r="M5" s="75" t="s">
        <v>142</v>
      </c>
      <c r="N5" s="75" t="s">
        <v>143</v>
      </c>
      <c r="O5" s="75" t="s">
        <v>144</v>
      </c>
      <c r="P5" s="67">
        <v>43649</v>
      </c>
      <c r="Q5" s="67">
        <v>43711</v>
      </c>
      <c r="R5" s="67" t="s">
        <v>145</v>
      </c>
      <c r="S5" s="67" t="s">
        <v>146</v>
      </c>
      <c r="T5" s="67" t="s">
        <v>147</v>
      </c>
      <c r="U5" s="67" t="s">
        <v>148</v>
      </c>
      <c r="V5" s="45">
        <v>43528</v>
      </c>
      <c r="W5" s="45">
        <v>43681</v>
      </c>
      <c r="X5" s="45" t="s">
        <v>149</v>
      </c>
      <c r="Y5" s="45" t="s">
        <v>150</v>
      </c>
      <c r="Z5" s="45" t="s">
        <v>151</v>
      </c>
      <c r="AA5" s="45" t="s">
        <v>152</v>
      </c>
      <c r="AB5" s="45" t="s">
        <v>153</v>
      </c>
      <c r="AC5" s="46">
        <v>43651</v>
      </c>
      <c r="AD5" s="46">
        <v>43774</v>
      </c>
      <c r="AE5" s="46" t="s">
        <v>154</v>
      </c>
      <c r="AF5" s="46" t="s">
        <v>155</v>
      </c>
      <c r="AG5" s="46" t="s">
        <v>156</v>
      </c>
      <c r="AH5" s="49" t="s">
        <v>157</v>
      </c>
      <c r="AI5" s="49">
        <v>43591</v>
      </c>
      <c r="AJ5" s="49">
        <v>43775</v>
      </c>
      <c r="AK5" s="49" t="s">
        <v>158</v>
      </c>
      <c r="AL5" s="49" t="s">
        <v>159</v>
      </c>
      <c r="AM5" s="68">
        <v>43472</v>
      </c>
      <c r="AN5" s="68">
        <v>43623</v>
      </c>
      <c r="AO5" s="68">
        <v>43745</v>
      </c>
      <c r="AP5" s="68" t="s">
        <v>160</v>
      </c>
      <c r="AQ5" s="68" t="s">
        <v>161</v>
      </c>
      <c r="AR5" s="68" t="s">
        <v>162</v>
      </c>
      <c r="AS5" s="68" t="s">
        <v>163</v>
      </c>
      <c r="AT5" s="142" t="s">
        <v>164</v>
      </c>
      <c r="AU5" s="80" t="s">
        <v>165</v>
      </c>
      <c r="AV5" s="80" t="s">
        <v>166</v>
      </c>
      <c r="AW5" s="80">
        <v>43532</v>
      </c>
      <c r="AX5" s="80">
        <v>43716</v>
      </c>
      <c r="AY5" s="80" t="s">
        <v>167</v>
      </c>
      <c r="AZ5" s="80" t="s">
        <v>168</v>
      </c>
      <c r="BA5" s="80" t="s">
        <v>169</v>
      </c>
      <c r="BB5" s="85" t="s">
        <v>170</v>
      </c>
      <c r="BC5" s="85" t="s">
        <v>171</v>
      </c>
      <c r="BD5" s="85">
        <v>43717</v>
      </c>
      <c r="BE5" s="85" t="s">
        <v>172</v>
      </c>
      <c r="BF5" s="85" t="s">
        <v>173</v>
      </c>
      <c r="BG5" s="85" t="s">
        <v>174</v>
      </c>
      <c r="BH5" s="85" t="s">
        <v>175</v>
      </c>
      <c r="BI5" s="104" t="s">
        <v>176</v>
      </c>
      <c r="BJ5" s="104">
        <v>43506</v>
      </c>
      <c r="BK5" s="104">
        <v>43687</v>
      </c>
      <c r="BL5" s="104" t="s">
        <v>177</v>
      </c>
      <c r="BM5" s="104" t="s">
        <v>178</v>
      </c>
      <c r="BN5" s="94" t="s">
        <v>179</v>
      </c>
      <c r="BO5" s="94">
        <v>43627</v>
      </c>
      <c r="BP5" s="94" t="s">
        <v>180</v>
      </c>
      <c r="BQ5" s="94" t="s">
        <v>181</v>
      </c>
      <c r="BR5" s="94" t="s">
        <v>182</v>
      </c>
      <c r="BS5" s="75" t="s">
        <v>183</v>
      </c>
      <c r="BT5" s="75">
        <v>43536</v>
      </c>
      <c r="BU5" s="75" t="s">
        <v>184</v>
      </c>
      <c r="BV5" s="75" t="s">
        <v>185</v>
      </c>
      <c r="BW5" s="75" t="s">
        <v>186</v>
      </c>
      <c r="BX5" s="77" t="s">
        <v>60</v>
      </c>
      <c r="BY5" s="5"/>
    </row>
    <row r="6" spans="1:77" ht="49.5" x14ac:dyDescent="0.35">
      <c r="A6" s="6">
        <v>1</v>
      </c>
      <c r="B6" s="7" t="s">
        <v>61</v>
      </c>
      <c r="C6" s="111">
        <v>7700</v>
      </c>
      <c r="D6" s="9">
        <v>180201</v>
      </c>
      <c r="E6" s="10">
        <v>1470</v>
      </c>
      <c r="F6" s="11"/>
      <c r="G6" s="11">
        <v>1900</v>
      </c>
      <c r="H6" s="11">
        <v>1820</v>
      </c>
      <c r="I6" s="11"/>
      <c r="J6" s="11">
        <f>1635+150+30</f>
        <v>1815</v>
      </c>
      <c r="K6" s="11">
        <f>1500+150+20</f>
        <v>1670</v>
      </c>
      <c r="L6" s="11">
        <f>4060+150+50</f>
        <v>4260</v>
      </c>
      <c r="M6" s="28"/>
      <c r="N6" s="28">
        <f>1280+150+50</f>
        <v>1480</v>
      </c>
      <c r="O6" s="28">
        <f>1400+100+20+803</f>
        <v>2323</v>
      </c>
      <c r="P6" s="32">
        <f>1100+150+50</f>
        <v>1300</v>
      </c>
      <c r="Q6" s="32">
        <f>1180+100+50</f>
        <v>1330</v>
      </c>
      <c r="R6" s="113">
        <f>1310+150+50</f>
        <v>1510</v>
      </c>
      <c r="S6" s="113">
        <v>1595</v>
      </c>
      <c r="T6" s="32">
        <v>1145</v>
      </c>
      <c r="U6" s="32">
        <v>1160</v>
      </c>
      <c r="V6" s="37">
        <v>1310</v>
      </c>
      <c r="W6" s="37">
        <f>1350+45</f>
        <v>1395</v>
      </c>
      <c r="X6" s="37">
        <f>1450+50</f>
        <v>1500</v>
      </c>
      <c r="Y6" s="37">
        <f>2280+300</f>
        <v>2580</v>
      </c>
      <c r="Z6" s="37">
        <f>1100+100</f>
        <v>1200</v>
      </c>
      <c r="AA6" s="37">
        <f>1800+30</f>
        <v>1830</v>
      </c>
      <c r="AB6" s="37">
        <f>2050+30+149+1292</f>
        <v>3521</v>
      </c>
      <c r="AC6" s="41">
        <v>2200</v>
      </c>
      <c r="AD6" s="41">
        <v>1100</v>
      </c>
      <c r="AE6" s="41">
        <v>1700</v>
      </c>
      <c r="AF6" s="41">
        <f>1300+50</f>
        <v>1350</v>
      </c>
      <c r="AG6" s="41">
        <v>1820</v>
      </c>
      <c r="AH6" s="50"/>
      <c r="AI6" s="50">
        <v>2695</v>
      </c>
      <c r="AJ6" s="50">
        <f>1170+200</f>
        <v>1370</v>
      </c>
      <c r="AK6" s="50">
        <v>2650</v>
      </c>
      <c r="AL6" s="50">
        <f>300+2650</f>
        <v>2950</v>
      </c>
      <c r="AM6" s="69">
        <f>160+3200</f>
        <v>3360</v>
      </c>
      <c r="AN6" s="69">
        <v>1190</v>
      </c>
      <c r="AO6" s="69"/>
      <c r="AP6" s="69">
        <v>1485</v>
      </c>
      <c r="AQ6" s="69">
        <v>2440</v>
      </c>
      <c r="AR6" s="69">
        <v>2605</v>
      </c>
      <c r="AS6" s="69"/>
      <c r="AT6" s="146">
        <f>310+2800</f>
        <v>3110</v>
      </c>
      <c r="AU6" s="81">
        <f>200+2000</f>
        <v>2200</v>
      </c>
      <c r="AV6" s="81"/>
      <c r="AW6" s="81">
        <v>1265</v>
      </c>
      <c r="AX6" s="81">
        <f>70+2600</f>
        <v>2670</v>
      </c>
      <c r="AY6" s="81"/>
      <c r="AZ6" s="81">
        <v>2570</v>
      </c>
      <c r="BA6" s="81">
        <v>3120</v>
      </c>
      <c r="BB6" s="86">
        <f>200+2100</f>
        <v>2300</v>
      </c>
      <c r="BC6" s="86">
        <f>300+1550</f>
        <v>1850</v>
      </c>
      <c r="BD6" s="86">
        <v>2275</v>
      </c>
      <c r="BE6" s="86"/>
      <c r="BF6" s="86">
        <f>400+2575</f>
        <v>2975</v>
      </c>
      <c r="BG6" s="86">
        <v>1755</v>
      </c>
      <c r="BH6" s="86"/>
      <c r="BI6" s="105">
        <v>1400</v>
      </c>
      <c r="BJ6" s="105">
        <f>380+1800</f>
        <v>2180</v>
      </c>
      <c r="BK6" s="105">
        <v>1780</v>
      </c>
      <c r="BL6" s="105">
        <v>1818</v>
      </c>
      <c r="BM6" s="105"/>
      <c r="BN6" s="95">
        <v>2839</v>
      </c>
      <c r="BO6" s="95">
        <v>2458</v>
      </c>
      <c r="BP6" s="95"/>
      <c r="BQ6" s="95">
        <v>1439</v>
      </c>
      <c r="BR6" s="95">
        <v>2417</v>
      </c>
      <c r="BS6" s="28"/>
      <c r="BT6" s="28">
        <v>2085</v>
      </c>
      <c r="BU6" s="28">
        <v>2114</v>
      </c>
      <c r="BV6" s="28">
        <v>2555</v>
      </c>
      <c r="BW6" s="28"/>
      <c r="BX6" s="130">
        <f t="shared" ref="BX6:BX13" si="0">SUM(E6:BW6)</f>
        <v>116204</v>
      </c>
    </row>
    <row r="7" spans="1:77" ht="49.5" x14ac:dyDescent="0.35">
      <c r="A7" s="306">
        <v>2</v>
      </c>
      <c r="B7" s="7" t="s">
        <v>62</v>
      </c>
      <c r="C7" s="111">
        <v>35000</v>
      </c>
      <c r="D7" s="9">
        <v>180102</v>
      </c>
      <c r="E7" s="10"/>
      <c r="F7" s="11">
        <v>58</v>
      </c>
      <c r="G7" s="11"/>
      <c r="H7" s="11"/>
      <c r="I7" s="11">
        <v>61</v>
      </c>
      <c r="J7" s="11"/>
      <c r="K7" s="11"/>
      <c r="L7" s="11"/>
      <c r="M7" s="28">
        <v>82</v>
      </c>
      <c r="N7" s="28"/>
      <c r="O7" s="28"/>
      <c r="P7" s="32"/>
      <c r="Q7" s="32">
        <v>58</v>
      </c>
      <c r="R7" s="113"/>
      <c r="S7" s="113">
        <v>58</v>
      </c>
      <c r="T7" s="32"/>
      <c r="U7" s="32"/>
      <c r="V7" s="37">
        <v>58</v>
      </c>
      <c r="W7" s="37">
        <v>58</v>
      </c>
      <c r="X7" s="37">
        <v>46</v>
      </c>
      <c r="Y7" s="37"/>
      <c r="Z7" s="37">
        <v>48</v>
      </c>
      <c r="AA7" s="37"/>
      <c r="AB7" s="37"/>
      <c r="AC7" s="41">
        <v>59</v>
      </c>
      <c r="AD7" s="41"/>
      <c r="AE7" s="41">
        <v>59</v>
      </c>
      <c r="AF7" s="41"/>
      <c r="AG7" s="41"/>
      <c r="AH7" s="50">
        <v>87</v>
      </c>
      <c r="AI7" s="50"/>
      <c r="AJ7" s="50">
        <v>49</v>
      </c>
      <c r="AK7" s="50"/>
      <c r="AL7" s="50">
        <v>90</v>
      </c>
      <c r="AM7" s="69"/>
      <c r="AN7" s="69"/>
      <c r="AO7" s="69">
        <v>94</v>
      </c>
      <c r="AP7" s="69"/>
      <c r="AQ7" s="69"/>
      <c r="AR7" s="69"/>
      <c r="AS7" s="69">
        <v>84</v>
      </c>
      <c r="AT7" s="143"/>
      <c r="AU7" s="81"/>
      <c r="AV7" s="81">
        <v>72</v>
      </c>
      <c r="AW7" s="81"/>
      <c r="AX7" s="81"/>
      <c r="AY7" s="81">
        <v>58</v>
      </c>
      <c r="AZ7" s="81"/>
      <c r="BA7" s="81">
        <v>92</v>
      </c>
      <c r="BB7" s="86"/>
      <c r="BC7" s="86">
        <v>58</v>
      </c>
      <c r="BD7" s="86"/>
      <c r="BE7" s="86">
        <v>96</v>
      </c>
      <c r="BF7" s="86"/>
      <c r="BG7" s="86"/>
      <c r="BH7" s="86">
        <v>96</v>
      </c>
      <c r="BI7" s="105"/>
      <c r="BJ7" s="105"/>
      <c r="BK7" s="105">
        <v>94</v>
      </c>
      <c r="BL7" s="105"/>
      <c r="BM7" s="105">
        <v>96</v>
      </c>
      <c r="BN7" s="95"/>
      <c r="BO7" s="95">
        <v>9</v>
      </c>
      <c r="BP7" s="95">
        <v>93</v>
      </c>
      <c r="BQ7" s="95">
        <v>8</v>
      </c>
      <c r="BR7" s="95">
        <v>16</v>
      </c>
      <c r="BS7" s="28">
        <v>81</v>
      </c>
      <c r="BT7" s="28">
        <v>14</v>
      </c>
      <c r="BU7" s="28">
        <v>95</v>
      </c>
      <c r="BV7" s="28">
        <v>10</v>
      </c>
      <c r="BW7" s="28">
        <v>81</v>
      </c>
      <c r="BX7" s="130">
        <f t="shared" si="0"/>
        <v>2118</v>
      </c>
    </row>
    <row r="8" spans="1:77" ht="82.5" x14ac:dyDescent="0.35">
      <c r="A8" s="307"/>
      <c r="B8" s="7" t="s">
        <v>187</v>
      </c>
      <c r="C8" s="111">
        <v>175000</v>
      </c>
      <c r="D8" s="9">
        <v>180103</v>
      </c>
      <c r="E8" s="10"/>
      <c r="F8" s="11"/>
      <c r="G8" s="11"/>
      <c r="H8" s="11"/>
      <c r="I8" s="11"/>
      <c r="J8" s="11"/>
      <c r="K8" s="11"/>
      <c r="L8" s="11"/>
      <c r="M8" s="28"/>
      <c r="N8" s="28"/>
      <c r="O8" s="28"/>
      <c r="P8" s="32"/>
      <c r="Q8" s="32"/>
      <c r="R8" s="113">
        <v>7</v>
      </c>
      <c r="S8" s="113"/>
      <c r="T8" s="32"/>
      <c r="U8" s="32"/>
      <c r="V8" s="37"/>
      <c r="W8" s="37"/>
      <c r="X8" s="37"/>
      <c r="Y8" s="37"/>
      <c r="Z8" s="37"/>
      <c r="AA8" s="37"/>
      <c r="AB8" s="37"/>
      <c r="AC8" s="41"/>
      <c r="AD8" s="41"/>
      <c r="AE8" s="41"/>
      <c r="AF8" s="41"/>
      <c r="AG8" s="41"/>
      <c r="AH8" s="50"/>
      <c r="AI8" s="50"/>
      <c r="AJ8" s="50"/>
      <c r="AK8" s="50"/>
      <c r="AL8" s="50"/>
      <c r="AM8" s="69"/>
      <c r="AN8" s="69"/>
      <c r="AO8" s="69"/>
      <c r="AP8" s="69"/>
      <c r="AQ8" s="69"/>
      <c r="AR8" s="69"/>
      <c r="AS8" s="69"/>
      <c r="AT8" s="143"/>
      <c r="AU8" s="81"/>
      <c r="AV8" s="81"/>
      <c r="AW8" s="81"/>
      <c r="AX8" s="81"/>
      <c r="AY8" s="81"/>
      <c r="AZ8" s="81"/>
      <c r="BA8" s="81"/>
      <c r="BB8" s="86"/>
      <c r="BC8" s="86"/>
      <c r="BD8" s="86"/>
      <c r="BE8" s="86"/>
      <c r="BF8" s="86"/>
      <c r="BG8" s="86"/>
      <c r="BH8" s="86"/>
      <c r="BI8" s="105"/>
      <c r="BJ8" s="105"/>
      <c r="BK8" s="105"/>
      <c r="BL8" s="105"/>
      <c r="BM8" s="105"/>
      <c r="BN8" s="95"/>
      <c r="BO8" s="95"/>
      <c r="BP8" s="95"/>
      <c r="BQ8" s="95"/>
      <c r="BR8" s="95"/>
      <c r="BS8" s="28"/>
      <c r="BT8" s="28"/>
      <c r="BU8" s="28"/>
      <c r="BV8" s="28"/>
      <c r="BW8" s="28"/>
      <c r="BX8" s="130">
        <f t="shared" si="0"/>
        <v>7</v>
      </c>
    </row>
    <row r="9" spans="1:77" ht="33" x14ac:dyDescent="0.35">
      <c r="A9" s="6">
        <v>3</v>
      </c>
      <c r="B9" s="7" t="s">
        <v>63</v>
      </c>
      <c r="C9" s="111">
        <v>7700</v>
      </c>
      <c r="D9" s="12" t="s">
        <v>130</v>
      </c>
      <c r="E9" s="10">
        <v>200</v>
      </c>
      <c r="F9" s="11"/>
      <c r="G9" s="11">
        <v>200</v>
      </c>
      <c r="H9" s="11">
        <v>200</v>
      </c>
      <c r="I9" s="11"/>
      <c r="J9" s="11">
        <v>200</v>
      </c>
      <c r="K9" s="11">
        <v>200</v>
      </c>
      <c r="L9" s="11">
        <v>200</v>
      </c>
      <c r="M9" s="28"/>
      <c r="N9" s="28">
        <v>200</v>
      </c>
      <c r="O9" s="28">
        <v>100</v>
      </c>
      <c r="P9" s="32">
        <v>200</v>
      </c>
      <c r="Q9" s="32"/>
      <c r="R9" s="113">
        <v>200</v>
      </c>
      <c r="S9" s="113">
        <v>200</v>
      </c>
      <c r="T9" s="32">
        <v>200</v>
      </c>
      <c r="U9" s="32">
        <v>200</v>
      </c>
      <c r="V9" s="37">
        <v>200</v>
      </c>
      <c r="W9" s="37">
        <v>200</v>
      </c>
      <c r="X9" s="37">
        <v>200</v>
      </c>
      <c r="Y9" s="37"/>
      <c r="Z9" s="37"/>
      <c r="AA9" s="37"/>
      <c r="AB9" s="37">
        <v>100</v>
      </c>
      <c r="AC9" s="41"/>
      <c r="AD9" s="41">
        <v>200</v>
      </c>
      <c r="AE9" s="41"/>
      <c r="AF9" s="41"/>
      <c r="AG9" s="41"/>
      <c r="AH9" s="50"/>
      <c r="AI9" s="50"/>
      <c r="AJ9" s="50"/>
      <c r="AK9" s="50">
        <v>200</v>
      </c>
      <c r="AL9" s="50"/>
      <c r="AM9" s="69">
        <v>200</v>
      </c>
      <c r="AN9" s="69"/>
      <c r="AO9" s="69"/>
      <c r="AP9" s="69"/>
      <c r="AQ9" s="69"/>
      <c r="AR9" s="69">
        <v>200</v>
      </c>
      <c r="AS9" s="69"/>
      <c r="AT9" s="143"/>
      <c r="AU9" s="81"/>
      <c r="AV9" s="81"/>
      <c r="AW9" s="81"/>
      <c r="AX9" s="81"/>
      <c r="AY9" s="81"/>
      <c r="AZ9" s="81"/>
      <c r="BA9" s="81"/>
      <c r="BB9" s="86">
        <v>200</v>
      </c>
      <c r="BC9" s="86"/>
      <c r="BD9" s="86"/>
      <c r="BE9" s="86"/>
      <c r="BF9" s="86"/>
      <c r="BG9" s="86"/>
      <c r="BH9" s="86"/>
      <c r="BI9" s="105">
        <v>300</v>
      </c>
      <c r="BJ9" s="105"/>
      <c r="BK9" s="105"/>
      <c r="BL9" s="105">
        <v>256</v>
      </c>
      <c r="BM9" s="105"/>
      <c r="BN9" s="95"/>
      <c r="BO9" s="95"/>
      <c r="BP9" s="95"/>
      <c r="BQ9" s="95"/>
      <c r="BR9" s="95"/>
      <c r="BS9" s="28"/>
      <c r="BT9" s="28"/>
      <c r="BU9" s="28"/>
      <c r="BV9" s="28"/>
      <c r="BW9" s="28"/>
      <c r="BX9" s="130">
        <f t="shared" si="0"/>
        <v>4756</v>
      </c>
    </row>
    <row r="10" spans="1:77" ht="33" x14ac:dyDescent="0.35">
      <c r="A10" s="6">
        <v>4</v>
      </c>
      <c r="B10" s="7" t="s">
        <v>64</v>
      </c>
      <c r="C10" s="111">
        <v>7700</v>
      </c>
      <c r="D10" s="9">
        <v>170204</v>
      </c>
      <c r="E10" s="10"/>
      <c r="F10" s="11"/>
      <c r="G10" s="11"/>
      <c r="H10" s="11"/>
      <c r="I10" s="11"/>
      <c r="J10" s="11"/>
      <c r="K10" s="11"/>
      <c r="L10" s="11"/>
      <c r="M10" s="28"/>
      <c r="N10" s="28"/>
      <c r="O10" s="28"/>
      <c r="P10" s="32"/>
      <c r="Q10" s="32"/>
      <c r="R10" s="113"/>
      <c r="S10" s="113"/>
      <c r="T10" s="32"/>
      <c r="U10" s="32"/>
      <c r="V10" s="37"/>
      <c r="W10" s="37"/>
      <c r="X10" s="37"/>
      <c r="Y10" s="37"/>
      <c r="Z10" s="37"/>
      <c r="AA10" s="37"/>
      <c r="AB10" s="37"/>
      <c r="AC10" s="41"/>
      <c r="AD10" s="41"/>
      <c r="AE10" s="41"/>
      <c r="AF10" s="41"/>
      <c r="AG10" s="41"/>
      <c r="AH10" s="50"/>
      <c r="AI10" s="50"/>
      <c r="AJ10" s="50"/>
      <c r="AK10" s="50"/>
      <c r="AL10" s="50"/>
      <c r="AM10" s="69"/>
      <c r="AN10" s="69"/>
      <c r="AO10" s="69"/>
      <c r="AP10" s="69"/>
      <c r="AQ10" s="69"/>
      <c r="AR10" s="69"/>
      <c r="AS10" s="69"/>
      <c r="AT10" s="143"/>
      <c r="AU10" s="81"/>
      <c r="AV10" s="81"/>
      <c r="AW10" s="81"/>
      <c r="AX10" s="81"/>
      <c r="AY10" s="81"/>
      <c r="AZ10" s="81"/>
      <c r="BA10" s="81"/>
      <c r="BB10" s="86"/>
      <c r="BC10" s="86"/>
      <c r="BD10" s="86"/>
      <c r="BE10" s="86"/>
      <c r="BF10" s="86"/>
      <c r="BG10" s="86"/>
      <c r="BH10" s="86"/>
      <c r="BI10" s="105"/>
      <c r="BJ10" s="105"/>
      <c r="BK10" s="105"/>
      <c r="BL10" s="105"/>
      <c r="BM10" s="105"/>
      <c r="BN10" s="95"/>
      <c r="BO10" s="95"/>
      <c r="BP10" s="95"/>
      <c r="BQ10" s="95"/>
      <c r="BR10" s="95"/>
      <c r="BS10" s="28"/>
      <c r="BT10" s="28"/>
      <c r="BU10" s="28"/>
      <c r="BV10" s="28"/>
      <c r="BW10" s="28"/>
      <c r="BX10" s="130">
        <f t="shared" si="0"/>
        <v>0</v>
      </c>
    </row>
    <row r="11" spans="1:77" ht="33" x14ac:dyDescent="0.35">
      <c r="A11" s="6">
        <v>5</v>
      </c>
      <c r="B11" s="7" t="s">
        <v>65</v>
      </c>
      <c r="C11" s="111">
        <v>7700</v>
      </c>
      <c r="D11" s="9">
        <v>160106</v>
      </c>
      <c r="E11" s="10"/>
      <c r="F11" s="11"/>
      <c r="G11" s="11">
        <v>20</v>
      </c>
      <c r="H11" s="11"/>
      <c r="I11" s="11"/>
      <c r="J11" s="11"/>
      <c r="K11" s="11"/>
      <c r="L11" s="11"/>
      <c r="M11" s="28"/>
      <c r="N11" s="28"/>
      <c r="O11" s="28"/>
      <c r="P11" s="32"/>
      <c r="Q11" s="32"/>
      <c r="R11" s="113"/>
      <c r="S11" s="113"/>
      <c r="T11" s="32"/>
      <c r="U11" s="32">
        <v>10</v>
      </c>
      <c r="V11" s="37"/>
      <c r="W11" s="37"/>
      <c r="X11" s="37"/>
      <c r="Y11" s="37"/>
      <c r="Z11" s="37"/>
      <c r="AA11" s="37"/>
      <c r="AB11" s="37"/>
      <c r="AC11" s="41"/>
      <c r="AD11" s="41"/>
      <c r="AE11" s="41"/>
      <c r="AF11" s="41"/>
      <c r="AG11" s="41">
        <v>20</v>
      </c>
      <c r="AH11" s="50"/>
      <c r="AI11" s="50"/>
      <c r="AJ11" s="50"/>
      <c r="AK11" s="50"/>
      <c r="AL11" s="50"/>
      <c r="AM11" s="69"/>
      <c r="AN11" s="69"/>
      <c r="AO11" s="69"/>
      <c r="AP11" s="69"/>
      <c r="AQ11" s="69"/>
      <c r="AR11" s="69">
        <v>20</v>
      </c>
      <c r="AS11" s="69"/>
      <c r="AT11" s="143"/>
      <c r="AU11" s="81"/>
      <c r="AV11" s="81"/>
      <c r="AW11" s="81"/>
      <c r="AX11" s="81"/>
      <c r="AY11" s="81"/>
      <c r="AZ11" s="81">
        <v>20</v>
      </c>
      <c r="BA11" s="81">
        <v>10</v>
      </c>
      <c r="BB11" s="86"/>
      <c r="BC11" s="86"/>
      <c r="BD11" s="86">
        <v>20</v>
      </c>
      <c r="BE11" s="86"/>
      <c r="BF11" s="86"/>
      <c r="BG11" s="86">
        <v>30</v>
      </c>
      <c r="BH11" s="86"/>
      <c r="BI11" s="105"/>
      <c r="BJ11" s="105"/>
      <c r="BK11" s="105"/>
      <c r="BL11" s="105">
        <v>19</v>
      </c>
      <c r="BM11" s="105"/>
      <c r="BN11" s="95"/>
      <c r="BO11" s="95"/>
      <c r="BP11" s="95"/>
      <c r="BQ11" s="95"/>
      <c r="BR11" s="95"/>
      <c r="BS11" s="28"/>
      <c r="BT11" s="28">
        <v>30</v>
      </c>
      <c r="BU11" s="28"/>
      <c r="BV11" s="28"/>
      <c r="BW11" s="28"/>
      <c r="BX11" s="130">
        <f t="shared" si="0"/>
        <v>199</v>
      </c>
    </row>
    <row r="12" spans="1:77" ht="31.5" customHeight="1" x14ac:dyDescent="0.35">
      <c r="A12" s="6">
        <v>6</v>
      </c>
      <c r="B12" s="7" t="s">
        <v>66</v>
      </c>
      <c r="C12" s="111">
        <v>7700</v>
      </c>
      <c r="D12" s="9"/>
      <c r="E12" s="10"/>
      <c r="F12" s="11"/>
      <c r="G12" s="11"/>
      <c r="H12" s="11"/>
      <c r="I12" s="11"/>
      <c r="J12" s="11"/>
      <c r="K12" s="11"/>
      <c r="L12" s="11"/>
      <c r="M12" s="28"/>
      <c r="N12" s="28"/>
      <c r="O12" s="28"/>
      <c r="P12" s="32"/>
      <c r="Q12" s="32"/>
      <c r="R12" s="113"/>
      <c r="S12" s="113"/>
      <c r="T12" s="32"/>
      <c r="U12" s="32"/>
      <c r="V12" s="37"/>
      <c r="W12" s="37"/>
      <c r="X12" s="37"/>
      <c r="Y12" s="37"/>
      <c r="Z12" s="37"/>
      <c r="AA12" s="37"/>
      <c r="AB12" s="37"/>
      <c r="AC12" s="41"/>
      <c r="AD12" s="41"/>
      <c r="AE12" s="41"/>
      <c r="AF12" s="41"/>
      <c r="AG12" s="41"/>
      <c r="AH12" s="50"/>
      <c r="AI12" s="50"/>
      <c r="AJ12" s="50"/>
      <c r="AK12" s="50"/>
      <c r="AL12" s="50"/>
      <c r="AM12" s="69"/>
      <c r="AN12" s="69"/>
      <c r="AO12" s="69"/>
      <c r="AP12" s="69"/>
      <c r="AQ12" s="69"/>
      <c r="AR12" s="69"/>
      <c r="AS12" s="69"/>
      <c r="AT12" s="143"/>
      <c r="AU12" s="81"/>
      <c r="AV12" s="81"/>
      <c r="AW12" s="81"/>
      <c r="AX12" s="81"/>
      <c r="AY12" s="81"/>
      <c r="AZ12" s="81"/>
      <c r="BA12" s="81"/>
      <c r="BB12" s="86"/>
      <c r="BC12" s="86"/>
      <c r="BD12" s="86"/>
      <c r="BE12" s="86"/>
      <c r="BF12" s="86"/>
      <c r="BG12" s="86"/>
      <c r="BH12" s="86"/>
      <c r="BI12" s="105"/>
      <c r="BJ12" s="105"/>
      <c r="BK12" s="105"/>
      <c r="BL12" s="105"/>
      <c r="BM12" s="105"/>
      <c r="BN12" s="95"/>
      <c r="BO12" s="95"/>
      <c r="BP12" s="95"/>
      <c r="BQ12" s="95"/>
      <c r="BR12" s="95"/>
      <c r="BS12" s="28"/>
      <c r="BT12" s="28"/>
      <c r="BU12" s="28"/>
      <c r="BV12" s="28"/>
      <c r="BW12" s="28"/>
      <c r="BX12" s="130">
        <f t="shared" si="0"/>
        <v>0</v>
      </c>
    </row>
    <row r="13" spans="1:77" ht="49.5" x14ac:dyDescent="0.35">
      <c r="A13" s="6">
        <v>7</v>
      </c>
      <c r="B13" s="7" t="s">
        <v>67</v>
      </c>
      <c r="C13" s="111">
        <v>5500</v>
      </c>
      <c r="D13" s="9">
        <v>160110</v>
      </c>
      <c r="E13" s="10">
        <v>1200</v>
      </c>
      <c r="F13" s="11"/>
      <c r="G13" s="11">
        <v>1200</v>
      </c>
      <c r="H13" s="11">
        <v>800</v>
      </c>
      <c r="I13" s="11"/>
      <c r="J13" s="11">
        <v>800</v>
      </c>
      <c r="K13" s="11">
        <v>1800</v>
      </c>
      <c r="L13" s="11">
        <v>1200</v>
      </c>
      <c r="M13" s="28"/>
      <c r="N13" s="28">
        <v>1800</v>
      </c>
      <c r="O13" s="28">
        <f>800+1400</f>
        <v>2200</v>
      </c>
      <c r="P13" s="32">
        <v>1200</v>
      </c>
      <c r="Q13" s="32">
        <v>400</v>
      </c>
      <c r="R13" s="113">
        <v>1400</v>
      </c>
      <c r="S13" s="113">
        <v>800</v>
      </c>
      <c r="T13" s="32">
        <v>1400</v>
      </c>
      <c r="U13" s="32">
        <v>1400</v>
      </c>
      <c r="V13" s="37">
        <v>800</v>
      </c>
      <c r="W13" s="37">
        <v>1000</v>
      </c>
      <c r="X13" s="37">
        <v>1200</v>
      </c>
      <c r="Y13" s="37">
        <v>400</v>
      </c>
      <c r="Z13" s="37">
        <v>1000</v>
      </c>
      <c r="AA13" s="37">
        <v>800</v>
      </c>
      <c r="AB13" s="37">
        <v>1200</v>
      </c>
      <c r="AC13" s="41">
        <v>1000</v>
      </c>
      <c r="AD13" s="41">
        <v>1800</v>
      </c>
      <c r="AE13" s="41">
        <v>1400</v>
      </c>
      <c r="AF13" s="41">
        <v>1200</v>
      </c>
      <c r="AG13" s="41">
        <v>1200</v>
      </c>
      <c r="AH13" s="50"/>
      <c r="AI13" s="50">
        <v>2200</v>
      </c>
      <c r="AJ13" s="50">
        <v>1600</v>
      </c>
      <c r="AK13" s="50">
        <v>3000</v>
      </c>
      <c r="AL13" s="50">
        <v>2400</v>
      </c>
      <c r="AM13" s="69">
        <v>3200</v>
      </c>
      <c r="AN13" s="69">
        <v>2000</v>
      </c>
      <c r="AO13" s="69"/>
      <c r="AP13" s="69">
        <v>1200</v>
      </c>
      <c r="AQ13" s="69">
        <v>1000</v>
      </c>
      <c r="AR13" s="69">
        <v>2400</v>
      </c>
      <c r="AS13" s="69"/>
      <c r="AT13" s="143">
        <v>2000</v>
      </c>
      <c r="AU13" s="81">
        <v>2600</v>
      </c>
      <c r="AV13" s="81"/>
      <c r="AW13" s="81">
        <v>1200</v>
      </c>
      <c r="AX13" s="81">
        <v>3000</v>
      </c>
      <c r="AY13" s="81"/>
      <c r="AZ13" s="81">
        <v>3400</v>
      </c>
      <c r="BA13" s="81">
        <v>2000</v>
      </c>
      <c r="BB13" s="86">
        <v>2400</v>
      </c>
      <c r="BC13" s="86">
        <v>800</v>
      </c>
      <c r="BD13" s="86">
        <v>1600</v>
      </c>
      <c r="BE13" s="86"/>
      <c r="BF13" s="86">
        <v>2200</v>
      </c>
      <c r="BG13" s="86">
        <v>3600</v>
      </c>
      <c r="BH13" s="86"/>
      <c r="BI13" s="105">
        <v>1200</v>
      </c>
      <c r="BJ13" s="105">
        <v>2000</v>
      </c>
      <c r="BK13" s="105">
        <v>1000</v>
      </c>
      <c r="BL13" s="105">
        <v>2800</v>
      </c>
      <c r="BM13" s="105"/>
      <c r="BN13" s="95">
        <v>3000</v>
      </c>
      <c r="BO13" s="95">
        <v>1800</v>
      </c>
      <c r="BP13" s="95"/>
      <c r="BQ13" s="95">
        <v>1600</v>
      </c>
      <c r="BR13" s="95"/>
      <c r="BS13" s="28"/>
      <c r="BT13" s="28"/>
      <c r="BU13" s="28"/>
      <c r="BV13" s="28"/>
      <c r="BW13" s="28"/>
      <c r="BX13" s="130">
        <f t="shared" si="0"/>
        <v>87800</v>
      </c>
    </row>
    <row r="14" spans="1:77" ht="49.5" x14ac:dyDescent="0.35">
      <c r="A14" s="6">
        <v>8</v>
      </c>
      <c r="B14" s="7" t="s">
        <v>188</v>
      </c>
      <c r="C14" s="111">
        <v>5500</v>
      </c>
      <c r="D14" s="12" t="s">
        <v>189</v>
      </c>
      <c r="E14" s="10"/>
      <c r="F14" s="11"/>
      <c r="G14" s="11"/>
      <c r="H14" s="11"/>
      <c r="I14" s="11"/>
      <c r="J14" s="11"/>
      <c r="K14" s="11"/>
      <c r="L14" s="11"/>
      <c r="M14" s="28"/>
      <c r="N14" s="28"/>
      <c r="O14" s="28"/>
      <c r="P14" s="32"/>
      <c r="Q14" s="32"/>
      <c r="R14" s="113"/>
      <c r="S14" s="113"/>
      <c r="T14" s="32"/>
      <c r="U14" s="32"/>
      <c r="V14" s="37"/>
      <c r="W14" s="37"/>
      <c r="X14" s="37"/>
      <c r="Y14" s="37"/>
      <c r="Z14" s="37"/>
      <c r="AA14" s="37"/>
      <c r="AB14" s="37"/>
      <c r="AC14" s="41"/>
      <c r="AD14" s="41"/>
      <c r="AE14" s="41"/>
      <c r="AF14" s="41"/>
      <c r="AG14" s="41"/>
      <c r="AH14" s="50"/>
      <c r="AI14" s="50"/>
      <c r="AJ14" s="50"/>
      <c r="AK14" s="50"/>
      <c r="AL14" s="50"/>
      <c r="AM14" s="69"/>
      <c r="AN14" s="69"/>
      <c r="AO14" s="69"/>
      <c r="AP14" s="69"/>
      <c r="AQ14" s="69"/>
      <c r="AR14" s="69"/>
      <c r="AS14" s="69"/>
      <c r="AT14" s="143"/>
      <c r="AU14" s="81"/>
      <c r="AV14" s="81"/>
      <c r="AW14" s="81"/>
      <c r="AX14" s="81"/>
      <c r="AY14" s="81"/>
      <c r="AZ14" s="81"/>
      <c r="BA14" s="81"/>
      <c r="BB14" s="86"/>
      <c r="BC14" s="86"/>
      <c r="BD14" s="86"/>
      <c r="BE14" s="86"/>
      <c r="BF14" s="86"/>
      <c r="BG14" s="86"/>
      <c r="BH14" s="86"/>
      <c r="BI14" s="105"/>
      <c r="BJ14" s="105"/>
      <c r="BK14" s="105"/>
      <c r="BL14" s="105"/>
      <c r="BM14" s="105"/>
      <c r="BN14" s="95"/>
      <c r="BO14" s="95"/>
      <c r="BP14" s="95"/>
      <c r="BQ14" s="95"/>
      <c r="BR14" s="95"/>
      <c r="BS14" s="28"/>
      <c r="BT14" s="28">
        <v>395</v>
      </c>
      <c r="BU14" s="28"/>
      <c r="BV14" s="28"/>
      <c r="BW14" s="28"/>
      <c r="BX14" s="130"/>
    </row>
    <row r="15" spans="1:77" ht="66" x14ac:dyDescent="0.35">
      <c r="A15" s="6">
        <v>9</v>
      </c>
      <c r="B15" s="7" t="s">
        <v>190</v>
      </c>
      <c r="C15" s="111">
        <v>5500</v>
      </c>
      <c r="D15" s="12" t="s">
        <v>191</v>
      </c>
      <c r="E15" s="10"/>
      <c r="F15" s="11"/>
      <c r="G15" s="11"/>
      <c r="H15" s="11"/>
      <c r="I15" s="11"/>
      <c r="J15" s="11"/>
      <c r="K15" s="11"/>
      <c r="L15" s="11"/>
      <c r="M15" s="28"/>
      <c r="N15" s="28"/>
      <c r="O15" s="28"/>
      <c r="P15" s="32"/>
      <c r="Q15" s="32"/>
      <c r="R15" s="113"/>
      <c r="S15" s="113"/>
      <c r="T15" s="32"/>
      <c r="U15" s="32"/>
      <c r="V15" s="37"/>
      <c r="W15" s="37"/>
      <c r="X15" s="37"/>
      <c r="Y15" s="37"/>
      <c r="Z15" s="37"/>
      <c r="AA15" s="37"/>
      <c r="AB15" s="37"/>
      <c r="AC15" s="41"/>
      <c r="AD15" s="41"/>
      <c r="AE15" s="41"/>
      <c r="AF15" s="41"/>
      <c r="AG15" s="41"/>
      <c r="AH15" s="50"/>
      <c r="AI15" s="50"/>
      <c r="AJ15" s="50"/>
      <c r="AK15" s="50"/>
      <c r="AL15" s="50"/>
      <c r="AM15" s="69"/>
      <c r="AN15" s="69"/>
      <c r="AO15" s="69"/>
      <c r="AP15" s="69"/>
      <c r="AQ15" s="69"/>
      <c r="AR15" s="69"/>
      <c r="AS15" s="69"/>
      <c r="AT15" s="143"/>
      <c r="AU15" s="81"/>
      <c r="AV15" s="81"/>
      <c r="AW15" s="81"/>
      <c r="AX15" s="81"/>
      <c r="AY15" s="81"/>
      <c r="AZ15" s="81"/>
      <c r="BA15" s="81"/>
      <c r="BB15" s="86"/>
      <c r="BC15" s="86"/>
      <c r="BD15" s="86"/>
      <c r="BE15" s="86"/>
      <c r="BF15" s="86"/>
      <c r="BG15" s="86"/>
      <c r="BH15" s="86"/>
      <c r="BI15" s="105"/>
      <c r="BJ15" s="105"/>
      <c r="BK15" s="105"/>
      <c r="BL15" s="105"/>
      <c r="BM15" s="105"/>
      <c r="BN15" s="95"/>
      <c r="BO15" s="95"/>
      <c r="BP15" s="95"/>
      <c r="BQ15" s="95"/>
      <c r="BR15" s="95">
        <v>3200</v>
      </c>
      <c r="BS15" s="28"/>
      <c r="BT15" s="28">
        <v>2800</v>
      </c>
      <c r="BU15" s="28">
        <v>2600</v>
      </c>
      <c r="BV15" s="28">
        <v>2000</v>
      </c>
      <c r="BW15" s="28"/>
      <c r="BX15" s="130"/>
    </row>
    <row r="16" spans="1:77" ht="34.5" customHeight="1" x14ac:dyDescent="0.35">
      <c r="A16" s="6">
        <v>10</v>
      </c>
      <c r="B16" s="7" t="s">
        <v>68</v>
      </c>
      <c r="C16" s="111">
        <v>7700</v>
      </c>
      <c r="D16" s="12" t="s">
        <v>69</v>
      </c>
      <c r="E16" s="10"/>
      <c r="F16" s="11"/>
      <c r="G16" s="11"/>
      <c r="H16" s="11">
        <v>200</v>
      </c>
      <c r="I16" s="11"/>
      <c r="J16" s="11">
        <v>200</v>
      </c>
      <c r="K16" s="11">
        <v>200</v>
      </c>
      <c r="L16" s="11"/>
      <c r="M16" s="28"/>
      <c r="N16" s="28">
        <v>200</v>
      </c>
      <c r="O16" s="28">
        <v>100</v>
      </c>
      <c r="P16" s="32"/>
      <c r="Q16" s="32">
        <v>150</v>
      </c>
      <c r="R16" s="113"/>
      <c r="S16" s="113">
        <v>100</v>
      </c>
      <c r="T16" s="32">
        <v>200</v>
      </c>
      <c r="U16" s="32">
        <v>200</v>
      </c>
      <c r="V16" s="37">
        <v>200</v>
      </c>
      <c r="W16" s="37"/>
      <c r="X16" s="37"/>
      <c r="Y16" s="37"/>
      <c r="Z16" s="37"/>
      <c r="AA16" s="37">
        <v>100</v>
      </c>
      <c r="AB16" s="37"/>
      <c r="AC16" s="41"/>
      <c r="AD16" s="41"/>
      <c r="AE16" s="41"/>
      <c r="AF16" s="41">
        <v>200</v>
      </c>
      <c r="AG16" s="41"/>
      <c r="AH16" s="50"/>
      <c r="AI16" s="50">
        <v>200</v>
      </c>
      <c r="AJ16" s="50"/>
      <c r="AK16" s="50"/>
      <c r="AL16" s="50">
        <v>200</v>
      </c>
      <c r="AM16" s="69"/>
      <c r="AN16" s="69"/>
      <c r="AO16" s="69"/>
      <c r="AP16" s="69"/>
      <c r="AQ16" s="69"/>
      <c r="AR16" s="69"/>
      <c r="AS16" s="69"/>
      <c r="AT16" s="143"/>
      <c r="AU16" s="81">
        <v>200</v>
      </c>
      <c r="AV16" s="81"/>
      <c r="AW16" s="81"/>
      <c r="AX16" s="81">
        <v>200</v>
      </c>
      <c r="AY16" s="81"/>
      <c r="AZ16" s="81"/>
      <c r="BA16" s="81">
        <v>200</v>
      </c>
      <c r="BB16" s="86"/>
      <c r="BC16" s="86"/>
      <c r="BD16" s="86"/>
      <c r="BE16" s="86"/>
      <c r="BF16" s="86"/>
      <c r="BG16" s="86"/>
      <c r="BH16" s="86"/>
      <c r="BI16" s="105"/>
      <c r="BJ16" s="105"/>
      <c r="BK16" s="105"/>
      <c r="BL16" s="105"/>
      <c r="BM16" s="105"/>
      <c r="BN16" s="95">
        <v>58</v>
      </c>
      <c r="BO16" s="95">
        <v>57</v>
      </c>
      <c r="BP16" s="95"/>
      <c r="BQ16" s="95"/>
      <c r="BR16" s="95">
        <v>63</v>
      </c>
      <c r="BS16" s="28"/>
      <c r="BT16" s="28"/>
      <c r="BU16" s="28">
        <v>30</v>
      </c>
      <c r="BV16" s="28"/>
      <c r="BW16" s="28"/>
      <c r="BX16" s="130">
        <f>SUM(E16:BW16)</f>
        <v>3258</v>
      </c>
    </row>
    <row r="17" spans="1:77" ht="49.5" x14ac:dyDescent="0.35">
      <c r="A17" s="6">
        <v>11</v>
      </c>
      <c r="B17" s="7" t="s">
        <v>70</v>
      </c>
      <c r="C17" s="111">
        <v>7700</v>
      </c>
      <c r="D17" s="9">
        <v>130101</v>
      </c>
      <c r="E17" s="10"/>
      <c r="F17" s="11"/>
      <c r="G17" s="11">
        <v>10</v>
      </c>
      <c r="H17" s="11"/>
      <c r="I17" s="11"/>
      <c r="J17" s="11"/>
      <c r="K17" s="11"/>
      <c r="L17" s="11">
        <v>10</v>
      </c>
      <c r="M17" s="28"/>
      <c r="N17" s="28"/>
      <c r="O17" s="28"/>
      <c r="P17" s="32">
        <v>5</v>
      </c>
      <c r="Q17" s="32"/>
      <c r="R17" s="113"/>
      <c r="S17" s="113"/>
      <c r="T17" s="32">
        <v>5</v>
      </c>
      <c r="U17" s="32"/>
      <c r="V17" s="37"/>
      <c r="W17" s="37"/>
      <c r="X17" s="37">
        <v>5</v>
      </c>
      <c r="Y17" s="37"/>
      <c r="Z17" s="37"/>
      <c r="AA17" s="37"/>
      <c r="AB17" s="37"/>
      <c r="AC17" s="41">
        <v>10</v>
      </c>
      <c r="AD17" s="41">
        <v>5</v>
      </c>
      <c r="AE17" s="41"/>
      <c r="AF17" s="41"/>
      <c r="AG17" s="41"/>
      <c r="AH17" s="50"/>
      <c r="AI17" s="50">
        <v>5</v>
      </c>
      <c r="AJ17" s="50"/>
      <c r="AK17" s="50"/>
      <c r="AL17" s="50"/>
      <c r="AM17" s="69"/>
      <c r="AN17" s="69"/>
      <c r="AO17" s="69"/>
      <c r="AP17" s="69"/>
      <c r="AQ17" s="69"/>
      <c r="AR17" s="69"/>
      <c r="AS17" s="69"/>
      <c r="AT17" s="143"/>
      <c r="AU17" s="81"/>
      <c r="AV17" s="81"/>
      <c r="AW17" s="81"/>
      <c r="AX17" s="81"/>
      <c r="AY17" s="81"/>
      <c r="AZ17" s="81">
        <v>10</v>
      </c>
      <c r="BA17" s="81"/>
      <c r="BB17" s="86"/>
      <c r="BC17" s="86"/>
      <c r="BD17" s="86">
        <v>10</v>
      </c>
      <c r="BE17" s="86"/>
      <c r="BF17" s="86"/>
      <c r="BG17" s="86"/>
      <c r="BH17" s="86"/>
      <c r="BI17" s="105"/>
      <c r="BJ17" s="105">
        <v>10</v>
      </c>
      <c r="BK17" s="105"/>
      <c r="BL17" s="105"/>
      <c r="BM17" s="105"/>
      <c r="BN17" s="95">
        <v>2</v>
      </c>
      <c r="BO17" s="95"/>
      <c r="BP17" s="95"/>
      <c r="BQ17" s="95"/>
      <c r="BR17" s="95">
        <v>10</v>
      </c>
      <c r="BS17" s="28"/>
      <c r="BT17" s="28"/>
      <c r="BU17" s="28"/>
      <c r="BV17" s="28"/>
      <c r="BW17" s="28"/>
      <c r="BX17" s="130">
        <f>SUM(E17:BW17)</f>
        <v>97</v>
      </c>
    </row>
    <row r="18" spans="1:77" ht="29.25" customHeight="1" x14ac:dyDescent="0.35">
      <c r="A18" s="6">
        <v>12</v>
      </c>
      <c r="B18" s="7" t="s">
        <v>192</v>
      </c>
      <c r="C18" s="111">
        <v>7700</v>
      </c>
      <c r="D18" s="12" t="s">
        <v>193</v>
      </c>
      <c r="E18" s="137"/>
      <c r="F18" s="11"/>
      <c r="G18" s="11"/>
      <c r="H18" s="11"/>
      <c r="I18" s="11"/>
      <c r="J18" s="11"/>
      <c r="K18" s="11"/>
      <c r="L18" s="11"/>
      <c r="M18" s="28"/>
      <c r="N18" s="28"/>
      <c r="O18" s="28"/>
      <c r="P18" s="32"/>
      <c r="Q18" s="32"/>
      <c r="R18" s="113"/>
      <c r="S18" s="113"/>
      <c r="T18" s="32"/>
      <c r="U18" s="113"/>
      <c r="V18" s="138"/>
      <c r="W18" s="37">
        <v>200</v>
      </c>
      <c r="X18" s="37">
        <v>150</v>
      </c>
      <c r="Y18" s="37">
        <v>200</v>
      </c>
      <c r="Z18" s="37">
        <v>190</v>
      </c>
      <c r="AA18" s="37">
        <v>200</v>
      </c>
      <c r="AB18" s="37">
        <v>150</v>
      </c>
      <c r="AC18" s="41">
        <v>150</v>
      </c>
      <c r="AD18" s="41"/>
      <c r="AE18" s="41">
        <v>130</v>
      </c>
      <c r="AF18" s="41">
        <v>70</v>
      </c>
      <c r="AG18" s="41"/>
      <c r="AH18" s="50"/>
      <c r="AI18" s="50"/>
      <c r="AJ18" s="50">
        <v>200</v>
      </c>
      <c r="AK18" s="50"/>
      <c r="AL18" s="50">
        <v>40</v>
      </c>
      <c r="AM18" s="69">
        <v>200</v>
      </c>
      <c r="AN18" s="69"/>
      <c r="AO18" s="69"/>
      <c r="AP18" s="69"/>
      <c r="AQ18" s="69"/>
      <c r="AR18" s="69"/>
      <c r="AS18" s="69"/>
      <c r="AT18" s="143">
        <v>200</v>
      </c>
      <c r="AU18" s="81">
        <v>50</v>
      </c>
      <c r="AV18" s="81"/>
      <c r="AW18" s="81"/>
      <c r="AX18" s="81">
        <v>100</v>
      </c>
      <c r="AY18" s="81"/>
      <c r="AZ18" s="81"/>
      <c r="BA18" s="81"/>
      <c r="BB18" s="86">
        <v>120</v>
      </c>
      <c r="BC18" s="86"/>
      <c r="BD18" s="86"/>
      <c r="BE18" s="86"/>
      <c r="BF18" s="86">
        <v>200</v>
      </c>
      <c r="BG18" s="86"/>
      <c r="BH18" s="86"/>
      <c r="BI18" s="105">
        <v>155</v>
      </c>
      <c r="BJ18" s="105"/>
      <c r="BK18" s="105"/>
      <c r="BL18" s="105"/>
      <c r="BM18" s="105"/>
      <c r="BN18" s="95"/>
      <c r="BO18" s="95"/>
      <c r="BP18" s="95"/>
      <c r="BQ18" s="95"/>
      <c r="BR18" s="95"/>
      <c r="BS18" s="28"/>
      <c r="BT18" s="28"/>
      <c r="BU18" s="28"/>
      <c r="BV18" s="28"/>
      <c r="BW18" s="28"/>
      <c r="BX18" s="130"/>
    </row>
    <row r="19" spans="1:77" s="3" customFormat="1" ht="29.25" customHeight="1" x14ac:dyDescent="0.35">
      <c r="A19" s="13"/>
      <c r="B19" s="14" t="s">
        <v>71</v>
      </c>
      <c r="C19" s="15"/>
      <c r="D19" s="16"/>
      <c r="E19" s="18">
        <f>SUM(E6:E18)</f>
        <v>2870</v>
      </c>
      <c r="F19" s="18">
        <f>SUM(F6:F18)</f>
        <v>58</v>
      </c>
      <c r="G19" s="18">
        <f t="shared" ref="G19:V19" si="1">SUM(G6:G18)</f>
        <v>3330</v>
      </c>
      <c r="H19" s="18">
        <f>SUM(H6:H18)</f>
        <v>3020</v>
      </c>
      <c r="I19" s="18">
        <f>SUM(I6:I18)</f>
        <v>61</v>
      </c>
      <c r="J19" s="18">
        <f>SUM(J6:J18)</f>
        <v>3015</v>
      </c>
      <c r="K19" s="18">
        <f>SUM(K6:K18)</f>
        <v>3870</v>
      </c>
      <c r="L19" s="18">
        <f t="shared" si="1"/>
        <v>5670</v>
      </c>
      <c r="M19" s="29">
        <f t="shared" si="1"/>
        <v>82</v>
      </c>
      <c r="N19" s="29">
        <f t="shared" si="1"/>
        <v>3680</v>
      </c>
      <c r="O19" s="29">
        <f t="shared" si="1"/>
        <v>4723</v>
      </c>
      <c r="P19" s="34">
        <f t="shared" si="1"/>
        <v>2705</v>
      </c>
      <c r="Q19" s="34">
        <f t="shared" si="1"/>
        <v>1938</v>
      </c>
      <c r="R19" s="34">
        <f t="shared" si="1"/>
        <v>3117</v>
      </c>
      <c r="S19" s="34">
        <f t="shared" si="1"/>
        <v>2753</v>
      </c>
      <c r="T19" s="34">
        <f t="shared" si="1"/>
        <v>2950</v>
      </c>
      <c r="U19" s="34">
        <f>SUM(U6:U18)</f>
        <v>2970</v>
      </c>
      <c r="V19" s="38">
        <f t="shared" si="1"/>
        <v>2568</v>
      </c>
      <c r="W19" s="38">
        <f>SUM(W6:W18)</f>
        <v>2853</v>
      </c>
      <c r="X19" s="38">
        <f>SUM(X6:X18)</f>
        <v>3101</v>
      </c>
      <c r="Y19" s="38">
        <f t="shared" ref="Y19:AB19" si="2">SUM(Y6:Y18)</f>
        <v>3180</v>
      </c>
      <c r="Z19" s="38">
        <f t="shared" si="2"/>
        <v>2438</v>
      </c>
      <c r="AA19" s="38">
        <f t="shared" si="2"/>
        <v>2930</v>
      </c>
      <c r="AB19" s="38">
        <f t="shared" si="2"/>
        <v>4971</v>
      </c>
      <c r="AC19" s="42">
        <f>SUM(AC6:AC18)</f>
        <v>3419</v>
      </c>
      <c r="AD19" s="42">
        <f t="shared" ref="AD19:AG19" si="3">SUM(AD6:AD18)</f>
        <v>3105</v>
      </c>
      <c r="AE19" s="42">
        <f t="shared" si="3"/>
        <v>3289</v>
      </c>
      <c r="AF19" s="42">
        <f t="shared" si="3"/>
        <v>2820</v>
      </c>
      <c r="AG19" s="42">
        <f t="shared" si="3"/>
        <v>3040</v>
      </c>
      <c r="AH19" s="52">
        <f>SUM(AH6:AH18)</f>
        <v>87</v>
      </c>
      <c r="AI19" s="52">
        <f t="shared" ref="AI19:BQ19" si="4">SUM(AI6:AI18)</f>
        <v>5100</v>
      </c>
      <c r="AJ19" s="52">
        <f t="shared" si="4"/>
        <v>3219</v>
      </c>
      <c r="AK19" s="52">
        <f t="shared" si="4"/>
        <v>5850</v>
      </c>
      <c r="AL19" s="52">
        <f t="shared" si="4"/>
        <v>5680</v>
      </c>
      <c r="AM19" s="69">
        <f t="shared" si="4"/>
        <v>6960</v>
      </c>
      <c r="AN19" s="69">
        <f t="shared" si="4"/>
        <v>3190</v>
      </c>
      <c r="AO19" s="69">
        <f t="shared" si="4"/>
        <v>94</v>
      </c>
      <c r="AP19" s="69">
        <f t="shared" si="4"/>
        <v>2685</v>
      </c>
      <c r="AQ19" s="69">
        <f t="shared" si="4"/>
        <v>3440</v>
      </c>
      <c r="AR19" s="69">
        <f>SUM(AR6:AR18)</f>
        <v>5225</v>
      </c>
      <c r="AS19" s="69">
        <f t="shared" si="4"/>
        <v>84</v>
      </c>
      <c r="AT19" s="69">
        <f t="shared" ref="AT19:BA19" si="5">SUM(AT6:AT18)</f>
        <v>5310</v>
      </c>
      <c r="AU19" s="81">
        <f t="shared" si="5"/>
        <v>5050</v>
      </c>
      <c r="AV19" s="81">
        <f t="shared" si="5"/>
        <v>72</v>
      </c>
      <c r="AW19" s="81">
        <f t="shared" si="5"/>
        <v>2465</v>
      </c>
      <c r="AX19" s="81">
        <f t="shared" si="5"/>
        <v>5970</v>
      </c>
      <c r="AY19" s="81">
        <f t="shared" si="5"/>
        <v>58</v>
      </c>
      <c r="AZ19" s="81">
        <f t="shared" si="5"/>
        <v>6000</v>
      </c>
      <c r="BA19" s="81">
        <f t="shared" si="5"/>
        <v>5422</v>
      </c>
      <c r="BB19" s="52">
        <f t="shared" si="4"/>
        <v>5020</v>
      </c>
      <c r="BC19" s="52">
        <f t="shared" si="4"/>
        <v>2708</v>
      </c>
      <c r="BD19" s="52">
        <f t="shared" si="4"/>
        <v>3905</v>
      </c>
      <c r="BE19" s="52">
        <f t="shared" si="4"/>
        <v>96</v>
      </c>
      <c r="BF19" s="52">
        <f t="shared" si="4"/>
        <v>5375</v>
      </c>
      <c r="BG19" s="52">
        <f>SUM(BG6:BG18)</f>
        <v>5385</v>
      </c>
      <c r="BH19" s="52">
        <f>SUM(BH6:BH18)</f>
        <v>96</v>
      </c>
      <c r="BI19" s="52">
        <f>SUM(BI6:BI18)</f>
        <v>3055</v>
      </c>
      <c r="BJ19" s="52">
        <f t="shared" si="4"/>
        <v>4190</v>
      </c>
      <c r="BK19" s="52">
        <f t="shared" si="4"/>
        <v>2874</v>
      </c>
      <c r="BL19" s="52">
        <f t="shared" si="4"/>
        <v>4893</v>
      </c>
      <c r="BM19" s="52">
        <f t="shared" si="4"/>
        <v>96</v>
      </c>
      <c r="BN19" s="52">
        <f t="shared" si="4"/>
        <v>5899</v>
      </c>
      <c r="BO19" s="52">
        <f t="shared" si="4"/>
        <v>4324</v>
      </c>
      <c r="BP19" s="52">
        <f t="shared" si="4"/>
        <v>93</v>
      </c>
      <c r="BQ19" s="52">
        <f t="shared" si="4"/>
        <v>3047</v>
      </c>
      <c r="BR19" s="52">
        <f>SUM(BR6:BR18)</f>
        <v>5706</v>
      </c>
      <c r="BS19" s="52">
        <f t="shared" ref="BS19:BW19" si="6">SUM(BS6:BS18)</f>
        <v>81</v>
      </c>
      <c r="BT19" s="52">
        <f t="shared" si="6"/>
        <v>5324</v>
      </c>
      <c r="BU19" s="52">
        <f t="shared" si="6"/>
        <v>4839</v>
      </c>
      <c r="BV19" s="52">
        <f t="shared" si="6"/>
        <v>4565</v>
      </c>
      <c r="BW19" s="52">
        <f t="shared" si="6"/>
        <v>81</v>
      </c>
      <c r="BX19" s="130">
        <f>SUM(E19:BW19)</f>
        <v>228139</v>
      </c>
    </row>
    <row r="20" spans="1:77" s="3" customFormat="1" ht="29.25" customHeight="1" x14ac:dyDescent="0.35">
      <c r="A20" s="13"/>
      <c r="B20" s="14" t="s">
        <v>72</v>
      </c>
      <c r="C20" s="19"/>
      <c r="D20" s="16"/>
      <c r="E20" s="21">
        <f>E6*$C$6+E7*$C$7+E8*$C$8+E9*$C$9+E10*$C$10+E11*$C$11+E12*$C$12+E13*$C$13+E16*$C$16+E17*$C$17+E18*$C$18</f>
        <v>19459000</v>
      </c>
      <c r="F20" s="21">
        <f t="shared" ref="F20:BJ20" si="7">F6*$C$6+F7*$C$7+F8*$C$8+F9*$C$9+F10*$C$10+F11*$C$11+F12*$C$12+F13*$C$13+F16*$C$16+F17*$C$17+F18*$C$18</f>
        <v>2030000</v>
      </c>
      <c r="G20" s="21">
        <f t="shared" si="7"/>
        <v>23001000</v>
      </c>
      <c r="H20" s="21">
        <f t="shared" si="7"/>
        <v>21494000</v>
      </c>
      <c r="I20" s="21">
        <f t="shared" si="7"/>
        <v>2135000</v>
      </c>
      <c r="J20" s="21">
        <f t="shared" si="7"/>
        <v>21455500</v>
      </c>
      <c r="K20" s="21">
        <f t="shared" si="7"/>
        <v>25839000</v>
      </c>
      <c r="L20" s="21">
        <f t="shared" si="7"/>
        <v>41019000</v>
      </c>
      <c r="M20" s="21">
        <f t="shared" si="7"/>
        <v>2870000</v>
      </c>
      <c r="N20" s="21">
        <f t="shared" si="7"/>
        <v>24376000</v>
      </c>
      <c r="O20" s="21">
        <f t="shared" si="7"/>
        <v>31527100</v>
      </c>
      <c r="P20" s="21">
        <f t="shared" si="7"/>
        <v>18188500</v>
      </c>
      <c r="Q20" s="21">
        <f t="shared" si="7"/>
        <v>15626000</v>
      </c>
      <c r="R20" s="21">
        <f t="shared" si="7"/>
        <v>22092000</v>
      </c>
      <c r="S20" s="21">
        <f t="shared" si="7"/>
        <v>21021500</v>
      </c>
      <c r="T20" s="21">
        <f t="shared" si="7"/>
        <v>19635000</v>
      </c>
      <c r="U20" s="21">
        <f t="shared" si="7"/>
        <v>19789000</v>
      </c>
      <c r="V20" s="21">
        <f t="shared" si="7"/>
        <v>19597000</v>
      </c>
      <c r="W20" s="21">
        <f t="shared" si="7"/>
        <v>21351500</v>
      </c>
      <c r="X20" s="21">
        <f t="shared" si="7"/>
        <v>22493500</v>
      </c>
      <c r="Y20" s="21">
        <f t="shared" si="7"/>
        <v>23606000</v>
      </c>
      <c r="Z20" s="21">
        <f t="shared" si="7"/>
        <v>17883000</v>
      </c>
      <c r="AA20" s="21">
        <f t="shared" si="7"/>
        <v>20801000</v>
      </c>
      <c r="AB20" s="21">
        <f t="shared" si="7"/>
        <v>35636700</v>
      </c>
      <c r="AC20" s="21">
        <f t="shared" si="7"/>
        <v>25737000</v>
      </c>
      <c r="AD20" s="21">
        <f t="shared" si="7"/>
        <v>19948500</v>
      </c>
      <c r="AE20" s="21">
        <f t="shared" si="7"/>
        <v>23856000</v>
      </c>
      <c r="AF20" s="21">
        <f t="shared" si="7"/>
        <v>19074000</v>
      </c>
      <c r="AG20" s="21">
        <f t="shared" si="7"/>
        <v>20768000</v>
      </c>
      <c r="AH20" s="21">
        <f t="shared" si="7"/>
        <v>3045000</v>
      </c>
      <c r="AI20" s="21">
        <f t="shared" si="7"/>
        <v>34430000</v>
      </c>
      <c r="AJ20" s="21">
        <f t="shared" si="7"/>
        <v>22604000</v>
      </c>
      <c r="AK20" s="21">
        <f t="shared" si="7"/>
        <v>38445000</v>
      </c>
      <c r="AL20" s="21">
        <f t="shared" si="7"/>
        <v>40913000</v>
      </c>
      <c r="AM20" s="21">
        <f t="shared" si="7"/>
        <v>46552000</v>
      </c>
      <c r="AN20" s="21">
        <f t="shared" si="7"/>
        <v>20163000</v>
      </c>
      <c r="AO20" s="21">
        <f t="shared" si="7"/>
        <v>3290000</v>
      </c>
      <c r="AP20" s="21">
        <f t="shared" si="7"/>
        <v>18034500</v>
      </c>
      <c r="AQ20" s="21">
        <f t="shared" si="7"/>
        <v>24288000</v>
      </c>
      <c r="AR20" s="21">
        <f t="shared" si="7"/>
        <v>34952500</v>
      </c>
      <c r="AS20" s="21">
        <f t="shared" si="7"/>
        <v>2940000</v>
      </c>
      <c r="AT20" s="21">
        <f t="shared" si="7"/>
        <v>36487000</v>
      </c>
      <c r="AU20" s="21">
        <f t="shared" ref="AU20:BA20" si="8">AU6*$C$6+AU7*$C$7+AU8*$C$8+AU9*$C$9+AU10*$C$10+AU11*$C$11+AU12*$C$12+AU13*$C$13+AU16*$C$16+AU17*$C$17+AU18*$C$18</f>
        <v>33165000</v>
      </c>
      <c r="AV20" s="21">
        <f t="shared" si="8"/>
        <v>2520000</v>
      </c>
      <c r="AW20" s="21">
        <f t="shared" si="8"/>
        <v>16340500</v>
      </c>
      <c r="AX20" s="21">
        <f t="shared" si="8"/>
        <v>39369000</v>
      </c>
      <c r="AY20" s="21">
        <f t="shared" si="8"/>
        <v>2030000</v>
      </c>
      <c r="AZ20" s="21">
        <f t="shared" si="8"/>
        <v>38720000</v>
      </c>
      <c r="BA20" s="21">
        <f t="shared" si="8"/>
        <v>39861000</v>
      </c>
      <c r="BB20" s="21">
        <f t="shared" si="7"/>
        <v>33374000</v>
      </c>
      <c r="BC20" s="21">
        <f t="shared" si="7"/>
        <v>20675000</v>
      </c>
      <c r="BD20" s="21">
        <f t="shared" si="7"/>
        <v>26548500</v>
      </c>
      <c r="BE20" s="21">
        <f t="shared" si="7"/>
        <v>3360000</v>
      </c>
      <c r="BF20" s="21">
        <f t="shared" si="7"/>
        <v>36547500</v>
      </c>
      <c r="BG20" s="21">
        <f t="shared" si="7"/>
        <v>33544500</v>
      </c>
      <c r="BH20" s="21">
        <f t="shared" si="7"/>
        <v>3360000</v>
      </c>
      <c r="BI20" s="21">
        <f t="shared" si="7"/>
        <v>20883500</v>
      </c>
      <c r="BJ20" s="21">
        <f t="shared" si="7"/>
        <v>27863000</v>
      </c>
      <c r="BK20" s="21">
        <f t="shared" ref="BK20:BS20" si="9">BK6*$C$6+BK7*$C$7+BK8*$C$8+BK9*$C$9+BK10*$C$10+BK11*$C$11+BK12*$C$12+BK14*$C$14+BK13*$C$13+BK15*$C$15+BK16*$C$16+BK17*$C$17+BK18*$C$18</f>
        <v>22496000</v>
      </c>
      <c r="BL20" s="21">
        <f t="shared" si="9"/>
        <v>31516100</v>
      </c>
      <c r="BM20" s="21">
        <f t="shared" si="9"/>
        <v>3360000</v>
      </c>
      <c r="BN20" s="21">
        <f t="shared" si="9"/>
        <v>38822300</v>
      </c>
      <c r="BO20" s="21">
        <f t="shared" si="9"/>
        <v>29580500</v>
      </c>
      <c r="BP20" s="21">
        <f t="shared" si="9"/>
        <v>3255000</v>
      </c>
      <c r="BQ20" s="21">
        <f t="shared" si="9"/>
        <v>20160300</v>
      </c>
      <c r="BR20" s="21">
        <f t="shared" si="9"/>
        <v>37333000</v>
      </c>
      <c r="BS20" s="21">
        <f t="shared" si="9"/>
        <v>2835000</v>
      </c>
      <c r="BT20" s="21">
        <f>BT6*$C$6+BT7*$C$7+BT8*$C$8+BT9*$C$9+BT10*$C$10+BT11*$C$11+BT12*$C$12+BT14*$C$14+BT13*$C$13+BT15*$C$15+BT16*$C$16+BT17*$C$17+BT18*$C$18</f>
        <v>34348000</v>
      </c>
      <c r="BU20" s="21">
        <f t="shared" ref="BU20:BW20" si="10">BU6*$C$6+BU7*$C$7+BU8*$C$8+BU9*$C$9+BU10*$C$10+BU11*$C$11+BU12*$C$12+BU14*$C$14+BU13*$C$13+BU15*$C$15+BU16*$C$16+BU17*$C$17+BU18*$C$18</f>
        <v>34133800</v>
      </c>
      <c r="BV20" s="21">
        <f t="shared" si="10"/>
        <v>31023500</v>
      </c>
      <c r="BW20" s="21">
        <f t="shared" si="10"/>
        <v>2835000</v>
      </c>
      <c r="BX20" s="131">
        <f>SUM(E20:BW20)</f>
        <v>1598313800</v>
      </c>
    </row>
    <row r="21" spans="1:77" s="3" customFormat="1" ht="29.25" customHeight="1" x14ac:dyDescent="0.35">
      <c r="A21" s="13"/>
      <c r="B21" s="14" t="s">
        <v>73</v>
      </c>
      <c r="C21" s="19"/>
      <c r="D21" s="16"/>
      <c r="E21" s="114">
        <f t="shared" ref="E21:BX21" si="11">+E20*10%</f>
        <v>1945900</v>
      </c>
      <c r="F21" s="21">
        <f t="shared" si="11"/>
        <v>203000</v>
      </c>
      <c r="G21" s="21">
        <f t="shared" si="11"/>
        <v>2300100</v>
      </c>
      <c r="H21" s="21">
        <f t="shared" si="11"/>
        <v>2149400</v>
      </c>
      <c r="I21" s="21">
        <f t="shared" si="11"/>
        <v>213500</v>
      </c>
      <c r="J21" s="21">
        <f t="shared" si="11"/>
        <v>2145550</v>
      </c>
      <c r="K21" s="21">
        <f t="shared" si="11"/>
        <v>2583900</v>
      </c>
      <c r="L21" s="21">
        <f t="shared" si="11"/>
        <v>4101900</v>
      </c>
      <c r="M21" s="30">
        <f t="shared" si="11"/>
        <v>287000</v>
      </c>
      <c r="N21" s="30">
        <f t="shared" si="11"/>
        <v>2437600</v>
      </c>
      <c r="O21" s="30">
        <f t="shared" si="11"/>
        <v>3152710</v>
      </c>
      <c r="P21" s="35">
        <f t="shared" si="11"/>
        <v>1818850</v>
      </c>
      <c r="Q21" s="35">
        <f t="shared" si="11"/>
        <v>1562600</v>
      </c>
      <c r="R21" s="35">
        <f t="shared" si="11"/>
        <v>2209200</v>
      </c>
      <c r="S21" s="35">
        <f t="shared" si="11"/>
        <v>2102150</v>
      </c>
      <c r="T21" s="35">
        <f t="shared" si="11"/>
        <v>1963500</v>
      </c>
      <c r="U21" s="35">
        <f t="shared" si="11"/>
        <v>1978900</v>
      </c>
      <c r="V21" s="118">
        <f t="shared" si="11"/>
        <v>1959700</v>
      </c>
      <c r="W21" s="39">
        <f t="shared" si="11"/>
        <v>2135150</v>
      </c>
      <c r="X21" s="39">
        <f t="shared" si="11"/>
        <v>2249350</v>
      </c>
      <c r="Y21" s="39">
        <f t="shared" si="11"/>
        <v>2360600</v>
      </c>
      <c r="Z21" s="39">
        <f t="shared" si="11"/>
        <v>1788300</v>
      </c>
      <c r="AA21" s="39">
        <f t="shared" si="11"/>
        <v>2080100</v>
      </c>
      <c r="AB21" s="39">
        <f t="shared" si="11"/>
        <v>3563670</v>
      </c>
      <c r="AC21" s="43">
        <f>+AC20*10%</f>
        <v>2573700</v>
      </c>
      <c r="AD21" s="43">
        <f t="shared" si="11"/>
        <v>1994850</v>
      </c>
      <c r="AE21" s="43">
        <f t="shared" si="11"/>
        <v>2385600</v>
      </c>
      <c r="AF21" s="43">
        <f t="shared" si="11"/>
        <v>1907400</v>
      </c>
      <c r="AG21" s="43">
        <f t="shared" si="11"/>
        <v>2076800</v>
      </c>
      <c r="AH21" s="51">
        <f>+AH20*10%</f>
        <v>304500</v>
      </c>
      <c r="AI21" s="51">
        <f t="shared" si="11"/>
        <v>3443000</v>
      </c>
      <c r="AJ21" s="51">
        <f t="shared" si="11"/>
        <v>2260400</v>
      </c>
      <c r="AK21" s="51">
        <f t="shared" si="11"/>
        <v>3844500</v>
      </c>
      <c r="AL21" s="51">
        <f t="shared" si="11"/>
        <v>4091300</v>
      </c>
      <c r="AM21" s="71">
        <f t="shared" si="11"/>
        <v>4655200</v>
      </c>
      <c r="AN21" s="71">
        <f t="shared" si="11"/>
        <v>2016300</v>
      </c>
      <c r="AO21" s="71">
        <f t="shared" si="11"/>
        <v>329000</v>
      </c>
      <c r="AP21" s="71">
        <f t="shared" si="11"/>
        <v>1803450</v>
      </c>
      <c r="AQ21" s="71">
        <f t="shared" si="11"/>
        <v>2428800</v>
      </c>
      <c r="AR21" s="71">
        <f t="shared" si="11"/>
        <v>3495250</v>
      </c>
      <c r="AS21" s="71">
        <f t="shared" si="11"/>
        <v>294000</v>
      </c>
      <c r="AT21" s="144">
        <f t="shared" si="11"/>
        <v>3648700</v>
      </c>
      <c r="AU21" s="83">
        <f>+AU20*10%</f>
        <v>3316500</v>
      </c>
      <c r="AV21" s="83">
        <f>+AV20*10%</f>
        <v>252000</v>
      </c>
      <c r="AW21" s="83">
        <f>+AW20*10%</f>
        <v>1634050</v>
      </c>
      <c r="AX21" s="83">
        <f>+AX20*10%</f>
        <v>3936900</v>
      </c>
      <c r="AY21" s="83">
        <f t="shared" si="11"/>
        <v>203000</v>
      </c>
      <c r="AZ21" s="83">
        <f t="shared" si="11"/>
        <v>3872000</v>
      </c>
      <c r="BA21" s="83">
        <f t="shared" si="11"/>
        <v>3986100</v>
      </c>
      <c r="BB21" s="88">
        <f t="shared" si="11"/>
        <v>3337400</v>
      </c>
      <c r="BC21" s="88">
        <f t="shared" si="11"/>
        <v>2067500</v>
      </c>
      <c r="BD21" s="88">
        <f t="shared" si="11"/>
        <v>2654850</v>
      </c>
      <c r="BE21" s="88">
        <f t="shared" si="11"/>
        <v>336000</v>
      </c>
      <c r="BF21" s="88">
        <f t="shared" si="11"/>
        <v>3654750</v>
      </c>
      <c r="BG21" s="88">
        <f t="shared" si="11"/>
        <v>3354450</v>
      </c>
      <c r="BH21" s="88">
        <f t="shared" si="11"/>
        <v>336000</v>
      </c>
      <c r="BI21" s="21">
        <f t="shared" si="11"/>
        <v>2088350</v>
      </c>
      <c r="BJ21" s="21">
        <f t="shared" si="11"/>
        <v>2786300</v>
      </c>
      <c r="BK21" s="21">
        <f t="shared" si="11"/>
        <v>2249600</v>
      </c>
      <c r="BL21" s="21">
        <f t="shared" si="11"/>
        <v>3151610</v>
      </c>
      <c r="BM21" s="21">
        <f t="shared" si="11"/>
        <v>336000</v>
      </c>
      <c r="BN21" s="97">
        <f t="shared" si="11"/>
        <v>3882230</v>
      </c>
      <c r="BO21" s="97">
        <f t="shared" si="11"/>
        <v>2958050</v>
      </c>
      <c r="BP21" s="97">
        <f t="shared" si="11"/>
        <v>325500</v>
      </c>
      <c r="BQ21" s="97">
        <f t="shared" si="11"/>
        <v>2016030</v>
      </c>
      <c r="BR21" s="97">
        <f>+BR20*10%</f>
        <v>3733300</v>
      </c>
      <c r="BS21" s="97">
        <f t="shared" ref="BS21:BW21" si="12">+BS20*10%</f>
        <v>283500</v>
      </c>
      <c r="BT21" s="97">
        <f>+BT20*10%</f>
        <v>3434800</v>
      </c>
      <c r="BU21" s="97">
        <f t="shared" si="12"/>
        <v>3413380</v>
      </c>
      <c r="BV21" s="97">
        <f t="shared" si="12"/>
        <v>3102350</v>
      </c>
      <c r="BW21" s="97">
        <f t="shared" si="12"/>
        <v>283500</v>
      </c>
      <c r="BX21" s="131">
        <f t="shared" si="11"/>
        <v>159831380</v>
      </c>
    </row>
    <row r="22" spans="1:77" s="3" customFormat="1" ht="29.25" customHeight="1" thickBot="1" x14ac:dyDescent="0.4">
      <c r="A22" s="13"/>
      <c r="B22" s="14" t="s">
        <v>74</v>
      </c>
      <c r="C22" s="19"/>
      <c r="D22" s="16"/>
      <c r="E22" s="22">
        <f t="shared" ref="E22:BX22" si="13">+E20+E21</f>
        <v>21404900</v>
      </c>
      <c r="F22" s="23">
        <f t="shared" si="13"/>
        <v>2233000</v>
      </c>
      <c r="G22" s="23">
        <f t="shared" si="13"/>
        <v>25301100</v>
      </c>
      <c r="H22" s="23">
        <f t="shared" si="13"/>
        <v>23643400</v>
      </c>
      <c r="I22" s="23">
        <f t="shared" si="13"/>
        <v>2348500</v>
      </c>
      <c r="J22" s="23">
        <f t="shared" si="13"/>
        <v>23601050</v>
      </c>
      <c r="K22" s="23">
        <f t="shared" si="13"/>
        <v>28422900</v>
      </c>
      <c r="L22" s="23">
        <f t="shared" si="13"/>
        <v>45120900</v>
      </c>
      <c r="M22" s="31">
        <f t="shared" si="13"/>
        <v>3157000</v>
      </c>
      <c r="N22" s="31">
        <f t="shared" si="13"/>
        <v>26813600</v>
      </c>
      <c r="O22" s="31">
        <f t="shared" si="13"/>
        <v>34679810</v>
      </c>
      <c r="P22" s="35">
        <f t="shared" si="13"/>
        <v>20007350</v>
      </c>
      <c r="Q22" s="35">
        <f t="shared" si="13"/>
        <v>17188600</v>
      </c>
      <c r="R22" s="35">
        <f t="shared" si="13"/>
        <v>24301200</v>
      </c>
      <c r="S22" s="35">
        <f t="shared" si="13"/>
        <v>23123650</v>
      </c>
      <c r="T22" s="35">
        <f t="shared" si="13"/>
        <v>21598500</v>
      </c>
      <c r="U22" s="35">
        <f t="shared" si="13"/>
        <v>21767900</v>
      </c>
      <c r="V22" s="119">
        <f t="shared" si="13"/>
        <v>21556700</v>
      </c>
      <c r="W22" s="40">
        <f t="shared" si="13"/>
        <v>23486650</v>
      </c>
      <c r="X22" s="40">
        <f t="shared" si="13"/>
        <v>24742850</v>
      </c>
      <c r="Y22" s="40">
        <f t="shared" si="13"/>
        <v>25966600</v>
      </c>
      <c r="Z22" s="40">
        <f t="shared" si="13"/>
        <v>19671300</v>
      </c>
      <c r="AA22" s="40">
        <f t="shared" si="13"/>
        <v>22881100</v>
      </c>
      <c r="AB22" s="40">
        <f t="shared" si="13"/>
        <v>39200370</v>
      </c>
      <c r="AC22" s="44">
        <f>+AC20+AC21</f>
        <v>28310700</v>
      </c>
      <c r="AD22" s="44">
        <f t="shared" si="13"/>
        <v>21943350</v>
      </c>
      <c r="AE22" s="44">
        <f t="shared" si="13"/>
        <v>26241600</v>
      </c>
      <c r="AF22" s="44">
        <f t="shared" si="13"/>
        <v>20981400</v>
      </c>
      <c r="AG22" s="44">
        <f t="shared" si="13"/>
        <v>22844800</v>
      </c>
      <c r="AH22" s="53">
        <f t="shared" si="13"/>
        <v>3349500</v>
      </c>
      <c r="AI22" s="53">
        <f t="shared" si="13"/>
        <v>37873000</v>
      </c>
      <c r="AJ22" s="53">
        <f t="shared" si="13"/>
        <v>24864400</v>
      </c>
      <c r="AK22" s="53">
        <f t="shared" si="13"/>
        <v>42289500</v>
      </c>
      <c r="AL22" s="53">
        <f t="shared" si="13"/>
        <v>45004300</v>
      </c>
      <c r="AM22" s="72">
        <f t="shared" si="13"/>
        <v>51207200</v>
      </c>
      <c r="AN22" s="72">
        <f t="shared" si="13"/>
        <v>22179300</v>
      </c>
      <c r="AO22" s="72">
        <f t="shared" si="13"/>
        <v>3619000</v>
      </c>
      <c r="AP22" s="72">
        <f t="shared" si="13"/>
        <v>19837950</v>
      </c>
      <c r="AQ22" s="72">
        <f t="shared" si="13"/>
        <v>26716800</v>
      </c>
      <c r="AR22" s="72">
        <f t="shared" si="13"/>
        <v>38447750</v>
      </c>
      <c r="AS22" s="72">
        <f t="shared" si="13"/>
        <v>3234000</v>
      </c>
      <c r="AT22" s="145">
        <f t="shared" si="13"/>
        <v>40135700</v>
      </c>
      <c r="AU22" s="84">
        <f>+AU20+AU21</f>
        <v>36481500</v>
      </c>
      <c r="AV22" s="84">
        <f>+AV20+AV21</f>
        <v>2772000</v>
      </c>
      <c r="AW22" s="84">
        <f t="shared" si="13"/>
        <v>17974550</v>
      </c>
      <c r="AX22" s="84">
        <f t="shared" si="13"/>
        <v>43305900</v>
      </c>
      <c r="AY22" s="84">
        <f t="shared" si="13"/>
        <v>2233000</v>
      </c>
      <c r="AZ22" s="84">
        <f t="shared" si="13"/>
        <v>42592000</v>
      </c>
      <c r="BA22" s="84">
        <f t="shared" si="13"/>
        <v>43847100</v>
      </c>
      <c r="BB22" s="89">
        <f t="shared" si="13"/>
        <v>36711400</v>
      </c>
      <c r="BC22" s="89">
        <f t="shared" si="13"/>
        <v>22742500</v>
      </c>
      <c r="BD22" s="89">
        <f t="shared" si="13"/>
        <v>29203350</v>
      </c>
      <c r="BE22" s="89">
        <f t="shared" si="13"/>
        <v>3696000</v>
      </c>
      <c r="BF22" s="89">
        <f t="shared" si="13"/>
        <v>40202250</v>
      </c>
      <c r="BG22" s="89">
        <f>+BG20+BG21</f>
        <v>36898950</v>
      </c>
      <c r="BH22" s="89">
        <f>+BH20+BH21</f>
        <v>3696000</v>
      </c>
      <c r="BI22" s="23">
        <f t="shared" si="13"/>
        <v>22971850</v>
      </c>
      <c r="BJ22" s="23">
        <f t="shared" si="13"/>
        <v>30649300</v>
      </c>
      <c r="BK22" s="23">
        <f t="shared" si="13"/>
        <v>24745600</v>
      </c>
      <c r="BL22" s="23">
        <f t="shared" si="13"/>
        <v>34667710</v>
      </c>
      <c r="BM22" s="23">
        <f t="shared" si="13"/>
        <v>3696000</v>
      </c>
      <c r="BN22" s="98">
        <f t="shared" si="13"/>
        <v>42704530</v>
      </c>
      <c r="BO22" s="98">
        <f t="shared" si="13"/>
        <v>32538550</v>
      </c>
      <c r="BP22" s="98">
        <f t="shared" si="13"/>
        <v>3580500</v>
      </c>
      <c r="BQ22" s="98">
        <f t="shared" si="13"/>
        <v>22176330</v>
      </c>
      <c r="BR22" s="98">
        <f>+BR20+BR21</f>
        <v>41066300</v>
      </c>
      <c r="BS22" s="98">
        <f t="shared" ref="BS22:BW22" si="14">+BS20+BS21</f>
        <v>3118500</v>
      </c>
      <c r="BT22" s="98">
        <f>+BT20+BT21</f>
        <v>37782800</v>
      </c>
      <c r="BU22" s="98">
        <f t="shared" si="14"/>
        <v>37547180</v>
      </c>
      <c r="BV22" s="98">
        <f t="shared" si="14"/>
        <v>34125850</v>
      </c>
      <c r="BW22" s="98">
        <f t="shared" si="14"/>
        <v>3118500</v>
      </c>
      <c r="BX22" s="131">
        <f t="shared" si="13"/>
        <v>1758145180</v>
      </c>
      <c r="BY22" s="24"/>
    </row>
    <row r="23" spans="1:77" s="3" customFormat="1" ht="29.25" customHeight="1" x14ac:dyDescent="0.35">
      <c r="A23" s="263" t="s">
        <v>194</v>
      </c>
      <c r="B23" s="264"/>
      <c r="C23" s="264"/>
      <c r="D23" s="264"/>
      <c r="E23" s="312">
        <f>SUM(E22:L22)</f>
        <v>172075750</v>
      </c>
      <c r="F23" s="312"/>
      <c r="G23" s="312"/>
      <c r="H23" s="312"/>
      <c r="I23" s="312"/>
      <c r="J23" s="312"/>
      <c r="K23" s="312"/>
      <c r="L23" s="313"/>
      <c r="M23" s="314">
        <f>SUM(M22:O22)</f>
        <v>64650410</v>
      </c>
      <c r="N23" s="315"/>
      <c r="O23" s="316"/>
      <c r="P23" s="265">
        <f>SUM(P22:U22)</f>
        <v>127987200</v>
      </c>
      <c r="Q23" s="318"/>
      <c r="R23" s="318"/>
      <c r="S23" s="318"/>
      <c r="T23" s="318"/>
      <c r="U23" s="266"/>
      <c r="V23" s="319">
        <f>SUM(V22:AB22)</f>
        <v>177505570</v>
      </c>
      <c r="W23" s="320"/>
      <c r="X23" s="320"/>
      <c r="Y23" s="320"/>
      <c r="Z23" s="320"/>
      <c r="AA23" s="320"/>
      <c r="AB23" s="321"/>
      <c r="AC23" s="282">
        <f>SUM(AC22:AG22)</f>
        <v>120321850</v>
      </c>
      <c r="AD23" s="322"/>
      <c r="AE23" s="322"/>
      <c r="AF23" s="322"/>
      <c r="AG23" s="283"/>
      <c r="AH23" s="286">
        <f>SUM(AH22:AL22)</f>
        <v>153380700</v>
      </c>
      <c r="AI23" s="287"/>
      <c r="AJ23" s="287"/>
      <c r="AK23" s="287"/>
      <c r="AL23" s="288"/>
      <c r="AM23" s="284">
        <f>SUM(AM22:AM22:AM22:AT22)</f>
        <v>205377700</v>
      </c>
      <c r="AN23" s="285"/>
      <c r="AO23" s="285"/>
      <c r="AP23" s="285"/>
      <c r="AQ23" s="285"/>
      <c r="AR23" s="285"/>
      <c r="AS23" s="285"/>
      <c r="AT23" s="285"/>
      <c r="AU23" s="289">
        <f>SUM(AU22:BA22)</f>
        <v>189206050</v>
      </c>
      <c r="AV23" s="289"/>
      <c r="AW23" s="289"/>
      <c r="AX23" s="289"/>
      <c r="AY23" s="289"/>
      <c r="AZ23" s="289"/>
      <c r="BA23" s="290"/>
      <c r="BB23" s="267">
        <f>SUM(BB22:BH22)</f>
        <v>173150450</v>
      </c>
      <c r="BC23" s="281"/>
      <c r="BD23" s="281"/>
      <c r="BE23" s="281"/>
      <c r="BF23" s="281"/>
      <c r="BG23" s="281"/>
      <c r="BH23" s="268"/>
      <c r="BI23" s="311">
        <f>SUM(BI22:BM22)</f>
        <v>116730460</v>
      </c>
      <c r="BJ23" s="312"/>
      <c r="BK23" s="312"/>
      <c r="BL23" s="312"/>
      <c r="BM23" s="313"/>
      <c r="BN23" s="311">
        <f>SUM(BN22:BR22)</f>
        <v>142066210</v>
      </c>
      <c r="BO23" s="312"/>
      <c r="BP23" s="312"/>
      <c r="BQ23" s="312"/>
      <c r="BR23" s="313"/>
      <c r="BS23" s="314">
        <f>SUM(BS22:BW22)</f>
        <v>115692830</v>
      </c>
      <c r="BT23" s="315"/>
      <c r="BU23" s="315"/>
      <c r="BV23" s="315"/>
      <c r="BW23" s="316"/>
      <c r="BX23" s="131"/>
      <c r="BY23" s="24"/>
    </row>
    <row r="24" spans="1:77" ht="41.25" customHeight="1" x14ac:dyDescent="0.35">
      <c r="A24" s="308" t="s">
        <v>75</v>
      </c>
      <c r="B24" s="309"/>
      <c r="C24" s="309"/>
      <c r="D24" s="310"/>
      <c r="E24" s="300" t="s">
        <v>76</v>
      </c>
      <c r="F24" s="300"/>
      <c r="G24" s="300"/>
      <c r="H24" s="300"/>
      <c r="I24" s="300"/>
      <c r="J24" s="300"/>
      <c r="K24" s="300"/>
      <c r="L24" s="300"/>
      <c r="M24" s="300"/>
      <c r="N24" s="300"/>
      <c r="O24" s="300"/>
      <c r="P24" s="300"/>
      <c r="Q24" s="300"/>
      <c r="R24" s="300"/>
      <c r="S24" s="300"/>
      <c r="T24" s="300"/>
      <c r="U24" s="300"/>
      <c r="V24" s="300"/>
      <c r="W24" s="300"/>
      <c r="X24" s="300"/>
      <c r="Y24" s="300"/>
      <c r="Z24" s="300"/>
      <c r="AA24" s="300"/>
      <c r="AB24" s="300"/>
      <c r="AC24" s="301"/>
      <c r="AD24" s="301"/>
      <c r="AE24" s="301"/>
      <c r="AF24" s="301"/>
      <c r="AG24" s="301"/>
      <c r="AH24" s="301"/>
      <c r="AI24" s="301"/>
      <c r="AJ24" s="301"/>
      <c r="AK24" s="300"/>
      <c r="AL24" s="300"/>
      <c r="AM24" s="300"/>
      <c r="AN24" s="300"/>
      <c r="AO24" s="300"/>
      <c r="AP24" s="300"/>
      <c r="AQ24" s="300"/>
      <c r="AR24" s="300"/>
      <c r="AS24" s="300"/>
      <c r="AT24" s="300"/>
      <c r="AU24" s="300"/>
      <c r="AV24" s="300"/>
      <c r="AW24" s="300"/>
      <c r="AX24" s="300"/>
      <c r="AY24" s="300"/>
      <c r="AZ24" s="300"/>
      <c r="BA24" s="300"/>
      <c r="BB24" s="300"/>
      <c r="BC24" s="300"/>
      <c r="BD24" s="300"/>
      <c r="BE24" s="300"/>
      <c r="BF24" s="300"/>
      <c r="BG24" s="300"/>
      <c r="BH24" s="300"/>
      <c r="BI24" s="300"/>
      <c r="BJ24" s="300"/>
      <c r="BK24" s="300"/>
      <c r="BL24" s="300"/>
      <c r="BM24" s="300"/>
      <c r="BN24" s="300"/>
      <c r="BO24" s="300"/>
      <c r="BP24" s="300"/>
      <c r="BQ24" s="300"/>
      <c r="BR24" s="300"/>
      <c r="BS24" s="300"/>
      <c r="BT24" s="300"/>
      <c r="BU24" s="300"/>
      <c r="BV24" s="300"/>
      <c r="BW24" s="300"/>
      <c r="BX24" s="132"/>
      <c r="BY24" s="26"/>
    </row>
    <row r="25" spans="1:77" s="47" customFormat="1" ht="21" customHeight="1" x14ac:dyDescent="0.35">
      <c r="A25" s="294" t="s">
        <v>77</v>
      </c>
      <c r="B25" s="295"/>
      <c r="C25" s="295"/>
      <c r="D25" s="296"/>
      <c r="E25" s="66"/>
      <c r="F25" s="110"/>
      <c r="G25" s="110"/>
      <c r="H25" s="110"/>
      <c r="I25" s="108"/>
      <c r="J25" s="108"/>
      <c r="K25" s="108"/>
      <c r="L25" s="108"/>
      <c r="M25" s="109"/>
      <c r="N25" s="112"/>
      <c r="O25" s="112"/>
      <c r="P25" s="292"/>
      <c r="Q25" s="292"/>
      <c r="R25" s="292"/>
      <c r="S25" s="292"/>
      <c r="T25" s="292"/>
      <c r="U25" s="292"/>
      <c r="V25" s="292"/>
      <c r="W25" s="293"/>
      <c r="X25" s="291"/>
      <c r="Y25" s="302"/>
      <c r="Z25" s="302"/>
      <c r="AA25" s="302"/>
      <c r="AB25" s="317"/>
      <c r="AC25" s="303"/>
      <c r="AD25" s="292"/>
      <c r="AE25" s="292"/>
      <c r="AF25" s="292"/>
      <c r="AG25" s="292"/>
      <c r="AH25" s="292"/>
      <c r="AI25" s="292"/>
      <c r="AJ25" s="92"/>
      <c r="AK25" s="303"/>
      <c r="AL25" s="292"/>
      <c r="AM25" s="292"/>
      <c r="AN25" s="92"/>
      <c r="AO25" s="304"/>
      <c r="AP25" s="304"/>
      <c r="AQ25" s="304"/>
      <c r="AR25" s="304"/>
      <c r="AS25" s="92"/>
      <c r="AT25" s="90"/>
      <c r="AU25" s="90"/>
      <c r="AV25" s="90"/>
      <c r="AW25" s="90"/>
      <c r="AX25" s="90"/>
      <c r="AY25" s="90"/>
      <c r="AZ25" s="90"/>
      <c r="BA25" s="90"/>
      <c r="BB25" s="90"/>
      <c r="BC25" s="90"/>
      <c r="BD25" s="90"/>
      <c r="BE25" s="90"/>
      <c r="BF25" s="90"/>
      <c r="BG25" s="90"/>
      <c r="BH25" s="90"/>
      <c r="BI25" s="90"/>
      <c r="BJ25" s="90"/>
      <c r="BK25" s="90"/>
      <c r="BL25" s="90"/>
      <c r="BM25" s="90"/>
      <c r="BN25" s="90"/>
      <c r="BO25" s="90"/>
      <c r="BP25" s="90"/>
      <c r="BQ25" s="90"/>
      <c r="BR25" s="90"/>
      <c r="BS25" s="90"/>
      <c r="BT25" s="90"/>
      <c r="BU25" s="90"/>
      <c r="BV25" s="90"/>
      <c r="BW25" s="90"/>
      <c r="BX25" s="133"/>
    </row>
    <row r="26" spans="1:77" x14ac:dyDescent="0.35">
      <c r="A26" s="136"/>
      <c r="B26" s="136"/>
      <c r="C26" s="136"/>
      <c r="D26" s="136"/>
    </row>
    <row r="27" spans="1:77" x14ac:dyDescent="0.35">
      <c r="G27" s="2" t="s">
        <v>84</v>
      </c>
      <c r="AE27" s="2">
        <f>3230-AE19</f>
        <v>-59</v>
      </c>
    </row>
    <row r="29" spans="1:77" x14ac:dyDescent="0.35">
      <c r="W29" s="48"/>
    </row>
    <row r="30" spans="1:77" x14ac:dyDescent="0.35">
      <c r="S30" s="26"/>
      <c r="T30" s="26"/>
      <c r="U30" s="26"/>
      <c r="AE30" s="2">
        <f>118*35000</f>
        <v>4130000</v>
      </c>
    </row>
    <row r="31" spans="1:77" x14ac:dyDescent="0.35">
      <c r="AE31" s="26">
        <f>AC23-AE30</f>
        <v>116191850</v>
      </c>
    </row>
  </sheetData>
  <mergeCells count="41">
    <mergeCell ref="A7:A8"/>
    <mergeCell ref="A1:BX1"/>
    <mergeCell ref="A2:A5"/>
    <mergeCell ref="B2:D2"/>
    <mergeCell ref="B4:B5"/>
    <mergeCell ref="C4:C5"/>
    <mergeCell ref="D4:D5"/>
    <mergeCell ref="E4:L4"/>
    <mergeCell ref="M4:O4"/>
    <mergeCell ref="P4:U4"/>
    <mergeCell ref="V4:AB4"/>
    <mergeCell ref="B3:D3"/>
    <mergeCell ref="AV4:BA4"/>
    <mergeCell ref="AM4:AT4"/>
    <mergeCell ref="BI4:BM4"/>
    <mergeCell ref="AC4:AG4"/>
    <mergeCell ref="AH23:AL23"/>
    <mergeCell ref="AC23:AG23"/>
    <mergeCell ref="AM23:AT23"/>
    <mergeCell ref="AU23:BA23"/>
    <mergeCell ref="AH4:AL4"/>
    <mergeCell ref="A23:D23"/>
    <mergeCell ref="E23:L23"/>
    <mergeCell ref="M23:O23"/>
    <mergeCell ref="P23:U23"/>
    <mergeCell ref="V23:AB23"/>
    <mergeCell ref="A24:D24"/>
    <mergeCell ref="E24:BW24"/>
    <mergeCell ref="A25:D25"/>
    <mergeCell ref="P25:W25"/>
    <mergeCell ref="X25:AB25"/>
    <mergeCell ref="AC25:AI25"/>
    <mergeCell ref="AK25:AM25"/>
    <mergeCell ref="BI23:BM23"/>
    <mergeCell ref="BN23:BR23"/>
    <mergeCell ref="BS23:BW23"/>
    <mergeCell ref="AO25:AR25"/>
    <mergeCell ref="BN4:BR4"/>
    <mergeCell ref="BS4:BW4"/>
    <mergeCell ref="BB4:BG4"/>
    <mergeCell ref="BB23:BH23"/>
  </mergeCells>
  <pageMargins left="0.7" right="0.7" top="0.75" bottom="0.75" header="0.3" footer="0.3"/>
  <pageSetup scale="50" orientation="landscape" horizontalDpi="4294967295" verticalDpi="4294967295"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97DC8-37FA-41A5-80C2-120C309661F7}">
  <sheetPr filterMode="1"/>
  <dimension ref="A1:AM45"/>
  <sheetViews>
    <sheetView zoomScale="55" zoomScaleNormal="55" workbookViewId="0">
      <pane xSplit="4" ySplit="4" topLeftCell="E5" activePane="bottomRight" state="frozen"/>
      <selection pane="topRight" activeCell="E1" sqref="E1"/>
      <selection pane="bottomLeft" activeCell="A5" sqref="A5"/>
      <selection pane="bottomRight" activeCell="B39" sqref="B39"/>
    </sheetView>
  </sheetViews>
  <sheetFormatPr defaultColWidth="9.1796875" defaultRowHeight="16.5" x14ac:dyDescent="0.35"/>
  <cols>
    <col min="1" max="1" width="4.81640625" style="2" bestFit="1" customWidth="1"/>
    <col min="2" max="2" width="81.453125" style="27" customWidth="1"/>
    <col min="3" max="3" width="19" style="27" customWidth="1"/>
    <col min="4" max="4" width="14" style="2" customWidth="1"/>
    <col min="5" max="5" width="19.453125" style="2" bestFit="1" customWidth="1"/>
    <col min="6" max="7" width="19.54296875" style="2" bestFit="1" customWidth="1"/>
    <col min="8" max="8" width="22.453125" style="2" customWidth="1"/>
    <col min="9" max="9" width="19.54296875" style="2" bestFit="1" customWidth="1"/>
    <col min="10" max="10" width="19.453125" style="2" bestFit="1" customWidth="1"/>
    <col min="11" max="11" width="19.54296875" style="2" bestFit="1" customWidth="1"/>
    <col min="12" max="16" width="20.453125" style="2" bestFit="1" customWidth="1"/>
    <col min="17" max="17" width="26.1796875" style="2" bestFit="1" customWidth="1"/>
    <col min="18" max="18" width="26.54296875" style="2" bestFit="1" customWidth="1"/>
    <col min="19" max="19" width="24.1796875" style="2" bestFit="1" customWidth="1"/>
    <col min="20" max="23" width="26.54296875" style="2" bestFit="1" customWidth="1"/>
    <col min="24" max="26" width="27" style="2" customWidth="1"/>
    <col min="27" max="29" width="19.453125" style="2" customWidth="1"/>
    <col min="30" max="31" width="26.1796875" style="2" bestFit="1" customWidth="1"/>
    <col min="32" max="32" width="25.54296875" style="2" bestFit="1" customWidth="1"/>
    <col min="33" max="33" width="24.81640625" style="2" bestFit="1" customWidth="1"/>
    <col min="34" max="34" width="25.54296875" style="2" bestFit="1" customWidth="1"/>
    <col min="35" max="35" width="26.1796875" style="2" bestFit="1" customWidth="1"/>
    <col min="36" max="36" width="24.81640625" style="2" bestFit="1" customWidth="1"/>
    <col min="37" max="37" width="26.1796875" style="2" bestFit="1" customWidth="1"/>
    <col min="38" max="38" width="24.453125" style="134" customWidth="1"/>
    <col min="39" max="39" width="18.453125" style="2" customWidth="1"/>
    <col min="40" max="16384" width="9.1796875" style="2"/>
  </cols>
  <sheetData>
    <row r="1" spans="1:39" ht="57.75" customHeight="1" x14ac:dyDescent="0.35">
      <c r="A1" s="271" t="s">
        <v>195</v>
      </c>
      <c r="B1" s="272"/>
      <c r="C1" s="272"/>
      <c r="D1" s="272"/>
      <c r="E1" s="272"/>
      <c r="F1" s="272"/>
      <c r="G1" s="272"/>
      <c r="H1" s="272"/>
      <c r="I1" s="272"/>
      <c r="J1" s="272"/>
      <c r="K1" s="272"/>
      <c r="L1" s="272"/>
      <c r="M1" s="272"/>
      <c r="N1" s="272"/>
      <c r="O1" s="272"/>
      <c r="P1" s="272"/>
      <c r="Q1" s="272"/>
      <c r="R1" s="272"/>
      <c r="S1" s="272"/>
      <c r="T1" s="272"/>
      <c r="U1" s="272"/>
      <c r="V1" s="272"/>
      <c r="W1" s="272"/>
      <c r="X1" s="272"/>
      <c r="Y1" s="272"/>
      <c r="Z1" s="272"/>
      <c r="AA1" s="272"/>
      <c r="AB1" s="272"/>
      <c r="AC1" s="272"/>
      <c r="AD1" s="272"/>
      <c r="AE1" s="272"/>
      <c r="AF1" s="272"/>
      <c r="AG1" s="272"/>
      <c r="AH1" s="272"/>
      <c r="AI1" s="272"/>
      <c r="AJ1" s="272"/>
      <c r="AK1" s="272"/>
      <c r="AL1" s="272"/>
      <c r="AM1" s="1"/>
    </row>
    <row r="2" spans="1:39" s="1" customFormat="1" ht="22.5" customHeight="1" x14ac:dyDescent="0.35">
      <c r="A2" s="273" t="s">
        <v>1</v>
      </c>
      <c r="B2" s="274" t="s">
        <v>196</v>
      </c>
      <c r="C2" s="275"/>
      <c r="D2" s="276"/>
      <c r="E2" s="139"/>
      <c r="F2" s="139"/>
      <c r="G2" s="139"/>
      <c r="H2" s="139"/>
      <c r="I2" s="139"/>
      <c r="J2" s="139"/>
      <c r="K2" s="139"/>
      <c r="L2" s="139"/>
      <c r="M2" s="139"/>
      <c r="N2" s="139"/>
      <c r="O2" s="139"/>
      <c r="P2" s="139"/>
      <c r="Q2" s="139"/>
      <c r="R2" s="139"/>
      <c r="S2" s="139"/>
      <c r="T2" s="141"/>
      <c r="U2" s="139"/>
      <c r="V2" s="139"/>
      <c r="W2" s="139"/>
      <c r="X2" s="139"/>
      <c r="Y2" s="139"/>
      <c r="Z2" s="139"/>
      <c r="AA2" s="139"/>
      <c r="AB2" s="139"/>
      <c r="AC2" s="139"/>
      <c r="AD2" s="141"/>
      <c r="AE2" s="141"/>
      <c r="AF2" s="141"/>
      <c r="AG2" s="141"/>
      <c r="AH2" s="141"/>
      <c r="AI2" s="139"/>
      <c r="AJ2" s="139"/>
      <c r="AK2" s="139"/>
      <c r="AL2" s="128"/>
    </row>
    <row r="3" spans="1:39" s="3" customFormat="1" ht="22.5" customHeight="1" x14ac:dyDescent="0.35">
      <c r="A3" s="273"/>
      <c r="B3" s="277" t="s">
        <v>6</v>
      </c>
      <c r="C3" s="277" t="s">
        <v>135</v>
      </c>
      <c r="D3" s="277" t="s">
        <v>8</v>
      </c>
      <c r="E3" s="139" t="s">
        <v>9</v>
      </c>
      <c r="F3" s="263" t="s">
        <v>10</v>
      </c>
      <c r="G3" s="264"/>
      <c r="H3" s="140" t="s">
        <v>11</v>
      </c>
      <c r="I3" s="278" t="s">
        <v>12</v>
      </c>
      <c r="J3" s="280"/>
      <c r="K3" s="278" t="s">
        <v>13</v>
      </c>
      <c r="L3" s="280"/>
      <c r="M3" s="280"/>
      <c r="N3" s="305" t="s">
        <v>136</v>
      </c>
      <c r="O3" s="305"/>
      <c r="P3" s="305"/>
      <c r="Q3" s="305" t="s">
        <v>15</v>
      </c>
      <c r="R3" s="305"/>
      <c r="S3" s="305"/>
      <c r="T3" s="278" t="s">
        <v>16</v>
      </c>
      <c r="U3" s="280"/>
      <c r="V3" s="280"/>
      <c r="W3" s="279"/>
      <c r="X3" s="278" t="s">
        <v>17</v>
      </c>
      <c r="Y3" s="280"/>
      <c r="Z3" s="279"/>
      <c r="AA3" s="278" t="s">
        <v>197</v>
      </c>
      <c r="AB3" s="280"/>
      <c r="AC3" s="280"/>
      <c r="AD3" s="305" t="s">
        <v>198</v>
      </c>
      <c r="AE3" s="305"/>
      <c r="AF3" s="305"/>
      <c r="AG3" s="305"/>
      <c r="AH3" s="305"/>
      <c r="AI3" s="278" t="s">
        <v>199</v>
      </c>
      <c r="AJ3" s="280"/>
      <c r="AK3" s="280"/>
      <c r="AL3" s="129"/>
      <c r="AM3" s="1"/>
    </row>
    <row r="4" spans="1:39" s="3" customFormat="1" ht="48" customHeight="1" x14ac:dyDescent="0.35">
      <c r="A4" s="273"/>
      <c r="B4" s="277"/>
      <c r="C4" s="277"/>
      <c r="D4" s="277"/>
      <c r="E4" s="10" t="s">
        <v>200</v>
      </c>
      <c r="F4" s="223" t="s">
        <v>201</v>
      </c>
      <c r="G4" s="223" t="s">
        <v>202</v>
      </c>
      <c r="H4" s="67" t="s">
        <v>203</v>
      </c>
      <c r="I4" s="45" t="s">
        <v>204</v>
      </c>
      <c r="J4" s="45" t="s">
        <v>205</v>
      </c>
      <c r="K4" s="46" t="s">
        <v>206</v>
      </c>
      <c r="L4" s="46" t="s">
        <v>207</v>
      </c>
      <c r="M4" s="46" t="s">
        <v>208</v>
      </c>
      <c r="N4" s="49" t="s">
        <v>209</v>
      </c>
      <c r="O4" s="49" t="s">
        <v>210</v>
      </c>
      <c r="P4" s="49" t="s">
        <v>211</v>
      </c>
      <c r="Q4" s="68">
        <v>45298</v>
      </c>
      <c r="R4" s="68">
        <v>45482</v>
      </c>
      <c r="S4" s="68" t="s">
        <v>212</v>
      </c>
      <c r="T4" s="80">
        <v>45502</v>
      </c>
      <c r="U4" s="80">
        <v>45512</v>
      </c>
      <c r="V4" s="80">
        <v>45513</v>
      </c>
      <c r="W4" s="80">
        <v>45524</v>
      </c>
      <c r="X4" s="85">
        <v>45533</v>
      </c>
      <c r="Y4" s="85">
        <v>45551</v>
      </c>
      <c r="Z4" s="85">
        <v>45559</v>
      </c>
      <c r="AA4" s="219">
        <v>45562</v>
      </c>
      <c r="AB4" s="219">
        <v>45575</v>
      </c>
      <c r="AC4" s="219">
        <v>45576</v>
      </c>
      <c r="AD4" s="85">
        <v>45593</v>
      </c>
      <c r="AE4" s="85">
        <v>45593</v>
      </c>
      <c r="AF4" s="85">
        <v>45598</v>
      </c>
      <c r="AG4" s="85">
        <v>45608</v>
      </c>
      <c r="AH4" s="85">
        <v>45621</v>
      </c>
      <c r="AI4" s="85">
        <v>45630</v>
      </c>
      <c r="AJ4" s="85">
        <v>45637</v>
      </c>
      <c r="AK4" s="85">
        <v>45649</v>
      </c>
      <c r="AL4" s="77" t="s">
        <v>60</v>
      </c>
      <c r="AM4" s="5"/>
    </row>
    <row r="5" spans="1:39" ht="50.15" customHeight="1" x14ac:dyDescent="0.35">
      <c r="A5" s="6">
        <v>1</v>
      </c>
      <c r="B5" s="7" t="s">
        <v>213</v>
      </c>
      <c r="C5" s="111">
        <v>35000</v>
      </c>
      <c r="D5" s="150" t="s">
        <v>214</v>
      </c>
      <c r="E5" s="10">
        <v>57</v>
      </c>
      <c r="F5" s="28">
        <v>41</v>
      </c>
      <c r="G5" s="28"/>
      <c r="H5" s="32">
        <v>48</v>
      </c>
      <c r="I5" s="37">
        <v>34</v>
      </c>
      <c r="J5" s="37">
        <v>42</v>
      </c>
      <c r="K5" s="41">
        <v>41</v>
      </c>
      <c r="L5" s="41">
        <v>35</v>
      </c>
      <c r="M5" s="41">
        <v>13</v>
      </c>
      <c r="N5" s="50">
        <v>40</v>
      </c>
      <c r="O5" s="50">
        <v>48</v>
      </c>
      <c r="P5" s="50">
        <v>48</v>
      </c>
      <c r="Q5" s="69">
        <v>38</v>
      </c>
      <c r="R5" s="69">
        <v>50</v>
      </c>
      <c r="S5" s="69">
        <v>47</v>
      </c>
      <c r="T5" s="81">
        <v>32</v>
      </c>
      <c r="U5" s="81">
        <v>35</v>
      </c>
      <c r="V5" s="81">
        <v>96</v>
      </c>
      <c r="W5" s="81">
        <v>48</v>
      </c>
      <c r="X5" s="86">
        <v>5</v>
      </c>
      <c r="Y5" s="86">
        <v>7</v>
      </c>
      <c r="Z5" s="86">
        <v>96</v>
      </c>
      <c r="AA5" s="220">
        <v>5</v>
      </c>
      <c r="AB5" s="220">
        <v>96</v>
      </c>
      <c r="AC5" s="220">
        <v>5</v>
      </c>
      <c r="AD5" s="86">
        <v>7</v>
      </c>
      <c r="AE5" s="86">
        <v>96</v>
      </c>
      <c r="AF5" s="86">
        <v>9</v>
      </c>
      <c r="AG5" s="86">
        <v>95</v>
      </c>
      <c r="AH5" s="86">
        <v>7</v>
      </c>
      <c r="AI5" s="86">
        <v>96</v>
      </c>
      <c r="AJ5" s="86">
        <v>5</v>
      </c>
      <c r="AK5" s="86">
        <v>50</v>
      </c>
      <c r="AL5" s="130">
        <f t="shared" ref="AL5:AL24" si="0">SUM(E5:AK5)</f>
        <v>1372</v>
      </c>
      <c r="AM5" s="26">
        <f>AL5*C5</f>
        <v>48020000</v>
      </c>
    </row>
    <row r="6" spans="1:39" hidden="1" x14ac:dyDescent="0.35">
      <c r="A6" s="6">
        <v>2</v>
      </c>
      <c r="B6" s="7" t="s">
        <v>215</v>
      </c>
      <c r="C6" s="111">
        <v>175000</v>
      </c>
      <c r="D6" s="9" t="s">
        <v>216</v>
      </c>
      <c r="E6" s="10"/>
      <c r="F6" s="28"/>
      <c r="G6" s="28"/>
      <c r="H6" s="32"/>
      <c r="I6" s="37"/>
      <c r="J6" s="37"/>
      <c r="K6" s="41"/>
      <c r="L6" s="41"/>
      <c r="M6" s="41"/>
      <c r="N6" s="50"/>
      <c r="O6" s="50"/>
      <c r="P6" s="50"/>
      <c r="Q6" s="69"/>
      <c r="R6" s="69"/>
      <c r="S6" s="69"/>
      <c r="T6" s="81"/>
      <c r="U6" s="81"/>
      <c r="V6" s="81"/>
      <c r="W6" s="81"/>
      <c r="X6" s="86"/>
      <c r="Y6" s="86"/>
      <c r="Z6" s="86"/>
      <c r="AA6" s="220"/>
      <c r="AB6" s="220"/>
      <c r="AC6" s="220"/>
      <c r="AD6" s="86"/>
      <c r="AE6" s="86"/>
      <c r="AF6" s="86"/>
      <c r="AG6" s="86"/>
      <c r="AH6" s="86"/>
      <c r="AI6" s="86"/>
      <c r="AJ6" s="86"/>
      <c r="AK6" s="86"/>
      <c r="AL6" s="130">
        <f t="shared" si="0"/>
        <v>0</v>
      </c>
    </row>
    <row r="7" spans="1:39" hidden="1" x14ac:dyDescent="0.35">
      <c r="A7" s="6">
        <v>3</v>
      </c>
      <c r="B7" s="7" t="s">
        <v>217</v>
      </c>
      <c r="C7" s="111">
        <v>5500</v>
      </c>
      <c r="D7" s="9" t="s">
        <v>218</v>
      </c>
      <c r="E7" s="10"/>
      <c r="F7" s="28"/>
      <c r="G7" s="28"/>
      <c r="H7" s="32"/>
      <c r="I7" s="37"/>
      <c r="J7" s="37"/>
      <c r="K7" s="41"/>
      <c r="L7" s="41"/>
      <c r="M7" s="41"/>
      <c r="N7" s="50"/>
      <c r="O7" s="50"/>
      <c r="P7" s="50"/>
      <c r="Q7" s="69"/>
      <c r="R7" s="69"/>
      <c r="S7" s="69"/>
      <c r="T7" s="81"/>
      <c r="U7" s="81"/>
      <c r="V7" s="81"/>
      <c r="W7" s="81"/>
      <c r="X7" s="86"/>
      <c r="Y7" s="86"/>
      <c r="Z7" s="86"/>
      <c r="AA7" s="220"/>
      <c r="AB7" s="220"/>
      <c r="AC7" s="220"/>
      <c r="AD7" s="86"/>
      <c r="AE7" s="86"/>
      <c r="AF7" s="86"/>
      <c r="AG7" s="86"/>
      <c r="AH7" s="86"/>
      <c r="AI7" s="86"/>
      <c r="AJ7" s="86"/>
      <c r="AK7" s="86"/>
      <c r="AL7" s="130">
        <f t="shared" si="0"/>
        <v>0</v>
      </c>
    </row>
    <row r="8" spans="1:39" ht="33" hidden="1" x14ac:dyDescent="0.35">
      <c r="A8" s="6">
        <v>4</v>
      </c>
      <c r="B8" s="7" t="s">
        <v>219</v>
      </c>
      <c r="C8" s="111">
        <v>6700</v>
      </c>
      <c r="D8" s="12" t="s">
        <v>220</v>
      </c>
      <c r="E8" s="11"/>
      <c r="F8" s="28"/>
      <c r="G8" s="28"/>
      <c r="H8" s="32"/>
      <c r="I8" s="37"/>
      <c r="J8" s="37"/>
      <c r="K8" s="41"/>
      <c r="L8" s="41"/>
      <c r="M8" s="41"/>
      <c r="N8" s="50"/>
      <c r="O8" s="50"/>
      <c r="P8" s="50"/>
      <c r="Q8" s="69"/>
      <c r="R8" s="69"/>
      <c r="S8" s="69"/>
      <c r="T8" s="81"/>
      <c r="U8" s="81"/>
      <c r="V8" s="81"/>
      <c r="W8" s="81"/>
      <c r="X8" s="86"/>
      <c r="Y8" s="86"/>
      <c r="Z8" s="86"/>
      <c r="AA8" s="220"/>
      <c r="AB8" s="220"/>
      <c r="AC8" s="220"/>
      <c r="AD8" s="86"/>
      <c r="AE8" s="86"/>
      <c r="AF8" s="86"/>
      <c r="AG8" s="86"/>
      <c r="AH8" s="86"/>
      <c r="AI8" s="86"/>
      <c r="AJ8" s="86"/>
      <c r="AK8" s="86"/>
      <c r="AL8" s="130">
        <f t="shared" si="0"/>
        <v>0</v>
      </c>
    </row>
    <row r="9" spans="1:39" ht="33" hidden="1" x14ac:dyDescent="0.35">
      <c r="A9" s="6">
        <v>5</v>
      </c>
      <c r="B9" s="7" t="s">
        <v>221</v>
      </c>
      <c r="C9" s="111">
        <v>6700</v>
      </c>
      <c r="D9" s="9" t="s">
        <v>222</v>
      </c>
      <c r="E9" s="11"/>
      <c r="F9" s="28"/>
      <c r="G9" s="28"/>
      <c r="H9" s="32"/>
      <c r="I9" s="37"/>
      <c r="J9" s="37"/>
      <c r="K9" s="41"/>
      <c r="L9" s="41"/>
      <c r="M9" s="41"/>
      <c r="N9" s="50"/>
      <c r="O9" s="50"/>
      <c r="P9" s="50"/>
      <c r="Q9" s="69"/>
      <c r="R9" s="69"/>
      <c r="S9" s="69"/>
      <c r="T9" s="81"/>
      <c r="U9" s="81"/>
      <c r="V9" s="81"/>
      <c r="W9" s="81"/>
      <c r="X9" s="86"/>
      <c r="Y9" s="86"/>
      <c r="Z9" s="86"/>
      <c r="AA9" s="220"/>
      <c r="AB9" s="220"/>
      <c r="AC9" s="220"/>
      <c r="AD9" s="86"/>
      <c r="AE9" s="86"/>
      <c r="AF9" s="86"/>
      <c r="AG9" s="86"/>
      <c r="AH9" s="86"/>
      <c r="AI9" s="86"/>
      <c r="AJ9" s="86"/>
      <c r="AK9" s="86"/>
      <c r="AL9" s="130">
        <f t="shared" si="0"/>
        <v>0</v>
      </c>
    </row>
    <row r="10" spans="1:39" hidden="1" x14ac:dyDescent="0.35">
      <c r="A10" s="6">
        <v>6</v>
      </c>
      <c r="B10" s="7" t="s">
        <v>223</v>
      </c>
      <c r="C10" s="111">
        <v>6700</v>
      </c>
      <c r="D10" s="9" t="s">
        <v>224</v>
      </c>
      <c r="E10" s="11"/>
      <c r="F10" s="28"/>
      <c r="G10" s="28"/>
      <c r="H10" s="32"/>
      <c r="I10" s="37"/>
      <c r="J10" s="37"/>
      <c r="K10" s="41"/>
      <c r="L10" s="41"/>
      <c r="M10" s="41"/>
      <c r="N10" s="50"/>
      <c r="O10" s="50"/>
      <c r="P10" s="50"/>
      <c r="Q10" s="69"/>
      <c r="R10" s="69"/>
      <c r="S10" s="69"/>
      <c r="T10" s="81"/>
      <c r="U10" s="81"/>
      <c r="V10" s="81"/>
      <c r="W10" s="81"/>
      <c r="X10" s="86"/>
      <c r="Y10" s="86"/>
      <c r="Z10" s="86"/>
      <c r="AA10" s="220"/>
      <c r="AB10" s="220"/>
      <c r="AC10" s="220"/>
      <c r="AD10" s="86"/>
      <c r="AE10" s="86"/>
      <c r="AF10" s="86"/>
      <c r="AG10" s="86"/>
      <c r="AH10" s="86"/>
      <c r="AI10" s="86"/>
      <c r="AJ10" s="86"/>
      <c r="AK10" s="86"/>
      <c r="AL10" s="130">
        <f t="shared" si="0"/>
        <v>0</v>
      </c>
    </row>
    <row r="11" spans="1:39" ht="50.15" customHeight="1" x14ac:dyDescent="0.35">
      <c r="A11" s="6">
        <v>7</v>
      </c>
      <c r="B11" s="7" t="s">
        <v>225</v>
      </c>
      <c r="C11" s="111">
        <v>6700</v>
      </c>
      <c r="D11" s="9" t="s">
        <v>226</v>
      </c>
      <c r="E11" s="11"/>
      <c r="F11" s="28"/>
      <c r="G11" s="28"/>
      <c r="H11" s="32"/>
      <c r="I11" s="37"/>
      <c r="J11" s="37"/>
      <c r="K11" s="41"/>
      <c r="L11" s="41"/>
      <c r="M11" s="41"/>
      <c r="N11" s="50"/>
      <c r="O11" s="50"/>
      <c r="P11" s="50"/>
      <c r="Q11" s="69"/>
      <c r="R11" s="69"/>
      <c r="S11" s="69"/>
      <c r="T11" s="81"/>
      <c r="U11" s="81"/>
      <c r="V11" s="81"/>
      <c r="W11" s="81"/>
      <c r="X11" s="86"/>
      <c r="Y11" s="86">
        <v>20</v>
      </c>
      <c r="Z11" s="86"/>
      <c r="AA11" s="220"/>
      <c r="AB11" s="220"/>
      <c r="AC11" s="220"/>
      <c r="AD11" s="86"/>
      <c r="AE11" s="86"/>
      <c r="AF11" s="86"/>
      <c r="AG11" s="86"/>
      <c r="AH11" s="86"/>
      <c r="AI11" s="86"/>
      <c r="AJ11" s="86">
        <v>20</v>
      </c>
      <c r="AK11" s="86"/>
      <c r="AL11" s="130">
        <f t="shared" si="0"/>
        <v>40</v>
      </c>
    </row>
    <row r="12" spans="1:39" ht="33" x14ac:dyDescent="0.35">
      <c r="A12" s="6">
        <v>8</v>
      </c>
      <c r="B12" s="7" t="s">
        <v>227</v>
      </c>
      <c r="C12" s="111">
        <v>6700</v>
      </c>
      <c r="D12" s="9" t="s">
        <v>228</v>
      </c>
      <c r="E12" s="11"/>
      <c r="F12" s="28"/>
      <c r="G12" s="28">
        <v>100</v>
      </c>
      <c r="H12" s="32"/>
      <c r="I12" s="37"/>
      <c r="J12" s="37">
        <v>238</v>
      </c>
      <c r="K12" s="41"/>
      <c r="L12" s="41"/>
      <c r="M12" s="41"/>
      <c r="N12" s="50"/>
      <c r="O12" s="50"/>
      <c r="P12" s="50"/>
      <c r="Q12" s="69"/>
      <c r="R12" s="69">
        <v>10</v>
      </c>
      <c r="S12" s="69">
        <v>50</v>
      </c>
      <c r="T12" s="81">
        <v>100</v>
      </c>
      <c r="U12" s="81">
        <v>50</v>
      </c>
      <c r="V12" s="81"/>
      <c r="W12" s="81"/>
      <c r="X12" s="218"/>
      <c r="Y12" s="218">
        <v>30</v>
      </c>
      <c r="Z12" s="218"/>
      <c r="AA12" s="220">
        <v>20</v>
      </c>
      <c r="AB12" s="220"/>
      <c r="AC12" s="220">
        <v>50</v>
      </c>
      <c r="AD12" s="86"/>
      <c r="AE12" s="86"/>
      <c r="AF12" s="86"/>
      <c r="AG12" s="86">
        <v>50</v>
      </c>
      <c r="AH12" s="86">
        <v>30</v>
      </c>
      <c r="AI12" s="86"/>
      <c r="AJ12" s="86">
        <v>35</v>
      </c>
      <c r="AK12" s="86">
        <v>27</v>
      </c>
      <c r="AL12" s="130">
        <f t="shared" si="0"/>
        <v>790</v>
      </c>
    </row>
    <row r="13" spans="1:39" ht="49.5" x14ac:dyDescent="0.35">
      <c r="A13" s="6">
        <v>9</v>
      </c>
      <c r="B13" s="7" t="s">
        <v>229</v>
      </c>
      <c r="C13" s="111">
        <v>6700</v>
      </c>
      <c r="D13" s="12" t="s">
        <v>230</v>
      </c>
      <c r="E13" s="11">
        <v>700</v>
      </c>
      <c r="F13" s="28">
        <v>1330</v>
      </c>
      <c r="G13" s="28">
        <v>4340</v>
      </c>
      <c r="H13" s="32">
        <v>910</v>
      </c>
      <c r="I13" s="37">
        <v>1750</v>
      </c>
      <c r="J13" s="37">
        <v>1370</v>
      </c>
      <c r="K13" s="41">
        <v>1742</v>
      </c>
      <c r="L13" s="41">
        <v>1725</v>
      </c>
      <c r="M13" s="41">
        <v>1835</v>
      </c>
      <c r="N13" s="50">
        <v>1120</v>
      </c>
      <c r="O13" s="50">
        <v>1440</v>
      </c>
      <c r="P13" s="50">
        <v>840</v>
      </c>
      <c r="Q13" s="69">
        <v>1540</v>
      </c>
      <c r="R13" s="69">
        <v>1190</v>
      </c>
      <c r="S13" s="69">
        <v>700</v>
      </c>
      <c r="T13" s="81">
        <v>1890</v>
      </c>
      <c r="U13" s="81">
        <v>1750</v>
      </c>
      <c r="V13" s="81"/>
      <c r="W13" s="81">
        <v>1890</v>
      </c>
      <c r="X13" s="218">
        <v>3500</v>
      </c>
      <c r="Y13" s="218">
        <v>2000</v>
      </c>
      <c r="Z13" s="218"/>
      <c r="AA13" s="220">
        <v>1770</v>
      </c>
      <c r="AB13" s="220"/>
      <c r="AC13" s="220">
        <v>1695</v>
      </c>
      <c r="AD13" s="86">
        <v>1405</v>
      </c>
      <c r="AE13" s="86"/>
      <c r="AF13" s="86">
        <v>2176</v>
      </c>
      <c r="AG13" s="86">
        <v>2015</v>
      </c>
      <c r="AH13" s="86">
        <v>915</v>
      </c>
      <c r="AI13" s="86"/>
      <c r="AJ13" s="86">
        <v>2067</v>
      </c>
      <c r="AK13" s="86">
        <v>1146</v>
      </c>
      <c r="AL13" s="130">
        <f t="shared" si="0"/>
        <v>46751</v>
      </c>
    </row>
    <row r="14" spans="1:39" hidden="1" x14ac:dyDescent="0.35">
      <c r="A14" s="6">
        <v>10</v>
      </c>
      <c r="B14" s="7" t="s">
        <v>231</v>
      </c>
      <c r="C14" s="111">
        <v>5500</v>
      </c>
      <c r="D14" s="12" t="s">
        <v>232</v>
      </c>
      <c r="E14" s="11"/>
      <c r="F14" s="28"/>
      <c r="G14" s="28"/>
      <c r="H14" s="32"/>
      <c r="I14" s="37"/>
      <c r="J14" s="37"/>
      <c r="K14" s="41"/>
      <c r="L14" s="41"/>
      <c r="M14" s="41"/>
      <c r="N14" s="50"/>
      <c r="O14" s="50"/>
      <c r="P14" s="50"/>
      <c r="Q14" s="69"/>
      <c r="R14" s="69"/>
      <c r="S14" s="69"/>
      <c r="T14" s="81"/>
      <c r="U14" s="81"/>
      <c r="V14" s="81"/>
      <c r="W14" s="81"/>
      <c r="X14" s="218"/>
      <c r="Y14" s="218"/>
      <c r="Z14" s="218"/>
      <c r="AA14" s="220"/>
      <c r="AB14" s="220"/>
      <c r="AC14" s="220"/>
      <c r="AD14" s="86"/>
      <c r="AE14" s="86"/>
      <c r="AF14" s="86"/>
      <c r="AG14" s="86"/>
      <c r="AH14" s="86"/>
      <c r="AI14" s="86"/>
      <c r="AJ14" s="86"/>
      <c r="AK14" s="86"/>
      <c r="AL14" s="130">
        <f t="shared" si="0"/>
        <v>0</v>
      </c>
    </row>
    <row r="15" spans="1:39" ht="33" x14ac:dyDescent="0.35">
      <c r="A15" s="6">
        <v>11</v>
      </c>
      <c r="B15" s="7" t="s">
        <v>233</v>
      </c>
      <c r="C15" s="111">
        <v>6700</v>
      </c>
      <c r="D15" s="12" t="s">
        <v>234</v>
      </c>
      <c r="E15" s="11"/>
      <c r="F15" s="28"/>
      <c r="G15" s="28"/>
      <c r="H15" s="32"/>
      <c r="I15" s="37"/>
      <c r="J15" s="37"/>
      <c r="K15" s="41"/>
      <c r="L15" s="41"/>
      <c r="M15" s="41"/>
      <c r="N15" s="50"/>
      <c r="O15" s="50">
        <v>15</v>
      </c>
      <c r="P15" s="50"/>
      <c r="Q15" s="69"/>
      <c r="R15" s="69"/>
      <c r="S15" s="69"/>
      <c r="T15" s="81"/>
      <c r="U15" s="81"/>
      <c r="V15" s="81"/>
      <c r="W15" s="81"/>
      <c r="X15" s="218">
        <v>50</v>
      </c>
      <c r="Y15" s="218"/>
      <c r="Z15" s="218"/>
      <c r="AA15" s="220"/>
      <c r="AB15" s="220"/>
      <c r="AC15" s="220"/>
      <c r="AD15" s="86"/>
      <c r="AE15" s="86"/>
      <c r="AF15" s="86">
        <v>20</v>
      </c>
      <c r="AG15" s="86">
        <v>45</v>
      </c>
      <c r="AH15" s="86"/>
      <c r="AI15" s="86"/>
      <c r="AJ15" s="86">
        <v>25</v>
      </c>
      <c r="AK15" s="86"/>
      <c r="AL15" s="130">
        <f t="shared" si="0"/>
        <v>155</v>
      </c>
    </row>
    <row r="16" spans="1:39" ht="33" x14ac:dyDescent="0.35">
      <c r="A16" s="6">
        <v>12</v>
      </c>
      <c r="B16" s="7" t="s">
        <v>235</v>
      </c>
      <c r="C16" s="111">
        <v>5500</v>
      </c>
      <c r="D16" s="12" t="s">
        <v>236</v>
      </c>
      <c r="E16" s="11"/>
      <c r="F16" s="28"/>
      <c r="G16" s="28"/>
      <c r="H16" s="32"/>
      <c r="I16" s="37"/>
      <c r="J16" s="37"/>
      <c r="K16" s="41"/>
      <c r="L16" s="41"/>
      <c r="M16" s="41">
        <v>1600</v>
      </c>
      <c r="N16" s="50"/>
      <c r="O16" s="50"/>
      <c r="P16" s="50"/>
      <c r="Q16" s="69"/>
      <c r="R16" s="69"/>
      <c r="S16" s="69"/>
      <c r="T16" s="81"/>
      <c r="U16" s="81"/>
      <c r="V16" s="81"/>
      <c r="W16" s="81"/>
      <c r="X16" s="218"/>
      <c r="Y16" s="218"/>
      <c r="Z16" s="218"/>
      <c r="AA16" s="220"/>
      <c r="AB16" s="220"/>
      <c r="AC16" s="220"/>
      <c r="AD16" s="86"/>
      <c r="AE16" s="86"/>
      <c r="AF16" s="86"/>
      <c r="AG16" s="86"/>
      <c r="AH16" s="86"/>
      <c r="AI16" s="86"/>
      <c r="AJ16" s="86"/>
      <c r="AK16" s="86"/>
      <c r="AL16" s="130">
        <f t="shared" si="0"/>
        <v>1600</v>
      </c>
    </row>
    <row r="17" spans="1:39" ht="33" x14ac:dyDescent="0.35">
      <c r="A17" s="6">
        <v>13</v>
      </c>
      <c r="B17" s="7" t="s">
        <v>237</v>
      </c>
      <c r="C17" s="111">
        <v>5500</v>
      </c>
      <c r="D17" s="12" t="s">
        <v>238</v>
      </c>
      <c r="E17" s="11">
        <v>2427</v>
      </c>
      <c r="F17" s="28">
        <v>2974</v>
      </c>
      <c r="G17" s="28">
        <v>1210</v>
      </c>
      <c r="H17" s="32">
        <v>2718</v>
      </c>
      <c r="I17" s="37">
        <v>2236</v>
      </c>
      <c r="J17" s="37">
        <v>800</v>
      </c>
      <c r="K17" s="41">
        <v>1080</v>
      </c>
      <c r="L17" s="41">
        <v>2515</v>
      </c>
      <c r="M17" s="41"/>
      <c r="N17" s="50">
        <v>2945</v>
      </c>
      <c r="O17" s="50">
        <v>1785</v>
      </c>
      <c r="P17" s="50">
        <v>2940</v>
      </c>
      <c r="Q17" s="69">
        <v>2650</v>
      </c>
      <c r="R17" s="69">
        <v>1370</v>
      </c>
      <c r="S17" s="69">
        <v>1670</v>
      </c>
      <c r="T17" s="81">
        <v>1548</v>
      </c>
      <c r="U17" s="81">
        <v>814</v>
      </c>
      <c r="V17" s="81"/>
      <c r="W17" s="81">
        <v>340</v>
      </c>
      <c r="X17" s="218">
        <v>350</v>
      </c>
      <c r="Y17" s="218">
        <v>2200</v>
      </c>
      <c r="Z17" s="218"/>
      <c r="AA17" s="220">
        <v>900</v>
      </c>
      <c r="AB17" s="220"/>
      <c r="AC17" s="220">
        <v>900</v>
      </c>
      <c r="AD17" s="86">
        <v>900</v>
      </c>
      <c r="AE17" s="86"/>
      <c r="AF17" s="86"/>
      <c r="AG17" s="86">
        <v>1000</v>
      </c>
      <c r="AH17" s="86">
        <v>800</v>
      </c>
      <c r="AI17" s="86"/>
      <c r="AJ17" s="86">
        <v>1000</v>
      </c>
      <c r="AK17" s="86">
        <v>400</v>
      </c>
      <c r="AL17" s="130">
        <f t="shared" si="0"/>
        <v>40472</v>
      </c>
    </row>
    <row r="18" spans="1:39" ht="33" hidden="1" x14ac:dyDescent="0.35">
      <c r="A18" s="6">
        <v>14</v>
      </c>
      <c r="B18" s="7" t="s">
        <v>239</v>
      </c>
      <c r="C18" s="111">
        <v>5500</v>
      </c>
      <c r="D18" s="12" t="s">
        <v>240</v>
      </c>
      <c r="E18" s="11"/>
      <c r="F18" s="28"/>
      <c r="G18" s="28"/>
      <c r="H18" s="32"/>
      <c r="I18" s="37"/>
      <c r="J18" s="37"/>
      <c r="K18" s="41"/>
      <c r="L18" s="41"/>
      <c r="M18" s="41"/>
      <c r="N18" s="50"/>
      <c r="O18" s="50"/>
      <c r="P18" s="50"/>
      <c r="Q18" s="69"/>
      <c r="R18" s="69"/>
      <c r="S18" s="69"/>
      <c r="T18" s="81"/>
      <c r="U18" s="81"/>
      <c r="V18" s="81"/>
      <c r="W18" s="81"/>
      <c r="X18" s="218"/>
      <c r="Y18" s="218"/>
      <c r="Z18" s="218"/>
      <c r="AA18" s="220"/>
      <c r="AB18" s="220"/>
      <c r="AC18" s="220"/>
      <c r="AD18" s="86"/>
      <c r="AE18" s="86"/>
      <c r="AF18" s="86"/>
      <c r="AG18" s="86"/>
      <c r="AH18" s="86"/>
      <c r="AI18" s="86"/>
      <c r="AJ18" s="86"/>
      <c r="AK18" s="86"/>
      <c r="AL18" s="130">
        <f t="shared" si="0"/>
        <v>0</v>
      </c>
    </row>
    <row r="19" spans="1:39" ht="33" x14ac:dyDescent="0.35">
      <c r="A19" s="6">
        <v>15</v>
      </c>
      <c r="B19" s="7" t="s">
        <v>241</v>
      </c>
      <c r="C19" s="111">
        <v>5500</v>
      </c>
      <c r="D19" s="12" t="s">
        <v>242</v>
      </c>
      <c r="E19" s="11">
        <v>200</v>
      </c>
      <c r="F19" s="28">
        <v>200</v>
      </c>
      <c r="G19" s="28"/>
      <c r="H19" s="32"/>
      <c r="I19" s="37">
        <v>800</v>
      </c>
      <c r="J19" s="37">
        <v>600</v>
      </c>
      <c r="K19" s="41">
        <v>400</v>
      </c>
      <c r="L19" s="41">
        <v>600</v>
      </c>
      <c r="M19" s="41">
        <v>1200</v>
      </c>
      <c r="N19" s="50"/>
      <c r="O19" s="50">
        <v>1600</v>
      </c>
      <c r="P19" s="50">
        <v>800</v>
      </c>
      <c r="Q19" s="69">
        <v>1200</v>
      </c>
      <c r="R19" s="69">
        <v>400</v>
      </c>
      <c r="S19" s="69">
        <v>400</v>
      </c>
      <c r="T19" s="81">
        <v>1600</v>
      </c>
      <c r="U19" s="81">
        <v>600</v>
      </c>
      <c r="V19" s="81"/>
      <c r="W19" s="81">
        <v>1600</v>
      </c>
      <c r="X19" s="218">
        <v>1000</v>
      </c>
      <c r="Y19" s="218">
        <v>1400</v>
      </c>
      <c r="Z19" s="218"/>
      <c r="AA19" s="220">
        <v>1000</v>
      </c>
      <c r="AB19" s="220"/>
      <c r="AC19" s="220">
        <v>1000</v>
      </c>
      <c r="AD19" s="86">
        <v>1400</v>
      </c>
      <c r="AE19" s="86"/>
      <c r="AF19" s="86">
        <v>1800</v>
      </c>
      <c r="AG19" s="86">
        <v>1000</v>
      </c>
      <c r="AH19" s="86">
        <v>1400</v>
      </c>
      <c r="AI19" s="86"/>
      <c r="AJ19" s="86">
        <v>1000</v>
      </c>
      <c r="AK19" s="86">
        <v>1200</v>
      </c>
      <c r="AL19" s="130">
        <f t="shared" si="0"/>
        <v>24400</v>
      </c>
    </row>
    <row r="20" spans="1:39" ht="33" hidden="1" x14ac:dyDescent="0.35">
      <c r="A20" s="6">
        <v>16</v>
      </c>
      <c r="B20" s="7" t="s">
        <v>243</v>
      </c>
      <c r="C20" s="111">
        <v>5500</v>
      </c>
      <c r="D20" s="12" t="s">
        <v>244</v>
      </c>
      <c r="E20" s="11"/>
      <c r="F20" s="28"/>
      <c r="G20" s="28"/>
      <c r="H20" s="32"/>
      <c r="I20" s="37"/>
      <c r="J20" s="37"/>
      <c r="K20" s="41"/>
      <c r="L20" s="41"/>
      <c r="M20" s="41"/>
      <c r="N20" s="50"/>
      <c r="O20" s="50"/>
      <c r="P20" s="50"/>
      <c r="Q20" s="69"/>
      <c r="R20" s="69"/>
      <c r="S20" s="69"/>
      <c r="T20" s="81"/>
      <c r="U20" s="81"/>
      <c r="V20" s="81"/>
      <c r="W20" s="81"/>
      <c r="X20" s="218"/>
      <c r="Y20" s="218"/>
      <c r="Z20" s="218"/>
      <c r="AA20" s="220"/>
      <c r="AB20" s="220"/>
      <c r="AC20" s="220"/>
      <c r="AD20" s="86"/>
      <c r="AE20" s="86"/>
      <c r="AF20" s="86"/>
      <c r="AG20" s="86"/>
      <c r="AH20" s="86"/>
      <c r="AI20" s="86"/>
      <c r="AJ20" s="86"/>
      <c r="AK20" s="86"/>
      <c r="AL20" s="130">
        <f t="shared" si="0"/>
        <v>0</v>
      </c>
    </row>
    <row r="21" spans="1:39" ht="33" x14ac:dyDescent="0.35">
      <c r="A21" s="6">
        <v>17</v>
      </c>
      <c r="B21" s="7" t="s">
        <v>245</v>
      </c>
      <c r="C21" s="111">
        <v>5500</v>
      </c>
      <c r="D21" s="9" t="s">
        <v>246</v>
      </c>
      <c r="E21" s="11"/>
      <c r="F21" s="28"/>
      <c r="G21" s="28"/>
      <c r="H21" s="32"/>
      <c r="I21" s="37"/>
      <c r="J21" s="37"/>
      <c r="K21" s="41">
        <v>283</v>
      </c>
      <c r="L21" s="41"/>
      <c r="M21" s="41"/>
      <c r="N21" s="50"/>
      <c r="O21" s="50"/>
      <c r="P21" s="50"/>
      <c r="Q21" s="69"/>
      <c r="R21" s="69"/>
      <c r="S21" s="69"/>
      <c r="T21" s="81"/>
      <c r="U21" s="81"/>
      <c r="V21" s="81"/>
      <c r="W21" s="81"/>
      <c r="X21" s="218"/>
      <c r="Y21" s="218"/>
      <c r="Z21" s="218"/>
      <c r="AA21" s="220"/>
      <c r="AB21" s="220"/>
      <c r="AC21" s="220"/>
      <c r="AD21" s="86"/>
      <c r="AE21" s="86"/>
      <c r="AF21" s="86"/>
      <c r="AG21" s="86"/>
      <c r="AH21" s="86"/>
      <c r="AI21" s="86"/>
      <c r="AJ21" s="86"/>
      <c r="AK21" s="86"/>
      <c r="AL21" s="130">
        <f t="shared" si="0"/>
        <v>283</v>
      </c>
    </row>
    <row r="22" spans="1:39" ht="33" x14ac:dyDescent="0.35">
      <c r="A22" s="6">
        <v>18</v>
      </c>
      <c r="B22" s="7" t="s">
        <v>247</v>
      </c>
      <c r="C22" s="111">
        <v>5500</v>
      </c>
      <c r="D22" s="12" t="s">
        <v>248</v>
      </c>
      <c r="E22" s="11">
        <v>200</v>
      </c>
      <c r="F22" s="28">
        <v>231</v>
      </c>
      <c r="G22" s="28"/>
      <c r="H22" s="113">
        <v>123</v>
      </c>
      <c r="I22" s="138">
        <v>303</v>
      </c>
      <c r="J22" s="37">
        <v>383</v>
      </c>
      <c r="K22" s="41">
        <v>319</v>
      </c>
      <c r="L22" s="41">
        <v>100</v>
      </c>
      <c r="M22" s="41">
        <v>280</v>
      </c>
      <c r="N22" s="50">
        <v>100</v>
      </c>
      <c r="O22" s="50">
        <v>160</v>
      </c>
      <c r="P22" s="50">
        <v>50</v>
      </c>
      <c r="Q22" s="69">
        <v>300</v>
      </c>
      <c r="R22" s="69">
        <v>600</v>
      </c>
      <c r="S22" s="69">
        <v>500</v>
      </c>
      <c r="T22" s="81">
        <v>600</v>
      </c>
      <c r="U22" s="81">
        <v>600</v>
      </c>
      <c r="V22" s="81"/>
      <c r="W22" s="81">
        <v>200</v>
      </c>
      <c r="X22" s="218">
        <v>530</v>
      </c>
      <c r="Y22" s="218">
        <v>450</v>
      </c>
      <c r="Z22" s="218"/>
      <c r="AA22" s="220">
        <v>300</v>
      </c>
      <c r="AB22" s="220"/>
      <c r="AC22" s="220">
        <v>600</v>
      </c>
      <c r="AD22" s="86">
        <v>710</v>
      </c>
      <c r="AE22" s="86"/>
      <c r="AF22" s="86">
        <v>379</v>
      </c>
      <c r="AG22" s="86">
        <v>520</v>
      </c>
      <c r="AH22" s="86">
        <v>720</v>
      </c>
      <c r="AI22" s="86"/>
      <c r="AJ22" s="86">
        <v>618</v>
      </c>
      <c r="AK22" s="86">
        <v>480</v>
      </c>
      <c r="AL22" s="130">
        <f t="shared" si="0"/>
        <v>10356</v>
      </c>
    </row>
    <row r="23" spans="1:39" s="3" customFormat="1" ht="29.25" customHeight="1" x14ac:dyDescent="0.35">
      <c r="A23" s="13"/>
      <c r="B23" s="14" t="s">
        <v>71</v>
      </c>
      <c r="C23" s="15"/>
      <c r="D23" s="16"/>
      <c r="E23" s="18">
        <f>SUM(E5:E22)</f>
        <v>3584</v>
      </c>
      <c r="F23" s="29">
        <f>SUM(F5:F22)</f>
        <v>4776</v>
      </c>
      <c r="G23" s="29">
        <f t="shared" ref="G23:J23" si="1">SUM(G5:G22)</f>
        <v>5650</v>
      </c>
      <c r="H23" s="34">
        <f t="shared" si="1"/>
        <v>3799</v>
      </c>
      <c r="I23" s="38">
        <f t="shared" si="1"/>
        <v>5123</v>
      </c>
      <c r="J23" s="38">
        <f t="shared" si="1"/>
        <v>3433</v>
      </c>
      <c r="K23" s="42">
        <f>SUM(K5:K22)</f>
        <v>3865</v>
      </c>
      <c r="L23" s="42">
        <f t="shared" ref="L23:M23" si="2">SUM(L5:L22)</f>
        <v>4975</v>
      </c>
      <c r="M23" s="42">
        <f t="shared" si="2"/>
        <v>4928</v>
      </c>
      <c r="N23" s="52">
        <f>SUM(N5:N22)</f>
        <v>4205</v>
      </c>
      <c r="O23" s="52">
        <f>SUM(O5:O22)</f>
        <v>5048</v>
      </c>
      <c r="P23" s="52">
        <f>SUM(P5:P22)</f>
        <v>4678</v>
      </c>
      <c r="Q23" s="69">
        <f t="shared" ref="Q23:AK23" si="3">SUM(Q5:Q22)</f>
        <v>5728</v>
      </c>
      <c r="R23" s="69">
        <f>SUM(R5:R22)</f>
        <v>3620</v>
      </c>
      <c r="S23" s="69">
        <f t="shared" si="3"/>
        <v>3367</v>
      </c>
      <c r="T23" s="81">
        <f t="shared" si="3"/>
        <v>5770</v>
      </c>
      <c r="U23" s="81">
        <f t="shared" si="3"/>
        <v>3849</v>
      </c>
      <c r="V23" s="81">
        <f t="shared" si="3"/>
        <v>96</v>
      </c>
      <c r="W23" s="81">
        <f t="shared" si="3"/>
        <v>4078</v>
      </c>
      <c r="X23" s="216">
        <f t="shared" si="3"/>
        <v>5435</v>
      </c>
      <c r="Y23" s="216">
        <f t="shared" si="3"/>
        <v>6107</v>
      </c>
      <c r="Z23" s="216">
        <f t="shared" si="3"/>
        <v>96</v>
      </c>
      <c r="AA23" s="220">
        <f t="shared" si="3"/>
        <v>3995</v>
      </c>
      <c r="AB23" s="220">
        <f t="shared" si="3"/>
        <v>96</v>
      </c>
      <c r="AC23" s="220">
        <f t="shared" si="3"/>
        <v>4250</v>
      </c>
      <c r="AD23" s="86">
        <f>SUM(AD5:AD22)</f>
        <v>4422</v>
      </c>
      <c r="AE23" s="86">
        <f>SUM(AE5:AE22)</f>
        <v>96</v>
      </c>
      <c r="AF23" s="86">
        <f>SUM(AF5:AF22)</f>
        <v>4384</v>
      </c>
      <c r="AG23" s="86">
        <f>SUM(AG5:AG22)</f>
        <v>4725</v>
      </c>
      <c r="AH23" s="86">
        <f>SUM(AH5:AH22)</f>
        <v>3872</v>
      </c>
      <c r="AI23" s="86">
        <f t="shared" si="3"/>
        <v>96</v>
      </c>
      <c r="AJ23" s="86">
        <f t="shared" si="3"/>
        <v>4770</v>
      </c>
      <c r="AK23" s="86">
        <f t="shared" si="3"/>
        <v>3303</v>
      </c>
      <c r="AL23" s="130">
        <f t="shared" si="0"/>
        <v>126219</v>
      </c>
    </row>
    <row r="24" spans="1:39" s="164" customFormat="1" ht="29.25" customHeight="1" x14ac:dyDescent="0.35">
      <c r="A24" s="151"/>
      <c r="B24" s="152" t="s">
        <v>72</v>
      </c>
      <c r="C24" s="153"/>
      <c r="D24" s="154"/>
      <c r="E24" s="155">
        <f>E5*$C$5+E6*$C$6+E7*$C$7+E8*$C$8+E9*$C$9+E10*$C$10+E11*$C$11+E12*$C$12+E13*$C$13+E14*$C$14+E15*$C$15+E16*$C$16+E17*$C$17+E18*$C$18+E19*$C$19+E20*$C$20+E21*$C$21+E22*$C$22</f>
        <v>22233500</v>
      </c>
      <c r="F24" s="156">
        <f>F5*$C$5+F6*$C$6+F7*$C$7+F8*$C$8+F9*$C$9+F10*$C$10+F11*$C$11+F12*$C$12+F13*$C$13+F14*$C$14+F15*$C$15+F16*$C$16+F17*$C$17+F18*$C$18+F19*$C$19+F20*$C$20+F21*$C$21+F22*$C$22</f>
        <v>29073500</v>
      </c>
      <c r="G24" s="156">
        <f>G5*$C$5+G6*$C$6+G7*$C$7+G8*$C$8+G9*$C$9+G10*$C$10+G11*$C$11+G12*$C$12+G13*$C$13+G14*$C$14+G15*$C$15+G16*$C$16+G17*$C$17+G18*$C$18+G19*$C$19+G20*$C$20+G21*$C$21+G22*$C$22</f>
        <v>36403000</v>
      </c>
      <c r="H24" s="157">
        <f t="shared" ref="H24:U24" si="4">H5*$C$5+H6*$C$6+H7*$C$7+H8*$C$8+H9*$C$9+H10*$C$10+H11*$C$11+H12*$C$12+H13*$C$13+H14*$C$14+H15*$C$15+H16*$C$16+H17*$C$17+H18*$C$18+H19*$C$19+H20*$C$20+H21*$C$21+H22*$C$22</f>
        <v>23402500</v>
      </c>
      <c r="I24" s="158">
        <f>I5*$C$5+I6*$C$6+I7*$C$7+I8*$C$8+I9*$C$9+I10*$C$10+I11*$C$11+I12*$C$12+I13*$C$13+I14*$C$14+I15*$C$15+I16*$C$16+I17*$C$17+I18*$C$18+I19*$C$19+I20*$C$20+I21*$C$21+I22*$C$22</f>
        <v>31279500</v>
      </c>
      <c r="J24" s="158">
        <f t="shared" si="4"/>
        <v>22050100</v>
      </c>
      <c r="K24" s="159">
        <f t="shared" si="4"/>
        <v>24557400</v>
      </c>
      <c r="L24" s="159">
        <f t="shared" si="4"/>
        <v>30465000</v>
      </c>
      <c r="M24" s="159">
        <f t="shared" si="4"/>
        <v>29689500</v>
      </c>
      <c r="N24" s="160">
        <f>N5*$C$5+N6*$C$6+N7*$C$7+N8*$C$8+N9*$C$9+N10*$C$10+N11*$C$11+N12*$C$12+N13*$C$13+N14*$C$14+N15*$C$15+N16*$C$16+N17*$C$17+N18*$C$18+N19*$C$19+N20*$C$20+N21*$C$21+N22*$C$22</f>
        <v>25651500</v>
      </c>
      <c r="O24" s="160">
        <f>O5*$C$5+O6*$C$6+O7*$C$7+O8*$C$8+O9*$C$9+O10*$C$10+O11*$C$11+O12*$C$12+O13*$C$13+O14*$C$14+O15*$C$15+O16*$C$16+O17*$C$17+O18*$C$18+O19*$C$19+O20*$C$20+O21*$C$21+O22*$C$22</f>
        <v>30926000</v>
      </c>
      <c r="P24" s="160">
        <f>P5*$C$5+P6*$C$6+P7*$C$7+P8*$C$8+P9*$C$9+P10*$C$10+P11*$C$11+P12*$C$12+P13*$C$13+P14*$C$14+P15*$C$15+P16*$C$16+P17*$C$17+P18*$C$18+P19*$C$19+P20*$C$20+P21*$C$21+P22*$C$22</f>
        <v>28153000</v>
      </c>
      <c r="Q24" s="161">
        <f>Q5*$C$5+Q6*$C$6+Q7*$C$7+Q8*$C$8+Q9*$C$9+Q10*$C$10+Q11*$C$11+Q12*$C$12+Q13*$C$13+Q14*$C$14+Q15*$C$15+Q16*$C$16+Q17*$C$17+Q18*$C$18+Q19*$C$19+Q20*$C$20+Q21*$C$21+Q22*$C$22</f>
        <v>34473000</v>
      </c>
      <c r="R24" s="161">
        <f>R5*$C$5+R6*$C$6+R7*$C$7+R8*$C$8+R9*$C$9+R10*$C$10+R11*$C$11+R12*$C$12+R13*$C$13+R14*$C$14+R15*$C$15+R16*$C$16+R17*$C$17+R18*$C$18+R19*$C$19+R20*$C$20+R21*$C$21+R22*$C$22</f>
        <v>22825000</v>
      </c>
      <c r="S24" s="161">
        <f t="shared" ref="S24" si="5">S5*$C$5+S6*$C$6+S7*$C$7+S8*$C$8+S9*$C$9+S10*$C$10+S11*$C$11+S12*$C$12+S13*$C$13+S14*$C$14+S15*$C$15+S16*$C$16+S17*$C$17+S18*$C$18+S19*$C$19+S20*$C$20+S21*$C$21+S22*$C$22</f>
        <v>20805000</v>
      </c>
      <c r="T24" s="162">
        <f>T5*$C$5+T6*$C$6+T7*$C$7+T8*$C$8+T9*$C$9+T10*$C$10+T11*$C$11+T12*$C$12+T13*$C$13+T14*$C$14+T15*$C$15+T16*$C$16+T17*$C$17+T18*$C$18+T19*$C$19+T20*$C$20+T21*$C$21+T22*$C$22</f>
        <v>35067000</v>
      </c>
      <c r="U24" s="162">
        <f t="shared" si="4"/>
        <v>24362000</v>
      </c>
      <c r="V24" s="162">
        <f>V5*$C$5+V6*$C$6+V7*$C$7+V8*$C$8+V9*$C$9+V10*$C$10+V11*$C$11+V12*$C$12+V13*$C$13+V14*$C$14+V15*$C$15+V16*$C$16+V17*$C$17+V18*$C$18+V19*$C$19+V20*$C$20+V21*$C$21+V22*$C$22</f>
        <v>3360000</v>
      </c>
      <c r="W24" s="162">
        <f>W5*$C$5+W6*$C$6+W7*$C$7+W8*$C$8+W9*$C$9+W10*$C$10+W11*$C$11+W12*$C$12+W13*$C$13+W14*$C$14+W15*$C$15+W16*$C$16+W17*$C$17+W18*$C$18+W19*$C$19+W20*$C$20+W21*$C$21+W22*$C$22</f>
        <v>26113000</v>
      </c>
      <c r="X24" s="217">
        <f>X5*$C$5+X6*$C$6+X7*$C$7+X8*$C$8+X9*$C$9+X10*$C$10+X11*$C$11+X12*$C$12+X13*$C$13+X14*$C$14+X15*$C$15+X16*$C$16+X17*$C$17+X18*$C$18+X19*$C$19+X20*$C$20+X21*$C$21+X22*$C$22</f>
        <v>34300000</v>
      </c>
      <c r="Y24" s="217">
        <f>Y5*$C$5+Y6*$C$6+Y7*$C$7+Y8*$C$8+Y9*$C$9+Y10*$C$10+Y11*$C$11+Y12*$C$12+Y13*$C$13+Y14*$C$14+Y15*$C$15+Y16*$C$16+Y17*$C$17+Y18*$C$18+Y19*$C$19+Y20*$C$20+Y21*$C$21+Y22*$C$22</f>
        <v>36255000</v>
      </c>
      <c r="Z24" s="217">
        <f>Z5*$C$5+Z6*$C$6+Z7*$C$7+Z8*$C$8+Z9*$C$9+Z10*$C$10+Z11*$C$11+Z12*$C$12+Z13*$C$13+Z14*$C$14+Z15*$C$15+Z16*$C$16+Z17*$C$17+Z18*$C$18+Z19*$C$19+Z20*$C$20+Z21*$C$21+Z22*$C$22</f>
        <v>3360000</v>
      </c>
      <c r="AA24" s="220">
        <f t="shared" ref="AA24:AK24" si="6">AA5*$C$5+AA6*$C$6+AA7*$C$7+AA8*$C$8+AA9*$C$9+AA10*$C$10+AA11*$C$11+AA12*$C$12+AA13*$C$13+AA14*$C$14+AA15*$C$15+AA16*$C$16+AA17*$C$17+AA18*$C$18+AA19*$C$19+AA20*$C$20+AA21*$C$21+AA22*$C$22</f>
        <v>24268000</v>
      </c>
      <c r="AB24" s="220">
        <f t="shared" si="6"/>
        <v>3360000</v>
      </c>
      <c r="AC24" s="220">
        <f t="shared" si="6"/>
        <v>25616500</v>
      </c>
      <c r="AD24" s="228">
        <f>AD5*$C$5+AD6*$C$6+AD7*$C$7+AD8*$C$8+AD9*$C$9+AD10*$C$10+AD11*$C$11+AD12*$C$12+AD13*$C$13+AD14*$C$14+AD15*$C$15+AD16*$C$16+AD17*$C$17+AD18*$C$18+AD19*$C$19+AD20*$C$20+AD21*$C$21+AD22*$C$22</f>
        <v>26213500</v>
      </c>
      <c r="AE24" s="228">
        <f>AE5*$C$5+AE6*$C$6+AE7*$C$7+AE8*$C$8+AE9*$C$9+AE10*$C$10+AE11*$C$11+AE12*$C$12+AE13*$C$13+AE14*$C$14+AE15*$C$15+AE16*$C$16+AE17*$C$17+AE18*$C$18+AE19*$C$19+AE20*$C$20+AE21*$C$21+AE22*$C$22</f>
        <v>3360000</v>
      </c>
      <c r="AF24" s="228">
        <f>AF5*$C$5+AF6*$C$6+AF7*$C$7+AF8*$C$8+AF9*$C$9+AF10*$C$10+AF11*$C$11+AF12*$C$12+AF13*$C$13+AF14*$C$14+AF15*$C$15+AF16*$C$16+AF17*$C$17+AF18*$C$18+AF19*$C$19+AF20*$C$20+AF21*$C$21+AF22*$C$22</f>
        <v>27012700</v>
      </c>
      <c r="AG24" s="228">
        <f>AG5*$C$5+AG6*$C$6+AG7*$C$7+AG8*$C$8+AG9*$C$9+AG10*$C$10+AG11*$C$11+AG12*$C$12+AG13*$C$13+AG14*$C$14+AG15*$C$15+AG16*$C$16+AG17*$C$17+AG18*$C$18+AG19*$C$19+AG20*$C$20+AG21*$C$21+AG22*$C$22</f>
        <v>31322000</v>
      </c>
      <c r="AH24" s="228">
        <f>AH5*$C$5+AH6*$C$6+AH7*$C$7+AH8*$C$8+AH9*$C$9+AH10*$C$10+AH11*$C$11+AH12*$C$12+AH13*$C$13+AH14*$C$14+AH15*$C$15+AH16*$C$16+AH17*$C$17+AH18*$C$18+AH19*$C$19+AH20*$C$20+AH21*$C$21+AH22*$C$22</f>
        <v>22636500</v>
      </c>
      <c r="AI24" s="86">
        <f t="shared" si="6"/>
        <v>3360000</v>
      </c>
      <c r="AJ24" s="86">
        <f t="shared" si="6"/>
        <v>28958900</v>
      </c>
      <c r="AK24" s="86">
        <f t="shared" si="6"/>
        <v>21049100</v>
      </c>
      <c r="AL24" s="163">
        <f t="shared" si="0"/>
        <v>791961700</v>
      </c>
    </row>
    <row r="25" spans="1:39" s="164" customFormat="1" ht="29.9" customHeight="1" x14ac:dyDescent="0.35">
      <c r="A25" s="151"/>
      <c r="B25" s="215" t="s">
        <v>249</v>
      </c>
      <c r="C25" s="153"/>
      <c r="D25" s="154"/>
      <c r="E25" s="155">
        <f>+E24*8%</f>
        <v>1778680</v>
      </c>
      <c r="F25" s="156">
        <f>+F24*8%</f>
        <v>2325880</v>
      </c>
      <c r="G25" s="156">
        <f t="shared" ref="G25:P25" si="7">+G24*8%</f>
        <v>2912240</v>
      </c>
      <c r="H25" s="157">
        <f t="shared" si="7"/>
        <v>1872200</v>
      </c>
      <c r="I25" s="158">
        <f t="shared" si="7"/>
        <v>2502360</v>
      </c>
      <c r="J25" s="158">
        <f t="shared" si="7"/>
        <v>1764008</v>
      </c>
      <c r="K25" s="159">
        <f t="shared" si="7"/>
        <v>1964592</v>
      </c>
      <c r="L25" s="159">
        <f t="shared" si="7"/>
        <v>2437200</v>
      </c>
      <c r="M25" s="159">
        <f t="shared" si="7"/>
        <v>2375160</v>
      </c>
      <c r="N25" s="160">
        <f t="shared" si="7"/>
        <v>2052120</v>
      </c>
      <c r="O25" s="160">
        <f t="shared" si="7"/>
        <v>2474080</v>
      </c>
      <c r="P25" s="160">
        <f t="shared" si="7"/>
        <v>2252240</v>
      </c>
      <c r="Q25" s="161">
        <f>+Q24*8%</f>
        <v>2757840</v>
      </c>
      <c r="R25" s="161">
        <f>+R24*8%</f>
        <v>1826000</v>
      </c>
      <c r="S25" s="161">
        <f>+S24*8%</f>
        <v>1664400</v>
      </c>
      <c r="T25" s="162">
        <f>+T24*8%</f>
        <v>2805360</v>
      </c>
      <c r="U25" s="162">
        <f t="shared" ref="U25:AK25" si="8">+U24*8%</f>
        <v>1948960</v>
      </c>
      <c r="V25" s="162">
        <f>+V24*8%</f>
        <v>268800</v>
      </c>
      <c r="W25" s="162">
        <f>+W24*8%</f>
        <v>2089040</v>
      </c>
      <c r="X25" s="217">
        <f>+X24*8%</f>
        <v>2744000</v>
      </c>
      <c r="Y25" s="217">
        <f>+Y24*8%</f>
        <v>2900400</v>
      </c>
      <c r="Z25" s="217">
        <f>+Z24*8%</f>
        <v>268800</v>
      </c>
      <c r="AA25" s="220">
        <f t="shared" si="8"/>
        <v>1941440</v>
      </c>
      <c r="AB25" s="220">
        <f t="shared" si="8"/>
        <v>268800</v>
      </c>
      <c r="AC25" s="220">
        <f t="shared" si="8"/>
        <v>2049320</v>
      </c>
      <c r="AD25" s="86">
        <f t="shared" si="8"/>
        <v>2097080</v>
      </c>
      <c r="AE25" s="86">
        <f t="shared" si="8"/>
        <v>268800</v>
      </c>
      <c r="AF25" s="86">
        <f t="shared" si="8"/>
        <v>2161016</v>
      </c>
      <c r="AG25" s="86">
        <f t="shared" si="8"/>
        <v>2505760</v>
      </c>
      <c r="AH25" s="86">
        <f t="shared" si="8"/>
        <v>1810920</v>
      </c>
      <c r="AI25" s="86">
        <f t="shared" si="8"/>
        <v>268800</v>
      </c>
      <c r="AJ25" s="86">
        <f t="shared" si="8"/>
        <v>2316712</v>
      </c>
      <c r="AK25" s="86">
        <f t="shared" si="8"/>
        <v>1683928</v>
      </c>
      <c r="AL25" s="163">
        <f t="shared" ref="AL25" si="9">+AL24*10%</f>
        <v>79196170</v>
      </c>
    </row>
    <row r="26" spans="1:39" s="3" customFormat="1" ht="29.25" customHeight="1" thickBot="1" x14ac:dyDescent="0.4">
      <c r="A26" s="13"/>
      <c r="B26" s="14" t="s">
        <v>74</v>
      </c>
      <c r="C26" s="19"/>
      <c r="D26" s="16"/>
      <c r="E26" s="21">
        <f>+E24+E25</f>
        <v>24012180</v>
      </c>
      <c r="F26" s="224">
        <f t="shared" ref="F26:R26" si="10">+F24+F25</f>
        <v>31399380</v>
      </c>
      <c r="G26" s="224">
        <f t="shared" si="10"/>
        <v>39315240</v>
      </c>
      <c r="H26" s="225">
        <f t="shared" si="10"/>
        <v>25274700</v>
      </c>
      <c r="I26" s="119">
        <f t="shared" si="10"/>
        <v>33781860</v>
      </c>
      <c r="J26" s="119">
        <f t="shared" si="10"/>
        <v>23814108</v>
      </c>
      <c r="K26" s="44">
        <f t="shared" si="10"/>
        <v>26521992</v>
      </c>
      <c r="L26" s="44">
        <f t="shared" si="10"/>
        <v>32902200</v>
      </c>
      <c r="M26" s="44">
        <f t="shared" si="10"/>
        <v>32064660</v>
      </c>
      <c r="N26" s="53">
        <f>+N24+N25</f>
        <v>27703620</v>
      </c>
      <c r="O26" s="53">
        <f t="shared" si="10"/>
        <v>33400080</v>
      </c>
      <c r="P26" s="53">
        <f>+P24+P25</f>
        <v>30405240</v>
      </c>
      <c r="Q26" s="72">
        <f t="shared" si="10"/>
        <v>37230840</v>
      </c>
      <c r="R26" s="72">
        <f t="shared" si="10"/>
        <v>24651000</v>
      </c>
      <c r="S26" s="72">
        <f>+S24+S25</f>
        <v>22469400</v>
      </c>
      <c r="T26" s="84">
        <f>+T24+T25</f>
        <v>37872360</v>
      </c>
      <c r="U26" s="84">
        <f t="shared" ref="U26" si="11">+U24+U25</f>
        <v>26310960</v>
      </c>
      <c r="V26" s="84">
        <f>+V24+V25</f>
        <v>3628800</v>
      </c>
      <c r="W26" s="84">
        <f>+W24+W25</f>
        <v>28202040</v>
      </c>
      <c r="X26" s="89">
        <f>+X24+X25</f>
        <v>37044000</v>
      </c>
      <c r="Y26" s="89">
        <f>+Y24+Y25</f>
        <v>39155400</v>
      </c>
      <c r="Z26" s="89">
        <f>+Z24+Z25</f>
        <v>3628800</v>
      </c>
      <c r="AA26" s="222">
        <f t="shared" ref="AA26:AK26" si="12">+AA24+AA25</f>
        <v>26209440</v>
      </c>
      <c r="AB26" s="222">
        <f t="shared" si="12"/>
        <v>3628800</v>
      </c>
      <c r="AC26" s="222">
        <f t="shared" si="12"/>
        <v>27665820</v>
      </c>
      <c r="AD26" s="88">
        <f t="shared" si="12"/>
        <v>28310580</v>
      </c>
      <c r="AE26" s="88">
        <f t="shared" si="12"/>
        <v>3628800</v>
      </c>
      <c r="AF26" s="88">
        <f t="shared" si="12"/>
        <v>29173716</v>
      </c>
      <c r="AG26" s="88">
        <f t="shared" si="12"/>
        <v>33827760</v>
      </c>
      <c r="AH26" s="88">
        <f t="shared" si="12"/>
        <v>24447420</v>
      </c>
      <c r="AI26" s="89">
        <f t="shared" si="12"/>
        <v>3628800</v>
      </c>
      <c r="AJ26" s="89">
        <f t="shared" si="12"/>
        <v>31275612</v>
      </c>
      <c r="AK26" s="89">
        <f t="shared" si="12"/>
        <v>22733028</v>
      </c>
      <c r="AL26" s="131">
        <f>+AL24+AL25</f>
        <v>871157870</v>
      </c>
      <c r="AM26" s="24"/>
    </row>
    <row r="27" spans="1:39" s="3" customFormat="1" ht="29.25" customHeight="1" x14ac:dyDescent="0.35">
      <c r="A27" s="263" t="s">
        <v>250</v>
      </c>
      <c r="B27" s="264"/>
      <c r="C27" s="264"/>
      <c r="D27" s="264"/>
      <c r="E27" s="21">
        <f>SUM(E26:E26)</f>
        <v>24012180</v>
      </c>
      <c r="F27" s="328">
        <f>SUM(F26:G26)</f>
        <v>70714620</v>
      </c>
      <c r="G27" s="329"/>
      <c r="H27" s="226">
        <f>SUM(H26:H26)</f>
        <v>25274700</v>
      </c>
      <c r="I27" s="330">
        <f>SUM(I26:J26)</f>
        <v>57595968</v>
      </c>
      <c r="J27" s="331"/>
      <c r="K27" s="282">
        <f>SUM(K26:M26)</f>
        <v>91488852</v>
      </c>
      <c r="L27" s="322"/>
      <c r="M27" s="322"/>
      <c r="N27" s="286">
        <f>SUM(N26:P26)</f>
        <v>91508940</v>
      </c>
      <c r="O27" s="287"/>
      <c r="P27" s="287"/>
      <c r="Q27" s="284">
        <f>SUM(Q26:S26)</f>
        <v>84351240</v>
      </c>
      <c r="R27" s="285"/>
      <c r="S27" s="285"/>
      <c r="T27" s="289">
        <f>SUM(T26:W26)</f>
        <v>96014160</v>
      </c>
      <c r="U27" s="289"/>
      <c r="V27" s="289"/>
      <c r="W27" s="290"/>
      <c r="X27" s="267">
        <f>SUM(X26:Z26)</f>
        <v>79828200</v>
      </c>
      <c r="Y27" s="281"/>
      <c r="Z27" s="268"/>
      <c r="AA27" s="269">
        <f>SUM(AA26:AC26)</f>
        <v>57504060</v>
      </c>
      <c r="AB27" s="324"/>
      <c r="AC27" s="270"/>
      <c r="AD27" s="325">
        <f>SUM(AD26:AH26)</f>
        <v>119388276</v>
      </c>
      <c r="AE27" s="325"/>
      <c r="AF27" s="325"/>
      <c r="AG27" s="325"/>
      <c r="AH27" s="325"/>
      <c r="AI27" s="326">
        <f>SUM(AI26:AK26)</f>
        <v>57637440</v>
      </c>
      <c r="AJ27" s="327"/>
      <c r="AK27" s="327"/>
      <c r="AL27" s="131"/>
      <c r="AM27" s="24"/>
    </row>
    <row r="28" spans="1:39" x14ac:dyDescent="0.35">
      <c r="A28" s="136"/>
      <c r="B28" s="136"/>
      <c r="C28" s="136"/>
      <c r="D28" s="136"/>
      <c r="K28" s="214"/>
      <c r="P28" s="2" t="s">
        <v>3</v>
      </c>
      <c r="Q28" s="2" t="s">
        <v>3</v>
      </c>
      <c r="V28" s="26"/>
      <c r="W28" s="26"/>
      <c r="AA28" s="2" t="s">
        <v>3</v>
      </c>
      <c r="AC28" s="2" t="s">
        <v>3</v>
      </c>
      <c r="AD28" s="2" t="s">
        <v>3</v>
      </c>
      <c r="AF28" s="2" t="s">
        <v>3</v>
      </c>
      <c r="AG28" s="2" t="s">
        <v>251</v>
      </c>
      <c r="AH28" s="2" t="s">
        <v>3</v>
      </c>
      <c r="AI28" s="2" t="s">
        <v>3</v>
      </c>
      <c r="AJ28" s="2" t="s">
        <v>3</v>
      </c>
    </row>
    <row r="29" spans="1:39" x14ac:dyDescent="0.35">
      <c r="M29" s="172"/>
      <c r="V29" s="172"/>
      <c r="W29" s="172"/>
      <c r="AG29" s="2" t="s">
        <v>252</v>
      </c>
    </row>
    <row r="30" spans="1:39" x14ac:dyDescent="0.35">
      <c r="M30" s="172"/>
      <c r="V30" s="26"/>
      <c r="W30" s="26"/>
    </row>
    <row r="31" spans="1:39" x14ac:dyDescent="0.35">
      <c r="E31" s="172"/>
      <c r="J31" s="48"/>
    </row>
    <row r="32" spans="1:39" x14ac:dyDescent="0.35">
      <c r="E32" s="172"/>
    </row>
    <row r="33" spans="5:22" x14ac:dyDescent="0.35">
      <c r="E33" s="172"/>
      <c r="M33" s="26"/>
    </row>
    <row r="34" spans="5:22" x14ac:dyDescent="0.35">
      <c r="E34" s="172"/>
      <c r="R34" s="26"/>
      <c r="U34" s="26"/>
    </row>
    <row r="35" spans="5:22" x14ac:dyDescent="0.35">
      <c r="E35" s="172"/>
    </row>
    <row r="36" spans="5:22" x14ac:dyDescent="0.35">
      <c r="E36" s="172"/>
    </row>
    <row r="37" spans="5:22" x14ac:dyDescent="0.35">
      <c r="E37" s="172"/>
    </row>
    <row r="38" spans="5:22" x14ac:dyDescent="0.35">
      <c r="E38" s="172"/>
    </row>
    <row r="39" spans="5:22" x14ac:dyDescent="0.35">
      <c r="E39" s="172"/>
    </row>
    <row r="40" spans="5:22" x14ac:dyDescent="0.35">
      <c r="E40" s="172"/>
    </row>
    <row r="41" spans="5:22" x14ac:dyDescent="0.35">
      <c r="E41" s="172"/>
    </row>
    <row r="43" spans="5:22" x14ac:dyDescent="0.35">
      <c r="G43" s="172"/>
      <c r="J43" s="172"/>
      <c r="M43" s="172"/>
      <c r="P43" s="172"/>
    </row>
    <row r="45" spans="5:22" x14ac:dyDescent="0.35">
      <c r="V45" s="227"/>
    </row>
  </sheetData>
  <autoFilter ref="A4:AM41" xr:uid="{00000000-0001-0000-0300-000000000000}">
    <filterColumn colId="37">
      <filters blank="1">
        <filter val="100551"/>
        <filter val="1007"/>
        <filter val="1600"/>
        <filter val="16600"/>
        <filter val="20"/>
        <filter val="283"/>
        <filter val="36372"/>
        <filter val="37027"/>
        <filter val="62,804,900"/>
        <filter val="628,049,000"/>
        <filter val="648"/>
        <filter val="65"/>
        <filter val="690,853,900.00"/>
        <filter val="6929"/>
      </filters>
    </filterColumn>
  </autoFilter>
  <mergeCells count="27">
    <mergeCell ref="Q27:S27"/>
    <mergeCell ref="A27:D27"/>
    <mergeCell ref="F27:G27"/>
    <mergeCell ref="I27:J27"/>
    <mergeCell ref="K27:M27"/>
    <mergeCell ref="N27:P27"/>
    <mergeCell ref="T27:W27"/>
    <mergeCell ref="X27:Z27"/>
    <mergeCell ref="AA27:AC27"/>
    <mergeCell ref="AD27:AH27"/>
    <mergeCell ref="AI27:AK27"/>
    <mergeCell ref="AD3:AH3"/>
    <mergeCell ref="AI3:AK3"/>
    <mergeCell ref="A1:AL1"/>
    <mergeCell ref="A2:A4"/>
    <mergeCell ref="B2:D2"/>
    <mergeCell ref="B3:B4"/>
    <mergeCell ref="C3:C4"/>
    <mergeCell ref="D3:D4"/>
    <mergeCell ref="F3:G3"/>
    <mergeCell ref="I3:J3"/>
    <mergeCell ref="K3:M3"/>
    <mergeCell ref="N3:P3"/>
    <mergeCell ref="Q3:S3"/>
    <mergeCell ref="T3:W3"/>
    <mergeCell ref="X3:Z3"/>
    <mergeCell ref="AA3:AC3"/>
  </mergeCells>
  <pageMargins left="0.7" right="0.7" top="0.75" bottom="0.75" header="0.3" footer="0.3"/>
  <pageSetup scale="50" orientation="landscape"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700D6-30E0-4DEE-9D71-BB5ACE2A09FF}">
  <sheetPr filterMode="1"/>
  <dimension ref="A1:Z42"/>
  <sheetViews>
    <sheetView tabSelected="1" zoomScale="55" zoomScaleNormal="55" workbookViewId="0">
      <pane xSplit="4" ySplit="4" topLeftCell="L5" activePane="bottomRight" state="frozen"/>
      <selection pane="topRight" activeCell="E1" sqref="E1"/>
      <selection pane="bottomLeft" activeCell="A5" sqref="A5"/>
      <selection pane="bottomRight" activeCell="R22" sqref="R22"/>
    </sheetView>
  </sheetViews>
  <sheetFormatPr defaultColWidth="9.1796875" defaultRowHeight="16.5" x14ac:dyDescent="0.35"/>
  <cols>
    <col min="1" max="1" width="4.81640625" style="2" bestFit="1" customWidth="1"/>
    <col min="2" max="2" width="81.453125" style="27" customWidth="1"/>
    <col min="3" max="3" width="19" style="27" customWidth="1"/>
    <col min="4" max="4" width="14" style="2" customWidth="1"/>
    <col min="5" max="5" width="24" style="2" bestFit="1" customWidth="1"/>
    <col min="6" max="7" width="22.453125" style="2" customWidth="1"/>
    <col min="8" max="8" width="27.453125" style="2" bestFit="1" customWidth="1"/>
    <col min="9" max="9" width="19.54296875" style="2" bestFit="1" customWidth="1"/>
    <col min="10" max="12" width="20.453125" style="2" bestFit="1" customWidth="1"/>
    <col min="13" max="13" width="26.54296875" style="2" bestFit="1" customWidth="1"/>
    <col min="14" max="14" width="26.1796875" style="2" bestFit="1" customWidth="1"/>
    <col min="15" max="15" width="26.1796875" style="2" customWidth="1"/>
    <col min="16" max="17" width="21.1796875" style="2" customWidth="1"/>
    <col min="18" max="19" width="27" style="2" customWidth="1"/>
    <col min="20" max="21" width="19.453125" style="2" customWidth="1"/>
    <col min="22" max="23" width="15.1796875" style="2" customWidth="1"/>
    <col min="24" max="24" width="20.81640625" style="2" customWidth="1"/>
    <col min="25" max="25" width="24.453125" style="134" customWidth="1"/>
    <col min="26" max="26" width="18.453125" style="2" customWidth="1"/>
    <col min="27" max="16384" width="9.1796875" style="2"/>
  </cols>
  <sheetData>
    <row r="1" spans="1:26" ht="57.75" customHeight="1" x14ac:dyDescent="0.35">
      <c r="A1" s="271" t="s">
        <v>253</v>
      </c>
      <c r="B1" s="272"/>
      <c r="C1" s="272"/>
      <c r="D1" s="272"/>
      <c r="E1" s="272"/>
      <c r="F1" s="272"/>
      <c r="G1" s="272"/>
      <c r="H1" s="272"/>
      <c r="I1" s="272"/>
      <c r="J1" s="272"/>
      <c r="K1" s="272"/>
      <c r="L1" s="272"/>
      <c r="M1" s="272"/>
      <c r="N1" s="272"/>
      <c r="O1" s="272"/>
      <c r="P1" s="272"/>
      <c r="Q1" s="272"/>
      <c r="R1" s="272"/>
      <c r="S1" s="272"/>
      <c r="T1" s="272"/>
      <c r="U1" s="272"/>
      <c r="V1" s="272"/>
      <c r="W1" s="272"/>
      <c r="X1" s="272"/>
      <c r="Y1" s="272"/>
      <c r="Z1" s="1"/>
    </row>
    <row r="2" spans="1:26" s="1" customFormat="1" ht="22.5" customHeight="1" x14ac:dyDescent="0.35">
      <c r="A2" s="273" t="s">
        <v>1</v>
      </c>
      <c r="B2" s="274" t="s">
        <v>196</v>
      </c>
      <c r="C2" s="275"/>
      <c r="D2" s="276"/>
      <c r="E2" s="139"/>
      <c r="F2" s="139"/>
      <c r="G2" s="139"/>
      <c r="H2" s="139"/>
      <c r="I2" s="139"/>
      <c r="J2" s="139"/>
      <c r="K2" s="139"/>
      <c r="L2" s="139"/>
      <c r="M2" s="139"/>
      <c r="N2" s="139"/>
      <c r="O2" s="141"/>
      <c r="P2" s="141"/>
      <c r="Q2" s="141"/>
      <c r="R2" s="139"/>
      <c r="S2" s="139"/>
      <c r="T2" s="139"/>
      <c r="U2" s="139"/>
      <c r="V2" s="141"/>
      <c r="W2" s="139"/>
      <c r="X2" s="139"/>
      <c r="Y2" s="128"/>
    </row>
    <row r="3" spans="1:26" s="3" customFormat="1" ht="22.5" customHeight="1" x14ac:dyDescent="0.35">
      <c r="A3" s="273"/>
      <c r="B3" s="277" t="s">
        <v>6</v>
      </c>
      <c r="C3" s="277" t="s">
        <v>135</v>
      </c>
      <c r="D3" s="277" t="s">
        <v>8</v>
      </c>
      <c r="E3" s="13" t="s">
        <v>254</v>
      </c>
      <c r="F3" s="278" t="s">
        <v>11</v>
      </c>
      <c r="G3" s="279"/>
      <c r="H3" s="140" t="s">
        <v>12</v>
      </c>
      <c r="I3" s="278" t="s">
        <v>13</v>
      </c>
      <c r="J3" s="280"/>
      <c r="K3" s="278" t="s">
        <v>136</v>
      </c>
      <c r="L3" s="280"/>
      <c r="M3" s="279"/>
      <c r="N3" s="278" t="s">
        <v>15</v>
      </c>
      <c r="O3" s="279"/>
      <c r="P3" s="278" t="s">
        <v>16</v>
      </c>
      <c r="Q3" s="279"/>
      <c r="R3" s="278" t="s">
        <v>17</v>
      </c>
      <c r="S3" s="280"/>
      <c r="T3" s="278" t="s">
        <v>197</v>
      </c>
      <c r="U3" s="280"/>
      <c r="V3" s="139" t="s">
        <v>198</v>
      </c>
      <c r="W3" s="278" t="s">
        <v>199</v>
      </c>
      <c r="X3" s="280"/>
      <c r="Y3" s="129"/>
      <c r="Z3" s="1"/>
    </row>
    <row r="4" spans="1:26" s="3" customFormat="1" ht="48" customHeight="1" x14ac:dyDescent="0.35">
      <c r="A4" s="273"/>
      <c r="B4" s="277"/>
      <c r="C4" s="277"/>
      <c r="D4" s="277"/>
      <c r="E4" s="234">
        <v>46056</v>
      </c>
      <c r="F4" s="67">
        <v>46063</v>
      </c>
      <c r="G4" s="67">
        <v>46106</v>
      </c>
      <c r="H4" s="45">
        <v>46120</v>
      </c>
      <c r="I4" s="46">
        <v>46146</v>
      </c>
      <c r="J4" s="46">
        <v>46147</v>
      </c>
      <c r="K4" s="49">
        <v>46168</v>
      </c>
      <c r="L4" s="49">
        <v>46182</v>
      </c>
      <c r="M4" s="49">
        <v>46195</v>
      </c>
      <c r="N4" s="68">
        <v>45855</v>
      </c>
      <c r="O4" s="68">
        <v>45858</v>
      </c>
      <c r="P4" s="80">
        <v>46237</v>
      </c>
      <c r="Q4" s="80">
        <v>46253</v>
      </c>
      <c r="R4" s="85">
        <v>46268</v>
      </c>
      <c r="S4" s="85"/>
      <c r="T4" s="219"/>
      <c r="U4" s="219"/>
      <c r="V4" s="85"/>
      <c r="W4" s="85"/>
      <c r="X4" s="85"/>
      <c r="Y4" s="77" t="s">
        <v>60</v>
      </c>
      <c r="Z4" s="5"/>
    </row>
    <row r="5" spans="1:26" ht="65.150000000000006" customHeight="1" x14ac:dyDescent="0.35">
      <c r="A5" s="6">
        <v>1</v>
      </c>
      <c r="B5" s="7" t="s">
        <v>213</v>
      </c>
      <c r="C5" s="111">
        <v>35000</v>
      </c>
      <c r="D5" s="150" t="s">
        <v>214</v>
      </c>
      <c r="E5" s="235">
        <v>7</v>
      </c>
      <c r="F5" s="113">
        <v>6</v>
      </c>
      <c r="G5" s="113"/>
      <c r="H5" s="254">
        <v>3</v>
      </c>
      <c r="I5" s="255">
        <v>4</v>
      </c>
      <c r="J5" s="255">
        <v>96</v>
      </c>
      <c r="K5" s="256">
        <v>3</v>
      </c>
      <c r="L5" s="256">
        <v>96</v>
      </c>
      <c r="M5" s="256">
        <v>6</v>
      </c>
      <c r="N5" s="257">
        <v>96</v>
      </c>
      <c r="O5" s="257">
        <v>6</v>
      </c>
      <c r="P5" s="258">
        <v>3</v>
      </c>
      <c r="Q5" s="258">
        <v>96</v>
      </c>
      <c r="R5" s="259">
        <v>7</v>
      </c>
      <c r="S5" s="259"/>
      <c r="T5" s="260"/>
      <c r="U5" s="260"/>
      <c r="V5" s="259"/>
      <c r="W5" s="259"/>
      <c r="X5" s="259"/>
      <c r="Y5" s="130">
        <f t="shared" ref="Y5:Y24" si="0">SUM(E5:X5)</f>
        <v>429</v>
      </c>
      <c r="Z5" s="26">
        <f>Y5*C5</f>
        <v>15015000</v>
      </c>
    </row>
    <row r="6" spans="1:26" ht="42.65" customHeight="1" x14ac:dyDescent="0.35">
      <c r="A6" s="6">
        <v>2</v>
      </c>
      <c r="B6" s="7" t="s">
        <v>215</v>
      </c>
      <c r="C6" s="111">
        <v>175000</v>
      </c>
      <c r="D6" s="9" t="s">
        <v>216</v>
      </c>
      <c r="E6" s="239"/>
      <c r="F6" s="240"/>
      <c r="G6" s="240"/>
      <c r="H6" s="241"/>
      <c r="I6" s="242"/>
      <c r="J6" s="242"/>
      <c r="K6" s="243"/>
      <c r="L6" s="243"/>
      <c r="M6" s="243"/>
      <c r="N6" s="244"/>
      <c r="O6" s="244"/>
      <c r="P6" s="245"/>
      <c r="Q6" s="245"/>
      <c r="R6" s="246"/>
      <c r="S6" s="246"/>
      <c r="T6" s="247"/>
      <c r="U6" s="247"/>
      <c r="V6" s="246"/>
      <c r="W6" s="246"/>
      <c r="X6" s="246"/>
      <c r="Y6" s="130">
        <f t="shared" si="0"/>
        <v>0</v>
      </c>
    </row>
    <row r="7" spans="1:26" ht="42.65" customHeight="1" x14ac:dyDescent="0.35">
      <c r="A7" s="6">
        <v>3</v>
      </c>
      <c r="B7" s="7" t="s">
        <v>217</v>
      </c>
      <c r="C7" s="111">
        <v>6700</v>
      </c>
      <c r="D7" s="9" t="s">
        <v>218</v>
      </c>
      <c r="E7" s="235"/>
      <c r="F7" s="32"/>
      <c r="G7" s="32"/>
      <c r="H7" s="37"/>
      <c r="I7" s="41"/>
      <c r="J7" s="41"/>
      <c r="K7" s="50"/>
      <c r="L7" s="50"/>
      <c r="M7" s="50"/>
      <c r="N7" s="69"/>
      <c r="O7" s="69"/>
      <c r="P7" s="81"/>
      <c r="Q7" s="81"/>
      <c r="R7" s="86"/>
      <c r="S7" s="86"/>
      <c r="T7" s="220"/>
      <c r="U7" s="220"/>
      <c r="V7" s="86"/>
      <c r="W7" s="86"/>
      <c r="X7" s="86"/>
      <c r="Y7" s="130">
        <f t="shared" si="0"/>
        <v>0</v>
      </c>
    </row>
    <row r="8" spans="1:26" ht="42.65" customHeight="1" x14ac:dyDescent="0.35">
      <c r="A8" s="6">
        <v>4</v>
      </c>
      <c r="B8" s="7" t="s">
        <v>219</v>
      </c>
      <c r="C8" s="111">
        <v>6700</v>
      </c>
      <c r="D8" s="12" t="s">
        <v>220</v>
      </c>
      <c r="E8" s="28"/>
      <c r="F8" s="32"/>
      <c r="G8" s="32"/>
      <c r="H8" s="37"/>
      <c r="I8" s="41"/>
      <c r="J8" s="41"/>
      <c r="K8" s="50"/>
      <c r="L8" s="50"/>
      <c r="M8" s="50"/>
      <c r="N8" s="69"/>
      <c r="O8" s="69"/>
      <c r="P8" s="81"/>
      <c r="Q8" s="81"/>
      <c r="R8" s="86"/>
      <c r="S8" s="86"/>
      <c r="T8" s="220"/>
      <c r="U8" s="220"/>
      <c r="V8" s="86"/>
      <c r="W8" s="86"/>
      <c r="X8" s="86"/>
      <c r="Y8" s="130">
        <f t="shared" si="0"/>
        <v>0</v>
      </c>
    </row>
    <row r="9" spans="1:26" ht="42.65" customHeight="1" x14ac:dyDescent="0.35">
      <c r="A9" s="6">
        <v>5</v>
      </c>
      <c r="B9" s="7" t="s">
        <v>221</v>
      </c>
      <c r="C9" s="111">
        <v>6700</v>
      </c>
      <c r="D9" s="9" t="s">
        <v>222</v>
      </c>
      <c r="E9" s="28"/>
      <c r="F9" s="32"/>
      <c r="G9" s="32"/>
      <c r="H9" s="37"/>
      <c r="I9" s="41"/>
      <c r="J9" s="41"/>
      <c r="K9" s="50"/>
      <c r="L9" s="50"/>
      <c r="M9" s="50"/>
      <c r="N9" s="69"/>
      <c r="O9" s="69"/>
      <c r="P9" s="81"/>
      <c r="Q9" s="81"/>
      <c r="R9" s="86"/>
      <c r="S9" s="86"/>
      <c r="T9" s="220"/>
      <c r="U9" s="220"/>
      <c r="V9" s="86"/>
      <c r="W9" s="86"/>
      <c r="X9" s="86"/>
      <c r="Y9" s="130">
        <f t="shared" si="0"/>
        <v>0</v>
      </c>
    </row>
    <row r="10" spans="1:26" ht="42.65" customHeight="1" x14ac:dyDescent="0.35">
      <c r="A10" s="6">
        <v>6</v>
      </c>
      <c r="B10" s="7" t="s">
        <v>223</v>
      </c>
      <c r="C10" s="111">
        <v>6700</v>
      </c>
      <c r="D10" s="9" t="s">
        <v>224</v>
      </c>
      <c r="E10" s="28"/>
      <c r="F10" s="32"/>
      <c r="G10" s="32"/>
      <c r="H10" s="37"/>
      <c r="I10" s="41"/>
      <c r="J10" s="41"/>
      <c r="K10" s="50"/>
      <c r="L10" s="50"/>
      <c r="M10" s="50"/>
      <c r="N10" s="69"/>
      <c r="O10" s="69"/>
      <c r="P10" s="81"/>
      <c r="Q10" s="81"/>
      <c r="R10" s="86"/>
      <c r="S10" s="86"/>
      <c r="T10" s="220"/>
      <c r="U10" s="220"/>
      <c r="V10" s="86"/>
      <c r="W10" s="86"/>
      <c r="X10" s="86"/>
      <c r="Y10" s="130">
        <f t="shared" si="0"/>
        <v>0</v>
      </c>
    </row>
    <row r="11" spans="1:26" ht="42.65" customHeight="1" x14ac:dyDescent="0.35">
      <c r="A11" s="6">
        <v>7</v>
      </c>
      <c r="B11" s="7" t="s">
        <v>225</v>
      </c>
      <c r="C11" s="111">
        <v>6700</v>
      </c>
      <c r="D11" s="9" t="s">
        <v>226</v>
      </c>
      <c r="E11" s="28"/>
      <c r="F11" s="32"/>
      <c r="G11" s="32"/>
      <c r="H11" s="37"/>
      <c r="I11" s="41"/>
      <c r="J11" s="41"/>
      <c r="K11" s="50"/>
      <c r="L11" s="50"/>
      <c r="M11" s="50"/>
      <c r="N11" s="69"/>
      <c r="O11" s="69"/>
      <c r="P11" s="81"/>
      <c r="Q11" s="81"/>
      <c r="R11" s="86"/>
      <c r="S11" s="86"/>
      <c r="T11" s="220"/>
      <c r="U11" s="220"/>
      <c r="V11" s="86"/>
      <c r="W11" s="86"/>
      <c r="X11" s="86"/>
      <c r="Y11" s="130">
        <f t="shared" si="0"/>
        <v>0</v>
      </c>
    </row>
    <row r="12" spans="1:26" ht="33" x14ac:dyDescent="0.35">
      <c r="A12" s="6">
        <v>8</v>
      </c>
      <c r="B12" s="7" t="s">
        <v>227</v>
      </c>
      <c r="C12" s="111">
        <v>6700</v>
      </c>
      <c r="D12" s="9" t="s">
        <v>228</v>
      </c>
      <c r="E12" s="28"/>
      <c r="F12" s="32"/>
      <c r="G12" s="32">
        <v>40</v>
      </c>
      <c r="H12" s="37"/>
      <c r="I12" s="41"/>
      <c r="J12" s="41"/>
      <c r="K12" s="50"/>
      <c r="L12" s="50"/>
      <c r="M12" s="50"/>
      <c r="N12" s="69"/>
      <c r="O12" s="69"/>
      <c r="P12" s="81"/>
      <c r="Q12" s="81"/>
      <c r="R12" s="86">
        <v>20</v>
      </c>
      <c r="S12" s="218"/>
      <c r="T12" s="220"/>
      <c r="U12" s="220"/>
      <c r="V12" s="86"/>
      <c r="W12" s="86"/>
      <c r="X12" s="86"/>
      <c r="Y12" s="130">
        <f t="shared" si="0"/>
        <v>60</v>
      </c>
    </row>
    <row r="13" spans="1:26" ht="49.5" x14ac:dyDescent="0.35">
      <c r="A13" s="6">
        <v>9</v>
      </c>
      <c r="B13" s="7" t="s">
        <v>229</v>
      </c>
      <c r="C13" s="111">
        <v>6700</v>
      </c>
      <c r="D13" s="12" t="s">
        <v>230</v>
      </c>
      <c r="E13" s="28">
        <v>2930</v>
      </c>
      <c r="F13" s="32">
        <v>2320</v>
      </c>
      <c r="G13" s="32">
        <v>1735</v>
      </c>
      <c r="H13" s="37">
        <v>1135</v>
      </c>
      <c r="I13" s="41">
        <v>2090</v>
      </c>
      <c r="J13" s="41"/>
      <c r="K13" s="50">
        <v>1835</v>
      </c>
      <c r="L13" s="50"/>
      <c r="M13" s="50">
        <v>2535</v>
      </c>
      <c r="N13" s="69"/>
      <c r="O13" s="69">
        <v>2445</v>
      </c>
      <c r="P13" s="81">
        <v>2255</v>
      </c>
      <c r="Q13" s="81"/>
      <c r="R13" s="86">
        <v>2230</v>
      </c>
      <c r="S13" s="218"/>
      <c r="T13" s="220"/>
      <c r="U13" s="220"/>
      <c r="V13" s="86"/>
      <c r="W13" s="86"/>
      <c r="X13" s="86"/>
      <c r="Y13" s="130">
        <f t="shared" si="0"/>
        <v>21510</v>
      </c>
    </row>
    <row r="14" spans="1:26" hidden="1" x14ac:dyDescent="0.35">
      <c r="A14" s="6">
        <v>10</v>
      </c>
      <c r="B14" s="7" t="s">
        <v>231</v>
      </c>
      <c r="C14" s="111">
        <v>5500</v>
      </c>
      <c r="D14" s="12" t="s">
        <v>232</v>
      </c>
      <c r="E14" s="105"/>
      <c r="F14" s="32"/>
      <c r="G14" s="32"/>
      <c r="H14" s="37"/>
      <c r="I14" s="41"/>
      <c r="J14" s="41"/>
      <c r="K14" s="50"/>
      <c r="L14" s="50"/>
      <c r="M14" s="69"/>
      <c r="N14" s="69"/>
      <c r="O14" s="69"/>
      <c r="P14" s="81"/>
      <c r="Q14" s="81"/>
      <c r="R14" s="218"/>
      <c r="S14" s="218"/>
      <c r="T14" s="220"/>
      <c r="U14" s="220"/>
      <c r="V14" s="86"/>
      <c r="W14" s="86"/>
      <c r="X14" s="86"/>
      <c r="Y14" s="130">
        <f t="shared" si="0"/>
        <v>0</v>
      </c>
    </row>
    <row r="15" spans="1:26" ht="33" x14ac:dyDescent="0.35">
      <c r="A15" s="6">
        <v>11</v>
      </c>
      <c r="B15" s="7" t="s">
        <v>233</v>
      </c>
      <c r="C15" s="111">
        <v>6700</v>
      </c>
      <c r="D15" s="12" t="s">
        <v>234</v>
      </c>
      <c r="E15" s="28"/>
      <c r="F15" s="32"/>
      <c r="G15" s="32">
        <v>20</v>
      </c>
      <c r="H15" s="37"/>
      <c r="I15" s="41"/>
      <c r="J15" s="41"/>
      <c r="K15" s="50"/>
      <c r="L15" s="50"/>
      <c r="M15" s="50"/>
      <c r="N15" s="69"/>
      <c r="O15" s="69"/>
      <c r="P15" s="81"/>
      <c r="Q15" s="81"/>
      <c r="R15" s="86">
        <v>10</v>
      </c>
      <c r="S15" s="218"/>
      <c r="T15" s="220"/>
      <c r="U15" s="220"/>
      <c r="V15" s="86"/>
      <c r="W15" s="86"/>
      <c r="X15" s="86"/>
      <c r="Y15" s="130">
        <f t="shared" si="0"/>
        <v>30</v>
      </c>
    </row>
    <row r="16" spans="1:26" ht="33" x14ac:dyDescent="0.35">
      <c r="A16" s="6">
        <v>12</v>
      </c>
      <c r="B16" s="7" t="s">
        <v>235</v>
      </c>
      <c r="C16" s="111">
        <v>6700</v>
      </c>
      <c r="D16" s="12" t="s">
        <v>236</v>
      </c>
      <c r="E16" s="28"/>
      <c r="F16" s="32"/>
      <c r="G16" s="32"/>
      <c r="H16" s="37"/>
      <c r="I16" s="41"/>
      <c r="J16" s="41"/>
      <c r="K16" s="50"/>
      <c r="L16" s="50"/>
      <c r="M16" s="50"/>
      <c r="N16" s="69"/>
      <c r="O16" s="69"/>
      <c r="P16" s="81"/>
      <c r="Q16" s="81"/>
      <c r="R16" s="86"/>
      <c r="S16" s="218"/>
      <c r="T16" s="220"/>
      <c r="U16" s="220"/>
      <c r="V16" s="86"/>
      <c r="W16" s="86"/>
      <c r="X16" s="86"/>
      <c r="Y16" s="130">
        <f t="shared" si="0"/>
        <v>0</v>
      </c>
    </row>
    <row r="17" spans="1:26" ht="47.5" customHeight="1" x14ac:dyDescent="0.35">
      <c r="A17" s="6">
        <v>13</v>
      </c>
      <c r="B17" s="7" t="s">
        <v>237</v>
      </c>
      <c r="C17" s="111">
        <v>6700</v>
      </c>
      <c r="D17" s="12" t="s">
        <v>238</v>
      </c>
      <c r="E17" s="28">
        <v>1700</v>
      </c>
      <c r="F17" s="32">
        <v>1200</v>
      </c>
      <c r="G17" s="32">
        <v>3800</v>
      </c>
      <c r="H17" s="37">
        <v>3800</v>
      </c>
      <c r="I17" s="41">
        <v>2600</v>
      </c>
      <c r="J17" s="41"/>
      <c r="K17" s="50">
        <v>3100</v>
      </c>
      <c r="L17" s="50"/>
      <c r="M17" s="50">
        <v>1800</v>
      </c>
      <c r="N17" s="69"/>
      <c r="O17" s="69">
        <v>1800</v>
      </c>
      <c r="P17" s="81">
        <v>3000</v>
      </c>
      <c r="Q17" s="81"/>
      <c r="R17" s="86">
        <v>3600</v>
      </c>
      <c r="S17" s="218"/>
      <c r="T17" s="220"/>
      <c r="U17" s="220"/>
      <c r="V17" s="86"/>
      <c r="W17" s="86"/>
      <c r="X17" s="86"/>
      <c r="Y17" s="130">
        <f t="shared" si="0"/>
        <v>26400</v>
      </c>
    </row>
    <row r="18" spans="1:26" ht="49.4" customHeight="1" x14ac:dyDescent="0.35">
      <c r="A18" s="6">
        <v>14</v>
      </c>
      <c r="B18" s="7" t="s">
        <v>239</v>
      </c>
      <c r="C18" s="111">
        <v>6700</v>
      </c>
      <c r="D18" s="12" t="s">
        <v>240</v>
      </c>
      <c r="E18" s="105"/>
      <c r="F18" s="32"/>
      <c r="G18" s="32"/>
      <c r="H18" s="37"/>
      <c r="I18" s="41"/>
      <c r="J18" s="41"/>
      <c r="K18" s="50"/>
      <c r="L18" s="50"/>
      <c r="M18" s="50"/>
      <c r="N18" s="69"/>
      <c r="O18" s="69"/>
      <c r="P18" s="81"/>
      <c r="Q18" s="81"/>
      <c r="R18" s="86"/>
      <c r="S18" s="218"/>
      <c r="T18" s="220"/>
      <c r="U18" s="220"/>
      <c r="V18" s="86"/>
      <c r="W18" s="86"/>
      <c r="X18" s="86"/>
      <c r="Y18" s="130">
        <f t="shared" si="0"/>
        <v>0</v>
      </c>
    </row>
    <row r="19" spans="1:26" ht="49.4" customHeight="1" x14ac:dyDescent="0.35">
      <c r="A19" s="6">
        <v>15</v>
      </c>
      <c r="B19" s="7" t="s">
        <v>241</v>
      </c>
      <c r="C19" s="111">
        <v>6700</v>
      </c>
      <c r="D19" s="12" t="s">
        <v>242</v>
      </c>
      <c r="E19" s="28">
        <v>1400</v>
      </c>
      <c r="F19" s="32">
        <v>2400</v>
      </c>
      <c r="G19" s="32">
        <v>800</v>
      </c>
      <c r="H19" s="37">
        <v>600</v>
      </c>
      <c r="I19" s="41">
        <v>800</v>
      </c>
      <c r="J19" s="41"/>
      <c r="K19" s="50">
        <v>600</v>
      </c>
      <c r="L19" s="50"/>
      <c r="M19" s="50">
        <v>1200</v>
      </c>
      <c r="N19" s="69"/>
      <c r="O19" s="69">
        <v>1200</v>
      </c>
      <c r="P19" s="81">
        <v>600</v>
      </c>
      <c r="Q19" s="81"/>
      <c r="R19" s="86">
        <v>1400</v>
      </c>
      <c r="S19" s="218"/>
      <c r="T19" s="220"/>
      <c r="U19" s="220"/>
      <c r="V19" s="86"/>
      <c r="W19" s="86"/>
      <c r="X19" s="86"/>
      <c r="Y19" s="130">
        <f t="shared" si="0"/>
        <v>11000</v>
      </c>
    </row>
    <row r="20" spans="1:26" ht="54" customHeight="1" x14ac:dyDescent="0.35">
      <c r="A20" s="6">
        <v>16</v>
      </c>
      <c r="B20" s="7" t="s">
        <v>243</v>
      </c>
      <c r="C20" s="111">
        <v>6700</v>
      </c>
      <c r="D20" s="12" t="s">
        <v>244</v>
      </c>
      <c r="E20" s="105"/>
      <c r="F20" s="32"/>
      <c r="G20" s="32"/>
      <c r="H20" s="37"/>
      <c r="I20" s="41"/>
      <c r="J20" s="41"/>
      <c r="K20" s="50"/>
      <c r="L20" s="50"/>
      <c r="M20" s="50"/>
      <c r="N20" s="69"/>
      <c r="O20" s="69"/>
      <c r="P20" s="81"/>
      <c r="Q20" s="81"/>
      <c r="R20" s="86"/>
      <c r="S20" s="218"/>
      <c r="T20" s="220"/>
      <c r="U20" s="220"/>
      <c r="V20" s="86"/>
      <c r="W20" s="86"/>
      <c r="X20" s="86"/>
      <c r="Y20" s="130">
        <f t="shared" si="0"/>
        <v>0</v>
      </c>
    </row>
    <row r="21" spans="1:26" ht="33" x14ac:dyDescent="0.35">
      <c r="A21" s="6">
        <v>17</v>
      </c>
      <c r="B21" s="7" t="s">
        <v>245</v>
      </c>
      <c r="C21" s="111">
        <v>6700</v>
      </c>
      <c r="D21" s="9" t="s">
        <v>246</v>
      </c>
      <c r="E21" s="28"/>
      <c r="F21" s="32"/>
      <c r="G21" s="32"/>
      <c r="H21" s="37"/>
      <c r="I21" s="41"/>
      <c r="J21" s="41"/>
      <c r="K21" s="50"/>
      <c r="L21" s="50"/>
      <c r="M21" s="50"/>
      <c r="N21" s="69"/>
      <c r="O21" s="69"/>
      <c r="P21" s="81"/>
      <c r="Q21" s="81"/>
      <c r="R21" s="218"/>
      <c r="S21" s="218"/>
      <c r="T21" s="220"/>
      <c r="U21" s="220"/>
      <c r="V21" s="86"/>
      <c r="W21" s="86"/>
      <c r="X21" s="86"/>
      <c r="Y21" s="130">
        <f t="shared" si="0"/>
        <v>0</v>
      </c>
    </row>
    <row r="22" spans="1:26" ht="33" x14ac:dyDescent="0.35">
      <c r="A22" s="6">
        <v>18</v>
      </c>
      <c r="B22" s="7" t="s">
        <v>247</v>
      </c>
      <c r="C22" s="111">
        <v>6700</v>
      </c>
      <c r="D22" s="12" t="s">
        <v>248</v>
      </c>
      <c r="E22" s="28">
        <v>1300</v>
      </c>
      <c r="F22" s="113">
        <v>700</v>
      </c>
      <c r="G22" s="236">
        <v>360</v>
      </c>
      <c r="H22" s="138">
        <v>390</v>
      </c>
      <c r="I22" s="41">
        <v>300</v>
      </c>
      <c r="J22" s="41"/>
      <c r="K22" s="50">
        <v>450</v>
      </c>
      <c r="L22" s="50"/>
      <c r="M22" s="50">
        <v>560</v>
      </c>
      <c r="N22" s="69"/>
      <c r="O22" s="69">
        <v>750</v>
      </c>
      <c r="P22" s="81">
        <v>475</v>
      </c>
      <c r="Q22" s="81"/>
      <c r="R22" s="86">
        <v>525</v>
      </c>
      <c r="S22" s="218"/>
      <c r="T22" s="220"/>
      <c r="U22" s="220"/>
      <c r="V22" s="86"/>
      <c r="W22" s="86"/>
      <c r="X22" s="86"/>
      <c r="Y22" s="130">
        <f t="shared" si="0"/>
        <v>5810</v>
      </c>
    </row>
    <row r="23" spans="1:26" s="3" customFormat="1" ht="29.25" customHeight="1" x14ac:dyDescent="0.35">
      <c r="A23" s="13"/>
      <c r="B23" s="14" t="s">
        <v>71</v>
      </c>
      <c r="C23" s="15"/>
      <c r="D23" s="16"/>
      <c r="E23" s="29">
        <f t="shared" ref="E23:H23" si="1">SUM(E5:E22)</f>
        <v>7337</v>
      </c>
      <c r="F23" s="34">
        <f t="shared" si="1"/>
        <v>6626</v>
      </c>
      <c r="G23" s="34">
        <f t="shared" si="1"/>
        <v>6755</v>
      </c>
      <c r="H23" s="38">
        <f t="shared" si="1"/>
        <v>5928</v>
      </c>
      <c r="I23" s="42">
        <f>SUM(I5:I22)</f>
        <v>5794</v>
      </c>
      <c r="J23" s="42">
        <f t="shared" ref="J23" si="2">SUM(J5:J22)</f>
        <v>96</v>
      </c>
      <c r="K23" s="52">
        <f>SUM(K5:K22)</f>
        <v>5988</v>
      </c>
      <c r="L23" s="52">
        <f>SUM(L5:L22)</f>
        <v>96</v>
      </c>
      <c r="M23" s="50">
        <f t="shared" ref="M23:X23" si="3">SUM(M5:M22)</f>
        <v>6101</v>
      </c>
      <c r="N23" s="69">
        <f>SUM(N5:N22)</f>
        <v>96</v>
      </c>
      <c r="O23" s="69">
        <f>SUM(O5:O22)</f>
        <v>6201</v>
      </c>
      <c r="P23" s="81">
        <f t="shared" si="3"/>
        <v>6333</v>
      </c>
      <c r="Q23" s="81">
        <f t="shared" si="3"/>
        <v>96</v>
      </c>
      <c r="R23" s="216">
        <f t="shared" si="3"/>
        <v>7792</v>
      </c>
      <c r="S23" s="216">
        <f t="shared" si="3"/>
        <v>0</v>
      </c>
      <c r="T23" s="220">
        <f t="shared" si="3"/>
        <v>0</v>
      </c>
      <c r="U23" s="220">
        <f t="shared" si="3"/>
        <v>0</v>
      </c>
      <c r="V23" s="86">
        <f>SUM(V5:V22)</f>
        <v>0</v>
      </c>
      <c r="W23" s="86">
        <f t="shared" si="3"/>
        <v>0</v>
      </c>
      <c r="X23" s="86">
        <f t="shared" si="3"/>
        <v>0</v>
      </c>
      <c r="Y23" s="130">
        <f t="shared" si="0"/>
        <v>65239</v>
      </c>
    </row>
    <row r="24" spans="1:26" s="164" customFormat="1" ht="29.25" customHeight="1" x14ac:dyDescent="0.35">
      <c r="A24" s="151"/>
      <c r="B24" s="152" t="s">
        <v>72</v>
      </c>
      <c r="C24" s="153"/>
      <c r="D24" s="154"/>
      <c r="E24" s="156">
        <f>E5*$C$5+E6*$C$6+E7*$C$7+E8*$C$8+E9*$C$9+E10*$C$10+E11*$C$11+E12*$C$12+E13*$C$13+E14*$C$14+E15*$C$15+E16*$C$16+E17*$C$17+E18*$C$18+E19*$C$19+E20*$C$20+E21*$C$21+E22*$C$22</f>
        <v>49356000</v>
      </c>
      <c r="F24" s="157">
        <f>F5*$C$5+F6*$C$6+F7*$C$7+F8*$C$8+F9*$C$9+F10*$C$10+F11*$C$11+F12*$C$12+F13*$C$13+F14*$C$14+F15*$C$15+F16*$C$16+F17*$C$17+F18*$C$18+F19*$C$19+F20*$C$20+F21*$C$21+F22*$C$22</f>
        <v>44564000</v>
      </c>
      <c r="G24" s="157">
        <f>G5*$C$5+G6*$C$6+G7*$C$7+G8*$C$8+G9*$C$9+G10*$C$10+G11*$C$11+G12*$C$12+G13*$C$13+G14*$C$14+G15*$C$15+G16*$C$16+G17*$C$17+G18*$C$18+G19*$C$19+G20*$C$20+G21*$C$21+G22*$C$22</f>
        <v>45258500</v>
      </c>
      <c r="H24" s="158">
        <f>H5*$C$5+H6*$C$6+H7*$C$7+H8*$C$8+H9*$C$9+H10*$C$10+H11*$C$11+H12*$C$12+H13*$C$13+H14*$C$14+H15*$C$15+H16*$C$16+H17*$C$17+H18*$C$18+H19*$C$19+H20*$C$20+H21*$C$21+H22*$C$22</f>
        <v>39802500</v>
      </c>
      <c r="I24" s="159">
        <f t="shared" ref="I24:M24" si="4">I5*$C$5+I6*$C$6+I7*$C$7+I8*$C$8+I9*$C$9+I10*$C$10+I11*$C$11+I12*$C$12+I13*$C$13+I14*$C$14+I15*$C$15+I16*$C$16+I17*$C$17+I18*$C$18+I19*$C$19+I20*$C$20+I21*$C$21+I22*$C$22</f>
        <v>38933000</v>
      </c>
      <c r="J24" s="159">
        <f t="shared" si="4"/>
        <v>3360000</v>
      </c>
      <c r="K24" s="160">
        <f t="shared" si="4"/>
        <v>40204500</v>
      </c>
      <c r="L24" s="160">
        <f t="shared" si="4"/>
        <v>3360000</v>
      </c>
      <c r="M24" s="261">
        <f t="shared" si="4"/>
        <v>41046500</v>
      </c>
      <c r="N24" s="161">
        <f t="shared" ref="N24:S24" si="5">N5*$C$5+N6*$C$6+N7*$C$7+N8*$C$8+N9*$C$9+N10*$C$10+N11*$C$11+N12*$C$12+N13*$C$13+N14*$C$14+N15*$C$15+N16*$C$16+N17*$C$17+N18*$C$18+N19*$C$19+N20*$C$20+N21*$C$21+N22*$C$22</f>
        <v>3360000</v>
      </c>
      <c r="O24" s="161">
        <f t="shared" si="5"/>
        <v>41716500</v>
      </c>
      <c r="P24" s="162">
        <f t="shared" si="5"/>
        <v>42516000</v>
      </c>
      <c r="Q24" s="162">
        <f t="shared" si="5"/>
        <v>3360000</v>
      </c>
      <c r="R24" s="217">
        <f t="shared" si="5"/>
        <v>52404500</v>
      </c>
      <c r="S24" s="217">
        <f t="shared" si="5"/>
        <v>0</v>
      </c>
      <c r="T24" s="220">
        <f t="shared" ref="T24:X24" si="6">T5*$C$5+T6*$C$6+T7*$C$7+T8*$C$8+T9*$C$9+T10*$C$10+T11*$C$11+T12*$C$12+T13*$C$13+T14*$C$14+T15*$C$15+T16*$C$16+T17*$C$17+T18*$C$18+T19*$C$19+T20*$C$20+T21*$C$21+T22*$C$22</f>
        <v>0</v>
      </c>
      <c r="U24" s="220">
        <f t="shared" si="6"/>
        <v>0</v>
      </c>
      <c r="V24" s="228">
        <f>V5*$C$5+V6*$C$6+V7*$C$7+V8*$C$8+V9*$C$9+V10*$C$10+V11*$C$11+V12*$C$12+V13*$C$13+V14*$C$14+V15*$C$15+V16*$C$16+V17*$C$17+V18*$C$18+V19*$C$19+V20*$C$20+V21*$C$21+V22*$C$22</f>
        <v>0</v>
      </c>
      <c r="W24" s="86">
        <f t="shared" si="6"/>
        <v>0</v>
      </c>
      <c r="X24" s="86">
        <f t="shared" si="6"/>
        <v>0</v>
      </c>
      <c r="Y24" s="163">
        <f t="shared" si="0"/>
        <v>449242000</v>
      </c>
    </row>
    <row r="25" spans="1:26" s="164" customFormat="1" ht="29.9" customHeight="1" x14ac:dyDescent="0.35">
      <c r="A25" s="151"/>
      <c r="B25" s="215" t="s">
        <v>249</v>
      </c>
      <c r="C25" s="153"/>
      <c r="D25" s="154"/>
      <c r="E25" s="156">
        <f t="shared" ref="E25" si="7">+E24*8%</f>
        <v>3948480</v>
      </c>
      <c r="F25" s="157">
        <f>+F24*8%</f>
        <v>3565120</v>
      </c>
      <c r="G25" s="157">
        <f>+G24*8%</f>
        <v>3620680</v>
      </c>
      <c r="H25" s="158">
        <f t="shared" ref="H25:X25" si="8">+H24*8%</f>
        <v>3184200</v>
      </c>
      <c r="I25" s="159">
        <f t="shared" si="8"/>
        <v>3114640</v>
      </c>
      <c r="J25" s="159">
        <f t="shared" si="8"/>
        <v>268800</v>
      </c>
      <c r="K25" s="160">
        <f t="shared" si="8"/>
        <v>3216360</v>
      </c>
      <c r="L25" s="160">
        <f t="shared" si="8"/>
        <v>268800</v>
      </c>
      <c r="M25" s="261">
        <f t="shared" si="8"/>
        <v>3283720</v>
      </c>
      <c r="N25" s="161">
        <f t="shared" si="8"/>
        <v>268800</v>
      </c>
      <c r="O25" s="161">
        <f t="shared" ref="O25" si="9">+O24*8%</f>
        <v>3337320</v>
      </c>
      <c r="P25" s="162">
        <f t="shared" si="8"/>
        <v>3401280</v>
      </c>
      <c r="Q25" s="162">
        <f t="shared" si="8"/>
        <v>268800</v>
      </c>
      <c r="R25" s="217">
        <f t="shared" si="8"/>
        <v>4192360</v>
      </c>
      <c r="S25" s="217">
        <f t="shared" si="8"/>
        <v>0</v>
      </c>
      <c r="T25" s="220">
        <f t="shared" si="8"/>
        <v>0</v>
      </c>
      <c r="U25" s="220">
        <f t="shared" si="8"/>
        <v>0</v>
      </c>
      <c r="V25" s="86">
        <f t="shared" si="8"/>
        <v>0</v>
      </c>
      <c r="W25" s="86">
        <f t="shared" si="8"/>
        <v>0</v>
      </c>
      <c r="X25" s="86">
        <f t="shared" si="8"/>
        <v>0</v>
      </c>
      <c r="Y25" s="163">
        <f t="shared" ref="Y25" si="10">+Y24*10%</f>
        <v>44924200</v>
      </c>
    </row>
    <row r="26" spans="1:26" s="3" customFormat="1" ht="29.25" customHeight="1" thickBot="1" x14ac:dyDescent="0.4">
      <c r="A26" s="13"/>
      <c r="B26" s="14" t="s">
        <v>74</v>
      </c>
      <c r="C26" s="19"/>
      <c r="D26" s="16"/>
      <c r="E26" s="30">
        <f>+E24+E25</f>
        <v>53304480</v>
      </c>
      <c r="F26" s="225">
        <f t="shared" ref="F26:N26" si="11">+F24+F25</f>
        <v>48129120</v>
      </c>
      <c r="G26" s="225">
        <f>+G24+G25</f>
        <v>48879180</v>
      </c>
      <c r="H26" s="119">
        <f t="shared" ref="H26:I26" si="12">+H24+H25</f>
        <v>42986700</v>
      </c>
      <c r="I26" s="44">
        <f t="shared" si="12"/>
        <v>42047640</v>
      </c>
      <c r="J26" s="44">
        <f t="shared" si="11"/>
        <v>3628800</v>
      </c>
      <c r="K26" s="53">
        <f>+K24+K25</f>
        <v>43420860</v>
      </c>
      <c r="L26" s="53">
        <f t="shared" si="11"/>
        <v>3628800</v>
      </c>
      <c r="M26" s="53">
        <f t="shared" si="11"/>
        <v>44330220</v>
      </c>
      <c r="N26" s="72">
        <f t="shared" si="11"/>
        <v>3628800</v>
      </c>
      <c r="O26" s="72">
        <f t="shared" ref="O26" si="13">+O24+O25</f>
        <v>45053820</v>
      </c>
      <c r="P26" s="84">
        <f>+P24+P25</f>
        <v>45917280</v>
      </c>
      <c r="Q26" s="84">
        <f>+Q24+Q25</f>
        <v>3628800</v>
      </c>
      <c r="R26" s="89">
        <f>+R24+R25</f>
        <v>56596860</v>
      </c>
      <c r="S26" s="89">
        <f>+S24+S25</f>
        <v>0</v>
      </c>
      <c r="T26" s="222">
        <f t="shared" ref="T26:X26" si="14">+T24+T25</f>
        <v>0</v>
      </c>
      <c r="U26" s="222">
        <f t="shared" si="14"/>
        <v>0</v>
      </c>
      <c r="V26" s="88">
        <f t="shared" si="14"/>
        <v>0</v>
      </c>
      <c r="W26" s="89">
        <f t="shared" si="14"/>
        <v>0</v>
      </c>
      <c r="X26" s="89">
        <f t="shared" si="14"/>
        <v>0</v>
      </c>
      <c r="Y26" s="131">
        <f>+Y24+Y25</f>
        <v>494166200</v>
      </c>
      <c r="Z26" s="24"/>
    </row>
    <row r="27" spans="1:26" s="3" customFormat="1" ht="29.25" customHeight="1" x14ac:dyDescent="0.35">
      <c r="A27" s="263" t="s">
        <v>250</v>
      </c>
      <c r="B27" s="264"/>
      <c r="C27" s="264"/>
      <c r="D27" s="264"/>
      <c r="E27" s="249">
        <f>SUM(E26:E26)</f>
        <v>53304480</v>
      </c>
      <c r="F27" s="265">
        <f>SUM(F26:G26)</f>
        <v>97008300</v>
      </c>
      <c r="G27" s="266"/>
      <c r="H27" s="253">
        <f>SUM(H26:H26)</f>
        <v>42986700</v>
      </c>
      <c r="I27" s="282">
        <f>SUM(I26:J26)</f>
        <v>45676440</v>
      </c>
      <c r="J27" s="283"/>
      <c r="K27" s="286">
        <f>SUM(K26:M26)</f>
        <v>91379880</v>
      </c>
      <c r="L27" s="287"/>
      <c r="M27" s="288"/>
      <c r="N27" s="284">
        <f>SUM(N26:O26)</f>
        <v>48682620</v>
      </c>
      <c r="O27" s="285"/>
      <c r="P27" s="289">
        <f>SUM(P26:Q26)</f>
        <v>49546080</v>
      </c>
      <c r="Q27" s="290"/>
      <c r="R27" s="267">
        <f>SUM(R26:S26)</f>
        <v>56596860</v>
      </c>
      <c r="S27" s="268"/>
      <c r="T27" s="269">
        <f>SUM(T26:U26)</f>
        <v>0</v>
      </c>
      <c r="U27" s="270"/>
      <c r="V27" s="88">
        <f>SUM(V26:V26)</f>
        <v>0</v>
      </c>
      <c r="W27" s="267">
        <f>SUM(W26:X26)</f>
        <v>0</v>
      </c>
      <c r="X27" s="281"/>
      <c r="Y27" s="131"/>
      <c r="Z27" s="24"/>
    </row>
    <row r="28" spans="1:26" x14ac:dyDescent="0.35">
      <c r="A28" s="136"/>
      <c r="B28" s="136"/>
      <c r="C28" s="136"/>
      <c r="D28" s="136"/>
      <c r="I28" s="214"/>
    </row>
    <row r="29" spans="1:26" x14ac:dyDescent="0.35">
      <c r="E29" s="2">
        <v>49356000</v>
      </c>
    </row>
    <row r="30" spans="1:26" x14ac:dyDescent="0.35">
      <c r="S30" s="250">
        <f>Y26/12</f>
        <v>41180516.666666664</v>
      </c>
    </row>
    <row r="38" spans="10:12" x14ac:dyDescent="0.35">
      <c r="K38" s="2" t="s">
        <v>331</v>
      </c>
      <c r="L38" s="2" t="s">
        <v>333</v>
      </c>
    </row>
    <row r="39" spans="10:12" x14ac:dyDescent="0.35">
      <c r="J39" s="2" t="s">
        <v>332</v>
      </c>
      <c r="K39" s="172">
        <f>SUM(K24:M24)</f>
        <v>84611000</v>
      </c>
      <c r="L39" s="172">
        <f>SUM(N24:O24)</f>
        <v>45076500</v>
      </c>
    </row>
    <row r="40" spans="10:12" x14ac:dyDescent="0.35">
      <c r="J40" s="2" t="s">
        <v>334</v>
      </c>
      <c r="K40" s="172">
        <f>SUM('[1]2026'!$AV$26:$BE$26)+10080000</f>
        <v>442301700</v>
      </c>
      <c r="L40" s="172">
        <f>SUM('[1]2026'!$BF$26:$BP$26)+16800000</f>
        <v>478501000</v>
      </c>
    </row>
    <row r="42" spans="10:12" x14ac:dyDescent="0.35">
      <c r="J42" s="2" t="s">
        <v>335</v>
      </c>
      <c r="K42" s="262">
        <f>SUM(K39:K40)/26100</f>
        <v>20188.226053639846</v>
      </c>
      <c r="L42" s="262">
        <f>SUM(L39:L40)/26100</f>
        <v>20060.440613026822</v>
      </c>
    </row>
  </sheetData>
  <autoFilter ref="A4:Z28" xr:uid="{00000000-0001-0000-0300-000000000000}">
    <filterColumn colId="24">
      <filters blank="1">
        <filter val="100551"/>
        <filter val="1007"/>
        <filter val="1600"/>
        <filter val="16600"/>
        <filter val="20"/>
        <filter val="283"/>
        <filter val="36372"/>
        <filter val="37027"/>
        <filter val="62,804,900"/>
        <filter val="628,049,000"/>
        <filter val="648"/>
        <filter val="65"/>
        <filter val="690,853,900.00"/>
        <filter val="6929"/>
      </filters>
    </filterColumn>
  </autoFilter>
  <mergeCells count="23">
    <mergeCell ref="W27:X27"/>
    <mergeCell ref="I27:J27"/>
    <mergeCell ref="N3:O3"/>
    <mergeCell ref="N27:O27"/>
    <mergeCell ref="K27:M27"/>
    <mergeCell ref="P3:Q3"/>
    <mergeCell ref="P27:Q27"/>
    <mergeCell ref="A27:D27"/>
    <mergeCell ref="F27:G27"/>
    <mergeCell ref="R27:S27"/>
    <mergeCell ref="T27:U27"/>
    <mergeCell ref="A1:Y1"/>
    <mergeCell ref="A2:A4"/>
    <mergeCell ref="B2:D2"/>
    <mergeCell ref="B3:B4"/>
    <mergeCell ref="C3:C4"/>
    <mergeCell ref="D3:D4"/>
    <mergeCell ref="F3:G3"/>
    <mergeCell ref="I3:J3"/>
    <mergeCell ref="R3:S3"/>
    <mergeCell ref="T3:U3"/>
    <mergeCell ref="W3:X3"/>
    <mergeCell ref="K3:M3"/>
  </mergeCells>
  <phoneticPr fontId="23" type="noConversion"/>
  <pageMargins left="0.7" right="0.7" top="0.75" bottom="0.75" header="0.3" footer="0.3"/>
  <pageSetup scale="50" orientation="landscape"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9844C-EED9-4DB1-BA9D-25B3E022DFFB}">
  <sheetPr filterMode="1"/>
  <dimension ref="A1:AE33"/>
  <sheetViews>
    <sheetView zoomScale="55" zoomScaleNormal="55" workbookViewId="0">
      <pane xSplit="4" ySplit="4" topLeftCell="E20" activePane="bottomRight" state="frozen"/>
      <selection pane="topRight" activeCell="E1" sqref="E1"/>
      <selection pane="bottomLeft" activeCell="A5" sqref="A5"/>
      <selection pane="bottomRight" activeCell="F30" sqref="F30"/>
    </sheetView>
  </sheetViews>
  <sheetFormatPr defaultColWidth="9.1796875" defaultRowHeight="16.5" x14ac:dyDescent="0.35"/>
  <cols>
    <col min="1" max="1" width="4.81640625" style="2" bestFit="1" customWidth="1"/>
    <col min="2" max="2" width="81.453125" style="27" customWidth="1"/>
    <col min="3" max="3" width="19" style="27" customWidth="1"/>
    <col min="4" max="4" width="14" style="2" customWidth="1"/>
    <col min="5" max="5" width="23.54296875" style="2" bestFit="1" customWidth="1"/>
    <col min="6" max="6" width="24" style="2" bestFit="1" customWidth="1"/>
    <col min="7" max="8" width="22.453125" style="2" customWidth="1"/>
    <col min="9" max="9" width="19.54296875" style="2" bestFit="1" customWidth="1"/>
    <col min="10" max="10" width="19.453125" style="2" bestFit="1" customWidth="1"/>
    <col min="11" max="12" width="19.453125" style="2" customWidth="1"/>
    <col min="13" max="13" width="19.54296875" style="2" bestFit="1" customWidth="1"/>
    <col min="14" max="15" width="20.453125" style="2" bestFit="1" customWidth="1"/>
    <col min="16" max="17" width="20.453125" style="2" customWidth="1"/>
    <col min="18" max="19" width="20.453125" style="2" bestFit="1" customWidth="1"/>
    <col min="20" max="20" width="26.54296875" style="2" bestFit="1" customWidth="1"/>
    <col min="21" max="21" width="26.1796875" style="2" bestFit="1" customWidth="1"/>
    <col min="22" max="22" width="21.1796875" style="2" customWidth="1"/>
    <col min="23" max="24" width="27" style="2" customWidth="1"/>
    <col min="25" max="26" width="19.453125" style="2" customWidth="1"/>
    <col min="27" max="28" width="15.1796875" style="2" customWidth="1"/>
    <col min="29" max="29" width="20.81640625" style="2" customWidth="1"/>
    <col min="30" max="30" width="24.453125" style="134" customWidth="1"/>
    <col min="31" max="31" width="18.453125" style="2" customWidth="1"/>
    <col min="32" max="16384" width="9.1796875" style="2"/>
  </cols>
  <sheetData>
    <row r="1" spans="1:31" ht="57.75" customHeight="1" x14ac:dyDescent="0.35">
      <c r="A1" s="271" t="s">
        <v>253</v>
      </c>
      <c r="B1" s="272"/>
      <c r="C1" s="272"/>
      <c r="D1" s="272"/>
      <c r="E1" s="272"/>
      <c r="F1" s="272"/>
      <c r="G1" s="272"/>
      <c r="H1" s="272"/>
      <c r="I1" s="272"/>
      <c r="J1" s="272"/>
      <c r="K1" s="272"/>
      <c r="L1" s="272"/>
      <c r="M1" s="272"/>
      <c r="N1" s="272"/>
      <c r="O1" s="272"/>
      <c r="P1" s="272"/>
      <c r="Q1" s="272"/>
      <c r="R1" s="272"/>
      <c r="S1" s="272"/>
      <c r="T1" s="272"/>
      <c r="U1" s="272"/>
      <c r="V1" s="272"/>
      <c r="W1" s="272"/>
      <c r="X1" s="272"/>
      <c r="Y1" s="272"/>
      <c r="Z1" s="272"/>
      <c r="AA1" s="272"/>
      <c r="AB1" s="272"/>
      <c r="AC1" s="272"/>
      <c r="AD1" s="272"/>
      <c r="AE1" s="1"/>
    </row>
    <row r="2" spans="1:31" s="1" customFormat="1" ht="22.5" customHeight="1" x14ac:dyDescent="0.35">
      <c r="A2" s="273" t="s">
        <v>1</v>
      </c>
      <c r="B2" s="274" t="s">
        <v>196</v>
      </c>
      <c r="C2" s="275"/>
      <c r="D2" s="276"/>
      <c r="E2" s="139"/>
      <c r="F2" s="139"/>
      <c r="G2" s="139"/>
      <c r="H2" s="139"/>
      <c r="I2" s="139"/>
      <c r="J2" s="139"/>
      <c r="K2" s="139"/>
      <c r="L2" s="139"/>
      <c r="M2" s="139"/>
      <c r="N2" s="139"/>
      <c r="O2" s="139"/>
      <c r="P2" s="139"/>
      <c r="Q2" s="139"/>
      <c r="R2" s="139"/>
      <c r="S2" s="139"/>
      <c r="T2" s="139"/>
      <c r="U2" s="139"/>
      <c r="V2" s="141"/>
      <c r="W2" s="139"/>
      <c r="X2" s="139"/>
      <c r="Y2" s="139"/>
      <c r="Z2" s="139"/>
      <c r="AA2" s="141"/>
      <c r="AB2" s="139"/>
      <c r="AC2" s="139"/>
      <c r="AD2" s="128"/>
    </row>
    <row r="3" spans="1:31" s="3" customFormat="1" ht="22.5" customHeight="1" x14ac:dyDescent="0.35">
      <c r="A3" s="273"/>
      <c r="B3" s="277" t="s">
        <v>6</v>
      </c>
      <c r="C3" s="277" t="s">
        <v>135</v>
      </c>
      <c r="D3" s="277" t="s">
        <v>8</v>
      </c>
      <c r="E3" s="252" t="s">
        <v>9</v>
      </c>
      <c r="F3" s="13" t="s">
        <v>10</v>
      </c>
      <c r="G3" s="278" t="s">
        <v>11</v>
      </c>
      <c r="H3" s="279"/>
      <c r="I3" s="278" t="s">
        <v>12</v>
      </c>
      <c r="J3" s="280"/>
      <c r="K3" s="127"/>
      <c r="L3" s="127"/>
      <c r="M3" s="278" t="s">
        <v>13</v>
      </c>
      <c r="N3" s="280"/>
      <c r="O3" s="280"/>
      <c r="P3" s="280"/>
      <c r="Q3" s="279"/>
      <c r="R3" s="305" t="s">
        <v>136</v>
      </c>
      <c r="S3" s="305"/>
      <c r="T3" s="305" t="s">
        <v>15</v>
      </c>
      <c r="U3" s="305"/>
      <c r="V3" s="140" t="s">
        <v>16</v>
      </c>
      <c r="W3" s="278" t="s">
        <v>17</v>
      </c>
      <c r="X3" s="280"/>
      <c r="Y3" s="278" t="s">
        <v>197</v>
      </c>
      <c r="Z3" s="280"/>
      <c r="AA3" s="139" t="s">
        <v>198</v>
      </c>
      <c r="AB3" s="278" t="s">
        <v>199</v>
      </c>
      <c r="AC3" s="280"/>
      <c r="AD3" s="129"/>
      <c r="AE3" s="1"/>
    </row>
    <row r="4" spans="1:31" s="3" customFormat="1" ht="48" customHeight="1" x14ac:dyDescent="0.35">
      <c r="A4" s="273"/>
      <c r="B4" s="277"/>
      <c r="C4" s="277"/>
      <c r="D4" s="277"/>
      <c r="E4" s="232">
        <v>46014</v>
      </c>
      <c r="F4" s="234">
        <v>46056</v>
      </c>
      <c r="G4" s="67"/>
      <c r="H4" s="67"/>
      <c r="I4" s="45"/>
      <c r="J4" s="45"/>
      <c r="K4" s="45"/>
      <c r="L4" s="45"/>
      <c r="M4" s="46"/>
      <c r="N4" s="46"/>
      <c r="O4" s="46"/>
      <c r="P4" s="46"/>
      <c r="Q4" s="46"/>
      <c r="R4" s="49"/>
      <c r="S4" s="49"/>
      <c r="T4" s="68"/>
      <c r="U4" s="68"/>
      <c r="V4" s="80"/>
      <c r="W4" s="85"/>
      <c r="X4" s="85"/>
      <c r="Y4" s="219"/>
      <c r="Z4" s="219"/>
      <c r="AA4" s="85"/>
      <c r="AB4" s="85"/>
      <c r="AC4" s="85"/>
      <c r="AD4" s="77" t="s">
        <v>60</v>
      </c>
      <c r="AE4" s="5"/>
    </row>
    <row r="5" spans="1:31" ht="65.150000000000006" customHeight="1" x14ac:dyDescent="0.35">
      <c r="A5" s="6">
        <v>1</v>
      </c>
      <c r="B5" s="7" t="s">
        <v>213</v>
      </c>
      <c r="C5" s="111">
        <v>35000</v>
      </c>
      <c r="D5" s="150" t="s">
        <v>214</v>
      </c>
      <c r="E5" s="237"/>
      <c r="F5" s="239"/>
      <c r="G5" s="240"/>
      <c r="H5" s="240"/>
      <c r="I5" s="241"/>
      <c r="J5" s="241"/>
      <c r="K5" s="241"/>
      <c r="L5" s="241"/>
      <c r="M5" s="242"/>
      <c r="N5" s="242"/>
      <c r="O5" s="242"/>
      <c r="P5" s="242"/>
      <c r="Q5" s="242"/>
      <c r="R5" s="243"/>
      <c r="S5" s="243"/>
      <c r="T5" s="244"/>
      <c r="U5" s="244"/>
      <c r="V5" s="245"/>
      <c r="W5" s="246"/>
      <c r="X5" s="246"/>
      <c r="Y5" s="247"/>
      <c r="Z5" s="247"/>
      <c r="AA5" s="246"/>
      <c r="AB5" s="246"/>
      <c r="AC5" s="246"/>
      <c r="AD5" s="130">
        <f t="shared" ref="AD5:AD24" si="0">SUM(E5:AC5)</f>
        <v>0</v>
      </c>
      <c r="AE5" s="26">
        <f>AD5*C5</f>
        <v>0</v>
      </c>
    </row>
    <row r="6" spans="1:31" ht="42.65" customHeight="1" x14ac:dyDescent="0.35">
      <c r="A6" s="6">
        <v>2</v>
      </c>
      <c r="B6" s="7" t="s">
        <v>215</v>
      </c>
      <c r="C6" s="111">
        <v>175000</v>
      </c>
      <c r="D6" s="9" t="s">
        <v>216</v>
      </c>
      <c r="E6" s="237"/>
      <c r="F6" s="239"/>
      <c r="G6" s="240"/>
      <c r="H6" s="240"/>
      <c r="I6" s="241"/>
      <c r="J6" s="241"/>
      <c r="K6" s="241"/>
      <c r="L6" s="241"/>
      <c r="M6" s="242"/>
      <c r="N6" s="242"/>
      <c r="O6" s="242"/>
      <c r="P6" s="242"/>
      <c r="Q6" s="242"/>
      <c r="R6" s="243"/>
      <c r="S6" s="243"/>
      <c r="T6" s="244"/>
      <c r="U6" s="244"/>
      <c r="V6" s="245"/>
      <c r="W6" s="246"/>
      <c r="X6" s="246"/>
      <c r="Y6" s="247"/>
      <c r="Z6" s="247"/>
      <c r="AA6" s="246"/>
      <c r="AB6" s="246"/>
      <c r="AC6" s="246"/>
      <c r="AD6" s="130">
        <f t="shared" si="0"/>
        <v>0</v>
      </c>
    </row>
    <row r="7" spans="1:31" ht="42.65" customHeight="1" x14ac:dyDescent="0.35">
      <c r="A7" s="6">
        <v>3</v>
      </c>
      <c r="B7" s="7" t="s">
        <v>217</v>
      </c>
      <c r="C7" s="111">
        <v>5500</v>
      </c>
      <c r="D7" s="9" t="s">
        <v>218</v>
      </c>
      <c r="E7" s="10"/>
      <c r="F7" s="235"/>
      <c r="G7" s="32"/>
      <c r="H7" s="32"/>
      <c r="I7" s="37"/>
      <c r="J7" s="37"/>
      <c r="K7" s="37"/>
      <c r="L7" s="37"/>
      <c r="M7" s="41"/>
      <c r="N7" s="41"/>
      <c r="O7" s="41"/>
      <c r="P7" s="41"/>
      <c r="Q7" s="41"/>
      <c r="R7" s="50"/>
      <c r="S7" s="50"/>
      <c r="T7" s="69"/>
      <c r="U7" s="69"/>
      <c r="V7" s="81"/>
      <c r="W7" s="86"/>
      <c r="X7" s="86"/>
      <c r="Y7" s="220"/>
      <c r="Z7" s="220"/>
      <c r="AA7" s="86"/>
      <c r="AB7" s="86"/>
      <c r="AC7" s="86"/>
      <c r="AD7" s="130">
        <f t="shared" si="0"/>
        <v>0</v>
      </c>
    </row>
    <row r="8" spans="1:31" ht="42.65" customHeight="1" x14ac:dyDescent="0.35">
      <c r="A8" s="6">
        <v>4</v>
      </c>
      <c r="B8" s="7" t="s">
        <v>219</v>
      </c>
      <c r="C8" s="111">
        <v>6700</v>
      </c>
      <c r="D8" s="12" t="s">
        <v>220</v>
      </c>
      <c r="E8" s="11"/>
      <c r="F8" s="28"/>
      <c r="G8" s="32"/>
      <c r="H8" s="32"/>
      <c r="I8" s="37"/>
      <c r="J8" s="37"/>
      <c r="K8" s="37"/>
      <c r="L8" s="37"/>
      <c r="M8" s="41"/>
      <c r="N8" s="41"/>
      <c r="O8" s="41"/>
      <c r="P8" s="41"/>
      <c r="Q8" s="41"/>
      <c r="R8" s="50"/>
      <c r="S8" s="50"/>
      <c r="T8" s="69"/>
      <c r="U8" s="69"/>
      <c r="V8" s="81"/>
      <c r="W8" s="86"/>
      <c r="X8" s="86"/>
      <c r="Y8" s="220"/>
      <c r="Z8" s="220"/>
      <c r="AA8" s="86"/>
      <c r="AB8" s="86"/>
      <c r="AC8" s="86"/>
      <c r="AD8" s="130">
        <f t="shared" si="0"/>
        <v>0</v>
      </c>
    </row>
    <row r="9" spans="1:31" ht="42.65" customHeight="1" x14ac:dyDescent="0.35">
      <c r="A9" s="6">
        <v>5</v>
      </c>
      <c r="B9" s="7" t="s">
        <v>221</v>
      </c>
      <c r="C9" s="111">
        <v>6700</v>
      </c>
      <c r="D9" s="9" t="s">
        <v>222</v>
      </c>
      <c r="E9" s="11"/>
      <c r="F9" s="28"/>
      <c r="G9" s="32"/>
      <c r="H9" s="32"/>
      <c r="I9" s="37"/>
      <c r="J9" s="37"/>
      <c r="K9" s="37"/>
      <c r="L9" s="37"/>
      <c r="M9" s="41"/>
      <c r="N9" s="41"/>
      <c r="O9" s="41"/>
      <c r="P9" s="41"/>
      <c r="Q9" s="41"/>
      <c r="R9" s="50"/>
      <c r="S9" s="50"/>
      <c r="T9" s="69"/>
      <c r="U9" s="69"/>
      <c r="V9" s="81"/>
      <c r="W9" s="86"/>
      <c r="X9" s="86"/>
      <c r="Y9" s="220"/>
      <c r="Z9" s="220"/>
      <c r="AA9" s="86"/>
      <c r="AB9" s="86"/>
      <c r="AC9" s="86"/>
      <c r="AD9" s="130">
        <f t="shared" si="0"/>
        <v>0</v>
      </c>
    </row>
    <row r="10" spans="1:31" ht="42.65" customHeight="1" x14ac:dyDescent="0.35">
      <c r="A10" s="6">
        <v>6</v>
      </c>
      <c r="B10" s="7" t="s">
        <v>223</v>
      </c>
      <c r="C10" s="111">
        <v>6700</v>
      </c>
      <c r="D10" s="9" t="s">
        <v>224</v>
      </c>
      <c r="E10" s="11"/>
      <c r="F10" s="28"/>
      <c r="G10" s="32"/>
      <c r="H10" s="32"/>
      <c r="I10" s="37"/>
      <c r="J10" s="37"/>
      <c r="K10" s="37"/>
      <c r="L10" s="37"/>
      <c r="M10" s="41"/>
      <c r="N10" s="41"/>
      <c r="O10" s="41"/>
      <c r="P10" s="41"/>
      <c r="Q10" s="41"/>
      <c r="R10" s="50"/>
      <c r="S10" s="50"/>
      <c r="T10" s="69"/>
      <c r="U10" s="69"/>
      <c r="V10" s="81"/>
      <c r="W10" s="86"/>
      <c r="X10" s="86"/>
      <c r="Y10" s="220"/>
      <c r="Z10" s="220"/>
      <c r="AA10" s="86"/>
      <c r="AB10" s="86"/>
      <c r="AC10" s="86"/>
      <c r="AD10" s="130">
        <f t="shared" si="0"/>
        <v>0</v>
      </c>
    </row>
    <row r="11" spans="1:31" ht="42.65" customHeight="1" x14ac:dyDescent="0.35">
      <c r="A11" s="6">
        <v>7</v>
      </c>
      <c r="B11" s="7" t="s">
        <v>225</v>
      </c>
      <c r="C11" s="111">
        <v>6700</v>
      </c>
      <c r="D11" s="9" t="s">
        <v>226</v>
      </c>
      <c r="E11" s="11"/>
      <c r="F11" s="28"/>
      <c r="G11" s="32"/>
      <c r="H11" s="32"/>
      <c r="I11" s="37"/>
      <c r="J11" s="37"/>
      <c r="K11" s="37"/>
      <c r="L11" s="37"/>
      <c r="M11" s="41"/>
      <c r="N11" s="41"/>
      <c r="O11" s="41"/>
      <c r="P11" s="41"/>
      <c r="Q11" s="41"/>
      <c r="R11" s="50"/>
      <c r="S11" s="50"/>
      <c r="T11" s="69"/>
      <c r="U11" s="69"/>
      <c r="V11" s="81"/>
      <c r="W11" s="86"/>
      <c r="X11" s="86"/>
      <c r="Y11" s="220"/>
      <c r="Z11" s="220"/>
      <c r="AA11" s="86"/>
      <c r="AB11" s="86"/>
      <c r="AC11" s="86"/>
      <c r="AD11" s="130">
        <f t="shared" si="0"/>
        <v>0</v>
      </c>
    </row>
    <row r="12" spans="1:31" ht="33" x14ac:dyDescent="0.35">
      <c r="A12" s="6">
        <v>8</v>
      </c>
      <c r="B12" s="7" t="s">
        <v>227</v>
      </c>
      <c r="C12" s="111">
        <v>6700</v>
      </c>
      <c r="D12" s="9" t="s">
        <v>228</v>
      </c>
      <c r="E12" s="11"/>
      <c r="F12" s="28"/>
      <c r="G12" s="32"/>
      <c r="H12" s="32"/>
      <c r="I12" s="37"/>
      <c r="J12" s="37"/>
      <c r="K12" s="37"/>
      <c r="L12" s="37"/>
      <c r="M12" s="41"/>
      <c r="N12" s="41"/>
      <c r="O12" s="41"/>
      <c r="P12" s="41"/>
      <c r="Q12" s="41"/>
      <c r="R12" s="50"/>
      <c r="S12" s="50"/>
      <c r="T12" s="69"/>
      <c r="U12" s="69"/>
      <c r="V12" s="81"/>
      <c r="W12" s="218"/>
      <c r="X12" s="218"/>
      <c r="Y12" s="220"/>
      <c r="Z12" s="220"/>
      <c r="AA12" s="86"/>
      <c r="AB12" s="86"/>
      <c r="AC12" s="86"/>
      <c r="AD12" s="130">
        <f t="shared" si="0"/>
        <v>0</v>
      </c>
    </row>
    <row r="13" spans="1:31" ht="49.5" x14ac:dyDescent="0.35">
      <c r="A13" s="6">
        <v>9</v>
      </c>
      <c r="B13" s="7" t="s">
        <v>229</v>
      </c>
      <c r="C13" s="111">
        <v>6700</v>
      </c>
      <c r="D13" s="12" t="s">
        <v>230</v>
      </c>
      <c r="E13" s="11">
        <v>2725</v>
      </c>
      <c r="F13" s="28">
        <v>2930</v>
      </c>
      <c r="G13" s="32"/>
      <c r="H13" s="32"/>
      <c r="I13" s="37"/>
      <c r="J13" s="37"/>
      <c r="K13" s="37"/>
      <c r="L13" s="37"/>
      <c r="M13" s="41"/>
      <c r="N13" s="41"/>
      <c r="O13" s="41"/>
      <c r="P13" s="41"/>
      <c r="Q13" s="41"/>
      <c r="R13" s="50"/>
      <c r="S13" s="50"/>
      <c r="T13" s="69"/>
      <c r="U13" s="69"/>
      <c r="V13" s="81"/>
      <c r="W13" s="218"/>
      <c r="X13" s="218"/>
      <c r="Y13" s="220"/>
      <c r="Z13" s="220"/>
      <c r="AA13" s="86"/>
      <c r="AB13" s="86"/>
      <c r="AC13" s="86"/>
      <c r="AD13" s="130">
        <f t="shared" si="0"/>
        <v>5655</v>
      </c>
    </row>
    <row r="14" spans="1:31" hidden="1" x14ac:dyDescent="0.35">
      <c r="A14" s="6">
        <v>10</v>
      </c>
      <c r="B14" s="7" t="s">
        <v>231</v>
      </c>
      <c r="C14" s="111">
        <v>5500</v>
      </c>
      <c r="D14" s="12" t="s">
        <v>232</v>
      </c>
      <c r="E14" s="11"/>
      <c r="F14" s="105"/>
      <c r="G14" s="32"/>
      <c r="H14" s="32"/>
      <c r="I14" s="37"/>
      <c r="J14" s="37"/>
      <c r="K14" s="37"/>
      <c r="L14" s="37"/>
      <c r="M14" s="41"/>
      <c r="N14" s="41"/>
      <c r="O14" s="41"/>
      <c r="P14" s="41"/>
      <c r="Q14" s="41"/>
      <c r="R14" s="50"/>
      <c r="S14" s="50"/>
      <c r="T14" s="69"/>
      <c r="U14" s="69"/>
      <c r="V14" s="81"/>
      <c r="W14" s="218"/>
      <c r="X14" s="218"/>
      <c r="Y14" s="220"/>
      <c r="Z14" s="220"/>
      <c r="AA14" s="86"/>
      <c r="AB14" s="86"/>
      <c r="AC14" s="86"/>
      <c r="AD14" s="130">
        <f t="shared" si="0"/>
        <v>0</v>
      </c>
    </row>
    <row r="15" spans="1:31" ht="33" x14ac:dyDescent="0.35">
      <c r="A15" s="6">
        <v>11</v>
      </c>
      <c r="B15" s="7" t="s">
        <v>233</v>
      </c>
      <c r="C15" s="111">
        <v>6700</v>
      </c>
      <c r="D15" s="12" t="s">
        <v>234</v>
      </c>
      <c r="E15" s="11"/>
      <c r="F15" s="28"/>
      <c r="G15" s="32"/>
      <c r="H15" s="32"/>
      <c r="I15" s="37"/>
      <c r="J15" s="37"/>
      <c r="K15" s="37"/>
      <c r="L15" s="37"/>
      <c r="M15" s="41"/>
      <c r="N15" s="41"/>
      <c r="O15" s="41"/>
      <c r="P15" s="41"/>
      <c r="Q15" s="41"/>
      <c r="R15" s="50"/>
      <c r="S15" s="50"/>
      <c r="T15" s="69"/>
      <c r="U15" s="69"/>
      <c r="V15" s="81"/>
      <c r="W15" s="218"/>
      <c r="X15" s="218"/>
      <c r="Y15" s="220"/>
      <c r="Z15" s="220"/>
      <c r="AA15" s="86"/>
      <c r="AB15" s="86"/>
      <c r="AC15" s="86"/>
      <c r="AD15" s="130">
        <f t="shared" si="0"/>
        <v>0</v>
      </c>
    </row>
    <row r="16" spans="1:31" ht="33" x14ac:dyDescent="0.35">
      <c r="A16" s="6">
        <v>12</v>
      </c>
      <c r="B16" s="7" t="s">
        <v>235</v>
      </c>
      <c r="C16" s="111">
        <v>5500</v>
      </c>
      <c r="D16" s="12" t="s">
        <v>236</v>
      </c>
      <c r="E16" s="11"/>
      <c r="F16" s="28"/>
      <c r="G16" s="32"/>
      <c r="H16" s="32"/>
      <c r="I16" s="37"/>
      <c r="J16" s="37"/>
      <c r="K16" s="37"/>
      <c r="L16" s="37"/>
      <c r="M16" s="41"/>
      <c r="N16" s="41"/>
      <c r="O16" s="41"/>
      <c r="P16" s="41"/>
      <c r="Q16" s="41"/>
      <c r="R16" s="50"/>
      <c r="S16" s="50"/>
      <c r="T16" s="69"/>
      <c r="U16" s="69"/>
      <c r="V16" s="81"/>
      <c r="W16" s="218"/>
      <c r="X16" s="218"/>
      <c r="Y16" s="220"/>
      <c r="Z16" s="220"/>
      <c r="AA16" s="86"/>
      <c r="AB16" s="86"/>
      <c r="AC16" s="86"/>
      <c r="AD16" s="130">
        <f t="shared" si="0"/>
        <v>0</v>
      </c>
    </row>
    <row r="17" spans="1:31" ht="47.5" customHeight="1" x14ac:dyDescent="0.35">
      <c r="A17" s="6">
        <v>13</v>
      </c>
      <c r="B17" s="7" t="s">
        <v>237</v>
      </c>
      <c r="C17" s="111">
        <v>5500</v>
      </c>
      <c r="D17" s="12" t="s">
        <v>238</v>
      </c>
      <c r="E17" s="11">
        <v>2900</v>
      </c>
      <c r="F17" s="28">
        <v>1700</v>
      </c>
      <c r="G17" s="32"/>
      <c r="H17" s="32"/>
      <c r="I17" s="37"/>
      <c r="J17" s="37"/>
      <c r="K17" s="37"/>
      <c r="L17" s="37"/>
      <c r="M17" s="41"/>
      <c r="N17" s="41"/>
      <c r="O17" s="41"/>
      <c r="P17" s="41"/>
      <c r="Q17" s="41"/>
      <c r="R17" s="50"/>
      <c r="S17" s="50"/>
      <c r="T17" s="69"/>
      <c r="U17" s="69"/>
      <c r="V17" s="81"/>
      <c r="W17" s="218"/>
      <c r="X17" s="218"/>
      <c r="Y17" s="220"/>
      <c r="Z17" s="220"/>
      <c r="AA17" s="86"/>
      <c r="AB17" s="86"/>
      <c r="AC17" s="86"/>
      <c r="AD17" s="130">
        <f t="shared" si="0"/>
        <v>4600</v>
      </c>
    </row>
    <row r="18" spans="1:31" ht="49.4" customHeight="1" x14ac:dyDescent="0.35">
      <c r="A18" s="6">
        <v>14</v>
      </c>
      <c r="B18" s="7" t="s">
        <v>239</v>
      </c>
      <c r="C18" s="111">
        <v>5500</v>
      </c>
      <c r="D18" s="12" t="s">
        <v>240</v>
      </c>
      <c r="E18" s="11"/>
      <c r="F18" s="105"/>
      <c r="G18" s="32"/>
      <c r="H18" s="32"/>
      <c r="I18" s="37"/>
      <c r="J18" s="37"/>
      <c r="K18" s="37"/>
      <c r="L18" s="37"/>
      <c r="M18" s="41"/>
      <c r="N18" s="41"/>
      <c r="O18" s="41"/>
      <c r="P18" s="41"/>
      <c r="Q18" s="41"/>
      <c r="R18" s="50"/>
      <c r="S18" s="50"/>
      <c r="T18" s="69"/>
      <c r="U18" s="69"/>
      <c r="V18" s="81"/>
      <c r="W18" s="218"/>
      <c r="X18" s="218"/>
      <c r="Y18" s="220"/>
      <c r="Z18" s="220"/>
      <c r="AA18" s="86"/>
      <c r="AB18" s="86"/>
      <c r="AC18" s="86"/>
      <c r="AD18" s="130">
        <f t="shared" si="0"/>
        <v>0</v>
      </c>
    </row>
    <row r="19" spans="1:31" ht="49.4" customHeight="1" x14ac:dyDescent="0.35">
      <c r="A19" s="6">
        <v>15</v>
      </c>
      <c r="B19" s="7" t="s">
        <v>241</v>
      </c>
      <c r="C19" s="111">
        <v>5500</v>
      </c>
      <c r="D19" s="12" t="s">
        <v>242</v>
      </c>
      <c r="E19" s="11">
        <v>1000</v>
      </c>
      <c r="F19" s="28">
        <v>1400</v>
      </c>
      <c r="G19" s="32"/>
      <c r="H19" s="32"/>
      <c r="I19" s="37"/>
      <c r="J19" s="37"/>
      <c r="K19" s="37"/>
      <c r="L19" s="37"/>
      <c r="M19" s="41"/>
      <c r="N19" s="41"/>
      <c r="O19" s="41"/>
      <c r="P19" s="41"/>
      <c r="Q19" s="41"/>
      <c r="R19" s="50"/>
      <c r="S19" s="50"/>
      <c r="T19" s="69"/>
      <c r="U19" s="69"/>
      <c r="V19" s="81"/>
      <c r="W19" s="218"/>
      <c r="X19" s="218"/>
      <c r="Y19" s="220"/>
      <c r="Z19" s="220"/>
      <c r="AA19" s="86"/>
      <c r="AB19" s="86"/>
      <c r="AC19" s="86"/>
      <c r="AD19" s="130">
        <f t="shared" si="0"/>
        <v>2400</v>
      </c>
    </row>
    <row r="20" spans="1:31" ht="54" customHeight="1" x14ac:dyDescent="0.35">
      <c r="A20" s="6">
        <v>16</v>
      </c>
      <c r="B20" s="7" t="s">
        <v>243</v>
      </c>
      <c r="C20" s="111">
        <v>5500</v>
      </c>
      <c r="D20" s="12" t="s">
        <v>244</v>
      </c>
      <c r="E20" s="11"/>
      <c r="F20" s="105"/>
      <c r="G20" s="32"/>
      <c r="H20" s="32"/>
      <c r="I20" s="37"/>
      <c r="J20" s="37"/>
      <c r="K20" s="37"/>
      <c r="L20" s="37"/>
      <c r="M20" s="41"/>
      <c r="N20" s="41"/>
      <c r="O20" s="41"/>
      <c r="P20" s="41"/>
      <c r="Q20" s="41"/>
      <c r="R20" s="50"/>
      <c r="S20" s="50"/>
      <c r="T20" s="69"/>
      <c r="U20" s="69"/>
      <c r="V20" s="81"/>
      <c r="W20" s="218"/>
      <c r="X20" s="218"/>
      <c r="Y20" s="220"/>
      <c r="Z20" s="220"/>
      <c r="AA20" s="86"/>
      <c r="AB20" s="86"/>
      <c r="AC20" s="86"/>
      <c r="AD20" s="130">
        <f t="shared" si="0"/>
        <v>0</v>
      </c>
    </row>
    <row r="21" spans="1:31" ht="33" x14ac:dyDescent="0.35">
      <c r="A21" s="6">
        <v>17</v>
      </c>
      <c r="B21" s="7" t="s">
        <v>245</v>
      </c>
      <c r="C21" s="111">
        <v>5500</v>
      </c>
      <c r="D21" s="9" t="s">
        <v>246</v>
      </c>
      <c r="E21" s="11"/>
      <c r="F21" s="28"/>
      <c r="G21" s="32"/>
      <c r="H21" s="32"/>
      <c r="I21" s="37"/>
      <c r="J21" s="37"/>
      <c r="K21" s="37"/>
      <c r="L21" s="37"/>
      <c r="M21" s="41"/>
      <c r="N21" s="41"/>
      <c r="O21" s="41"/>
      <c r="P21" s="41"/>
      <c r="Q21" s="41"/>
      <c r="R21" s="50"/>
      <c r="S21" s="50"/>
      <c r="T21" s="69"/>
      <c r="U21" s="69"/>
      <c r="V21" s="81"/>
      <c r="W21" s="218"/>
      <c r="X21" s="218"/>
      <c r="Y21" s="220"/>
      <c r="Z21" s="220"/>
      <c r="AA21" s="86"/>
      <c r="AB21" s="86"/>
      <c r="AC21" s="86"/>
      <c r="AD21" s="130">
        <f t="shared" si="0"/>
        <v>0</v>
      </c>
    </row>
    <row r="22" spans="1:31" ht="33" x14ac:dyDescent="0.35">
      <c r="A22" s="6">
        <v>18</v>
      </c>
      <c r="B22" s="7" t="s">
        <v>247</v>
      </c>
      <c r="C22" s="111">
        <v>5500</v>
      </c>
      <c r="D22" s="12" t="s">
        <v>248</v>
      </c>
      <c r="E22" s="11">
        <v>790</v>
      </c>
      <c r="F22" s="28">
        <v>1300</v>
      </c>
      <c r="G22" s="113"/>
      <c r="H22" s="236"/>
      <c r="I22" s="138"/>
      <c r="J22" s="37"/>
      <c r="K22" s="37"/>
      <c r="L22" s="37"/>
      <c r="M22" s="41"/>
      <c r="N22" s="41"/>
      <c r="O22" s="41"/>
      <c r="P22" s="41"/>
      <c r="Q22" s="41"/>
      <c r="R22" s="50"/>
      <c r="S22" s="50"/>
      <c r="T22" s="69"/>
      <c r="U22" s="69"/>
      <c r="V22" s="81"/>
      <c r="W22" s="218"/>
      <c r="X22" s="218"/>
      <c r="Y22" s="220"/>
      <c r="Z22" s="220"/>
      <c r="AA22" s="86"/>
      <c r="AB22" s="86"/>
      <c r="AC22" s="86"/>
      <c r="AD22" s="130">
        <f t="shared" si="0"/>
        <v>2090</v>
      </c>
    </row>
    <row r="23" spans="1:31" s="3" customFormat="1" ht="29.25" customHeight="1" x14ac:dyDescent="0.35">
      <c r="A23" s="13"/>
      <c r="B23" s="14" t="s">
        <v>71</v>
      </c>
      <c r="C23" s="15"/>
      <c r="D23" s="16"/>
      <c r="E23" s="18">
        <f t="shared" ref="E23:L23" si="1">SUM(E5:E22)</f>
        <v>7415</v>
      </c>
      <c r="F23" s="29">
        <f t="shared" si="1"/>
        <v>7330</v>
      </c>
      <c r="G23" s="34">
        <f t="shared" si="1"/>
        <v>0</v>
      </c>
      <c r="H23" s="34">
        <f t="shared" si="1"/>
        <v>0</v>
      </c>
      <c r="I23" s="38">
        <f t="shared" si="1"/>
        <v>0</v>
      </c>
      <c r="J23" s="38">
        <f t="shared" si="1"/>
        <v>0</v>
      </c>
      <c r="K23" s="38">
        <f t="shared" si="1"/>
        <v>0</v>
      </c>
      <c r="L23" s="38">
        <f t="shared" si="1"/>
        <v>0</v>
      </c>
      <c r="M23" s="42">
        <f>SUM(M5:M22)</f>
        <v>0</v>
      </c>
      <c r="N23" s="42">
        <f t="shared" ref="N23:P23" si="2">SUM(N5:N22)</f>
        <v>0</v>
      </c>
      <c r="O23" s="42">
        <f t="shared" si="2"/>
        <v>0</v>
      </c>
      <c r="P23" s="42">
        <f t="shared" si="2"/>
        <v>0</v>
      </c>
      <c r="Q23" s="42">
        <f>SUM(Q5:Q22)</f>
        <v>0</v>
      </c>
      <c r="R23" s="52">
        <f>SUM(R5:R22)</f>
        <v>0</v>
      </c>
      <c r="S23" s="52">
        <f>SUM(S5:S22)</f>
        <v>0</v>
      </c>
      <c r="T23" s="69">
        <f t="shared" ref="T23:AC23" si="3">SUM(T5:T22)</f>
        <v>0</v>
      </c>
      <c r="U23" s="69">
        <f>SUM(U5:U22)</f>
        <v>0</v>
      </c>
      <c r="V23" s="81">
        <f t="shared" si="3"/>
        <v>0</v>
      </c>
      <c r="W23" s="216">
        <f t="shared" si="3"/>
        <v>0</v>
      </c>
      <c r="X23" s="216">
        <f t="shared" si="3"/>
        <v>0</v>
      </c>
      <c r="Y23" s="220">
        <f t="shared" si="3"/>
        <v>0</v>
      </c>
      <c r="Z23" s="220">
        <f t="shared" si="3"/>
        <v>0</v>
      </c>
      <c r="AA23" s="86">
        <f>SUM(AA5:AA22)</f>
        <v>0</v>
      </c>
      <c r="AB23" s="86">
        <f t="shared" si="3"/>
        <v>0</v>
      </c>
      <c r="AC23" s="86">
        <f t="shared" si="3"/>
        <v>0</v>
      </c>
      <c r="AD23" s="130">
        <f t="shared" si="0"/>
        <v>14745</v>
      </c>
    </row>
    <row r="24" spans="1:31" s="164" customFormat="1" ht="29.25" customHeight="1" x14ac:dyDescent="0.35">
      <c r="A24" s="151"/>
      <c r="B24" s="152" t="s">
        <v>72</v>
      </c>
      <c r="C24" s="153"/>
      <c r="D24" s="154"/>
      <c r="E24" s="155">
        <f t="shared" ref="E24:F24" si="4">E5*$C$5+E6*$C$6+E7*$C$7+E8*$C$8+E9*$C$9+E10*$C$10+E11*$C$11+E12*$C$12+E13*$C$13+E14*$C$14+E15*$C$15+E16*$C$16+E17*$C$17+E18*$C$18+E19*$C$19+E20*$C$20+E21*$C$21+E22*$C$22</f>
        <v>44052500</v>
      </c>
      <c r="F24" s="156">
        <f t="shared" si="4"/>
        <v>43831000</v>
      </c>
      <c r="G24" s="157">
        <f>G5*$C$5+G6*$C$6+G7*$C$7+G8*$C$8+G9*$C$9+G10*$C$10+G11*$C$11+G12*$C$12+G13*$C$13+G14*$C$14+G15*$C$15+G16*$C$16+G17*$C$17+G18*$C$18+G19*$C$19+G20*$C$20+G21*$C$21+G22*$C$22</f>
        <v>0</v>
      </c>
      <c r="H24" s="157">
        <f>H5*$C$5+H6*$C$6+H7*$C$7+H8*$C$8+H9*$C$9+H10*$C$10+H11*$C$11+H12*$C$12+H13*$C$13+H14*$C$14+H15*$C$15+H16*$C$16+H17*$C$17+H18*$C$18+H19*$C$19+H20*$C$20+H21*$C$21+H22*$C$22</f>
        <v>0</v>
      </c>
      <c r="I24" s="158">
        <f>I5*$C$5+I6*$C$6+I7*$C$7+I8*$C$8+I9*$C$9+I10*$C$10+I11*$C$11+I12*$C$12+I13*$C$13+I14*$C$14+I15*$C$15+I16*$C$16+I17*$C$17+I18*$C$18+I19*$C$19+I20*$C$20+I21*$C$21+I22*$C$22</f>
        <v>0</v>
      </c>
      <c r="J24" s="158">
        <f>J5*$C$5+J6*$C$6+J7*$C$7+J8*$C$8+J9*$C$9+J10*$C$10+J11*$C$11+J12*$C$12+J13*$C$13+J14*$C$14+J15*$C$15+J16*$C$16+J17*$C$17+J18*$C$18+J19*$C$19+J20*$C$20+J21*$C$21+J22*$C$22</f>
        <v>0</v>
      </c>
      <c r="K24" s="158">
        <f t="shared" ref="K24:U24" si="5">K5*$C$5+K6*$C$6+K7*$C$7+K8*$C$8+K9*$C$9+K10*$C$10+K11*$C$11+K12*$C$12+K13*$C$13+K14*$C$14+K15*$C$15+K16*$C$16+K17*$C$17+K18*$C$18+K19*$C$19+K20*$C$20+K21*$C$21+K22*$C$22</f>
        <v>0</v>
      </c>
      <c r="L24" s="158">
        <f t="shared" si="5"/>
        <v>0</v>
      </c>
      <c r="M24" s="159">
        <f t="shared" si="5"/>
        <v>0</v>
      </c>
      <c r="N24" s="159">
        <f t="shared" si="5"/>
        <v>0</v>
      </c>
      <c r="O24" s="159">
        <f t="shared" si="5"/>
        <v>0</v>
      </c>
      <c r="P24" s="159">
        <f t="shared" si="5"/>
        <v>0</v>
      </c>
      <c r="Q24" s="159">
        <f t="shared" si="5"/>
        <v>0</v>
      </c>
      <c r="R24" s="160">
        <f t="shared" si="5"/>
        <v>0</v>
      </c>
      <c r="S24" s="160">
        <f t="shared" si="5"/>
        <v>0</v>
      </c>
      <c r="T24" s="161">
        <f t="shared" si="5"/>
        <v>0</v>
      </c>
      <c r="U24" s="161">
        <f t="shared" si="5"/>
        <v>0</v>
      </c>
      <c r="V24" s="162">
        <f>V5*$C$5+V6*$C$6+V7*$C$7+V8*$C$8+V9*$C$9+V10*$C$10+V11*$C$11+V12*$C$12+V13*$C$13+V14*$C$14+V15*$C$15+V16*$C$16+V17*$C$17+V18*$C$18+V19*$C$19+V20*$C$20+V21*$C$21+V22*$C$22</f>
        <v>0</v>
      </c>
      <c r="W24" s="217">
        <f>W5*$C$5+W6*$C$6+W7*$C$7+W8*$C$8+W9*$C$9+W10*$C$10+W11*$C$11+W12*$C$12+W13*$C$13+W14*$C$14+W15*$C$15+W16*$C$16+W17*$C$17+W18*$C$18+W19*$C$19+W20*$C$20+W21*$C$21+W22*$C$22</f>
        <v>0</v>
      </c>
      <c r="X24" s="217">
        <f>X5*$C$5+X6*$C$6+X7*$C$7+X8*$C$8+X9*$C$9+X10*$C$10+X11*$C$11+X12*$C$12+X13*$C$13+X14*$C$14+X15*$C$15+X16*$C$16+X17*$C$17+X18*$C$18+X19*$C$19+X20*$C$20+X21*$C$21+X22*$C$22</f>
        <v>0</v>
      </c>
      <c r="Y24" s="220">
        <f t="shared" ref="Y24:AC24" si="6">Y5*$C$5+Y6*$C$6+Y7*$C$7+Y8*$C$8+Y9*$C$9+Y10*$C$10+Y11*$C$11+Y12*$C$12+Y13*$C$13+Y14*$C$14+Y15*$C$15+Y16*$C$16+Y17*$C$17+Y18*$C$18+Y19*$C$19+Y20*$C$20+Y21*$C$21+Y22*$C$22</f>
        <v>0</v>
      </c>
      <c r="Z24" s="220">
        <f t="shared" si="6"/>
        <v>0</v>
      </c>
      <c r="AA24" s="228">
        <f>AA5*$C$5+AA6*$C$6+AA7*$C$7+AA8*$C$8+AA9*$C$9+AA10*$C$10+AA11*$C$11+AA12*$C$12+AA13*$C$13+AA14*$C$14+AA15*$C$15+AA16*$C$16+AA17*$C$17+AA18*$C$18+AA19*$C$19+AA20*$C$20+AA21*$C$21+AA22*$C$22</f>
        <v>0</v>
      </c>
      <c r="AB24" s="86">
        <f t="shared" si="6"/>
        <v>0</v>
      </c>
      <c r="AC24" s="86">
        <f t="shared" si="6"/>
        <v>0</v>
      </c>
      <c r="AD24" s="163">
        <f t="shared" si="0"/>
        <v>87883500</v>
      </c>
    </row>
    <row r="25" spans="1:31" s="164" customFormat="1" ht="29.9" customHeight="1" x14ac:dyDescent="0.35">
      <c r="A25" s="151"/>
      <c r="B25" s="215" t="s">
        <v>249</v>
      </c>
      <c r="C25" s="153"/>
      <c r="D25" s="154"/>
      <c r="E25" s="155">
        <f t="shared" ref="E25:F25" si="7">+E24*8%</f>
        <v>3524200</v>
      </c>
      <c r="F25" s="156">
        <f t="shared" si="7"/>
        <v>3506480</v>
      </c>
      <c r="G25" s="157">
        <f>+G24*8%</f>
        <v>0</v>
      </c>
      <c r="H25" s="157">
        <f>+H24*8%</f>
        <v>0</v>
      </c>
      <c r="I25" s="158">
        <f t="shared" ref="I25:AC25" si="8">+I24*8%</f>
        <v>0</v>
      </c>
      <c r="J25" s="158">
        <f t="shared" si="8"/>
        <v>0</v>
      </c>
      <c r="K25" s="158">
        <f t="shared" si="8"/>
        <v>0</v>
      </c>
      <c r="L25" s="158">
        <f t="shared" si="8"/>
        <v>0</v>
      </c>
      <c r="M25" s="159">
        <f t="shared" si="8"/>
        <v>0</v>
      </c>
      <c r="N25" s="159">
        <f t="shared" si="8"/>
        <v>0</v>
      </c>
      <c r="O25" s="159">
        <f t="shared" si="8"/>
        <v>0</v>
      </c>
      <c r="P25" s="159">
        <f t="shared" si="8"/>
        <v>0</v>
      </c>
      <c r="Q25" s="159">
        <f t="shared" si="8"/>
        <v>0</v>
      </c>
      <c r="R25" s="160">
        <f t="shared" si="8"/>
        <v>0</v>
      </c>
      <c r="S25" s="160">
        <f t="shared" si="8"/>
        <v>0</v>
      </c>
      <c r="T25" s="161">
        <f t="shared" si="8"/>
        <v>0</v>
      </c>
      <c r="U25" s="161">
        <f t="shared" si="8"/>
        <v>0</v>
      </c>
      <c r="V25" s="162">
        <f t="shared" si="8"/>
        <v>0</v>
      </c>
      <c r="W25" s="217">
        <f t="shared" si="8"/>
        <v>0</v>
      </c>
      <c r="X25" s="217">
        <f t="shared" si="8"/>
        <v>0</v>
      </c>
      <c r="Y25" s="220">
        <f t="shared" si="8"/>
        <v>0</v>
      </c>
      <c r="Z25" s="220">
        <f t="shared" si="8"/>
        <v>0</v>
      </c>
      <c r="AA25" s="86">
        <f t="shared" si="8"/>
        <v>0</v>
      </c>
      <c r="AB25" s="86">
        <f t="shared" si="8"/>
        <v>0</v>
      </c>
      <c r="AC25" s="86">
        <f t="shared" si="8"/>
        <v>0</v>
      </c>
      <c r="AD25" s="163">
        <f t="shared" ref="AD25" si="9">+AD24*10%</f>
        <v>8788350</v>
      </c>
    </row>
    <row r="26" spans="1:31" s="3" customFormat="1" ht="29.25" customHeight="1" thickBot="1" x14ac:dyDescent="0.4">
      <c r="A26" s="13"/>
      <c r="B26" s="14" t="s">
        <v>74</v>
      </c>
      <c r="C26" s="19"/>
      <c r="D26" s="16"/>
      <c r="E26" s="21">
        <f>+E24+E25</f>
        <v>47576700</v>
      </c>
      <c r="F26" s="30">
        <f>+F24+F25</f>
        <v>47337480</v>
      </c>
      <c r="G26" s="225">
        <f t="shared" ref="G26:U26" si="10">+G24+G25</f>
        <v>0</v>
      </c>
      <c r="H26" s="225">
        <f>+H24+H25</f>
        <v>0</v>
      </c>
      <c r="I26" s="119">
        <f t="shared" ref="I26:M26" si="11">+I24+I25</f>
        <v>0</v>
      </c>
      <c r="J26" s="119">
        <f t="shared" si="11"/>
        <v>0</v>
      </c>
      <c r="K26" s="119">
        <f t="shared" si="11"/>
        <v>0</v>
      </c>
      <c r="L26" s="119">
        <f t="shared" si="11"/>
        <v>0</v>
      </c>
      <c r="M26" s="44">
        <f t="shared" si="11"/>
        <v>0</v>
      </c>
      <c r="N26" s="44">
        <f t="shared" si="10"/>
        <v>0</v>
      </c>
      <c r="O26" s="44">
        <f t="shared" si="10"/>
        <v>0</v>
      </c>
      <c r="P26" s="44">
        <f t="shared" si="10"/>
        <v>0</v>
      </c>
      <c r="Q26" s="44">
        <f t="shared" si="10"/>
        <v>0</v>
      </c>
      <c r="R26" s="53">
        <f>+R24+R25</f>
        <v>0</v>
      </c>
      <c r="S26" s="53">
        <f t="shared" si="10"/>
        <v>0</v>
      </c>
      <c r="T26" s="72">
        <f t="shared" si="10"/>
        <v>0</v>
      </c>
      <c r="U26" s="72">
        <f t="shared" si="10"/>
        <v>0</v>
      </c>
      <c r="V26" s="84">
        <f>+V24+V25</f>
        <v>0</v>
      </c>
      <c r="W26" s="89">
        <f>+W24+W25</f>
        <v>0</v>
      </c>
      <c r="X26" s="89">
        <f>+X24+X25</f>
        <v>0</v>
      </c>
      <c r="Y26" s="222">
        <f t="shared" ref="Y26:AC26" si="12">+Y24+Y25</f>
        <v>0</v>
      </c>
      <c r="Z26" s="222">
        <f t="shared" si="12"/>
        <v>0</v>
      </c>
      <c r="AA26" s="88">
        <f t="shared" si="12"/>
        <v>0</v>
      </c>
      <c r="AB26" s="89">
        <f t="shared" si="12"/>
        <v>0</v>
      </c>
      <c r="AC26" s="89">
        <f t="shared" si="12"/>
        <v>0</v>
      </c>
      <c r="AD26" s="131">
        <f>+AD24+AD25</f>
        <v>96671850</v>
      </c>
      <c r="AE26" s="24"/>
    </row>
    <row r="27" spans="1:31" s="3" customFormat="1" ht="29.25" customHeight="1" x14ac:dyDescent="0.35">
      <c r="A27" s="263" t="s">
        <v>250</v>
      </c>
      <c r="B27" s="264"/>
      <c r="C27" s="264"/>
      <c r="D27" s="264"/>
      <c r="E27" s="251">
        <f>SUM(E26:E26)</f>
        <v>47576700</v>
      </c>
      <c r="F27" s="249">
        <f>SUM(F26:F26)</f>
        <v>47337480</v>
      </c>
      <c r="G27" s="265">
        <f>SUM(G26:H26)</f>
        <v>0</v>
      </c>
      <c r="H27" s="266"/>
      <c r="I27" s="319">
        <f>SUM(I26:L26)</f>
        <v>0</v>
      </c>
      <c r="J27" s="320"/>
      <c r="K27" s="320"/>
      <c r="L27" s="321"/>
      <c r="M27" s="282">
        <f>SUM(M26:Q26)</f>
        <v>0</v>
      </c>
      <c r="N27" s="322"/>
      <c r="O27" s="322"/>
      <c r="P27" s="322"/>
      <c r="Q27" s="283"/>
      <c r="R27" s="286">
        <f>SUM(R26:S26)</f>
        <v>0</v>
      </c>
      <c r="S27" s="287"/>
      <c r="T27" s="284">
        <f>SUM(T26:U26)</f>
        <v>0</v>
      </c>
      <c r="U27" s="285"/>
      <c r="V27" s="248">
        <f>SUM(V26:V26)</f>
        <v>0</v>
      </c>
      <c r="W27" s="267">
        <f>SUM(W26:X26)</f>
        <v>0</v>
      </c>
      <c r="X27" s="268"/>
      <c r="Y27" s="269">
        <f>SUM(Y26:Z26)</f>
        <v>0</v>
      </c>
      <c r="Z27" s="270"/>
      <c r="AA27" s="88">
        <f>SUM(AA26:AA26)</f>
        <v>0</v>
      </c>
      <c r="AB27" s="267">
        <f>SUM(AB26:AC26)</f>
        <v>0</v>
      </c>
      <c r="AC27" s="281"/>
      <c r="AD27" s="131"/>
      <c r="AE27" s="24"/>
    </row>
    <row r="28" spans="1:31" x14ac:dyDescent="0.35">
      <c r="A28" s="136"/>
      <c r="B28" s="136"/>
      <c r="C28" s="136"/>
      <c r="D28" s="136"/>
      <c r="G28" s="2" t="s">
        <v>255</v>
      </c>
      <c r="M28" s="214"/>
    </row>
    <row r="30" spans="1:31" x14ac:dyDescent="0.35">
      <c r="X30" s="250">
        <f>AD26/12</f>
        <v>8055987.5</v>
      </c>
    </row>
    <row r="33" spans="6:6" x14ac:dyDescent="0.35">
      <c r="F33" s="2">
        <v>43831000</v>
      </c>
    </row>
  </sheetData>
  <autoFilter ref="A4:AE28" xr:uid="{00000000-0001-0000-0300-000000000000}">
    <filterColumn colId="29">
      <filters blank="1">
        <filter val="100551"/>
        <filter val="1007"/>
        <filter val="1600"/>
        <filter val="16600"/>
        <filter val="20"/>
        <filter val="283"/>
        <filter val="36372"/>
        <filter val="37027"/>
        <filter val="62,804,900"/>
        <filter val="628,049,000"/>
        <filter val="648"/>
        <filter val="65"/>
        <filter val="690,853,900.00"/>
        <filter val="6929"/>
      </filters>
    </filterColumn>
  </autoFilter>
  <mergeCells count="23">
    <mergeCell ref="T27:U27"/>
    <mergeCell ref="W27:X27"/>
    <mergeCell ref="Y27:Z27"/>
    <mergeCell ref="AB27:AC27"/>
    <mergeCell ref="A27:D27"/>
    <mergeCell ref="G27:H27"/>
    <mergeCell ref="I27:L27"/>
    <mergeCell ref="M27:Q27"/>
    <mergeCell ref="R27:S27"/>
    <mergeCell ref="A1:AD1"/>
    <mergeCell ref="A2:A4"/>
    <mergeCell ref="B2:D2"/>
    <mergeCell ref="B3:B4"/>
    <mergeCell ref="C3:C4"/>
    <mergeCell ref="D3:D4"/>
    <mergeCell ref="G3:H3"/>
    <mergeCell ref="I3:J3"/>
    <mergeCell ref="M3:Q3"/>
    <mergeCell ref="R3:S3"/>
    <mergeCell ref="T3:U3"/>
    <mergeCell ref="W3:X3"/>
    <mergeCell ref="Y3:Z3"/>
    <mergeCell ref="AB3:AC3"/>
  </mergeCells>
  <pageMargins left="0.7" right="0.7" top="0.75" bottom="0.75" header="0.3" footer="0.3"/>
  <pageSetup scale="50" orientation="landscape" horizontalDpi="4294967295"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AH30"/>
  <sheetViews>
    <sheetView zoomScale="55" zoomScaleNormal="55" workbookViewId="0">
      <pane xSplit="4" ySplit="4" topLeftCell="E11" activePane="bottomRight" state="frozen"/>
      <selection pane="topRight" activeCell="E1" sqref="E1"/>
      <selection pane="bottomLeft" activeCell="A5" sqref="A5"/>
      <selection pane="bottomRight" activeCell="C12" sqref="C12"/>
    </sheetView>
  </sheetViews>
  <sheetFormatPr defaultColWidth="9.1796875" defaultRowHeight="16.5" x14ac:dyDescent="0.35"/>
  <cols>
    <col min="1" max="1" width="4.81640625" style="2" bestFit="1" customWidth="1"/>
    <col min="2" max="2" width="81.453125" style="27" customWidth="1"/>
    <col min="3" max="3" width="19" style="27" customWidth="1"/>
    <col min="4" max="4" width="14" style="2" customWidth="1"/>
    <col min="5" max="5" width="19.453125" style="2" bestFit="1" customWidth="1"/>
    <col min="6" max="9" width="19.453125" style="2" customWidth="1"/>
    <col min="10" max="11" width="22.453125" style="2" customWidth="1"/>
    <col min="12" max="12" width="19.54296875" style="2" bestFit="1" customWidth="1"/>
    <col min="13" max="13" width="19.453125" style="2" bestFit="1" customWidth="1"/>
    <col min="14" max="15" width="19.453125" style="2" customWidth="1"/>
    <col min="16" max="16" width="19.54296875" style="2" bestFit="1" customWidth="1"/>
    <col min="17" max="18" width="20.453125" style="2" bestFit="1" customWidth="1"/>
    <col min="19" max="20" width="20.453125" style="2" customWidth="1"/>
    <col min="21" max="22" width="20.453125" style="2" bestFit="1" customWidth="1"/>
    <col min="23" max="23" width="26.54296875" style="2" bestFit="1" customWidth="1"/>
    <col min="24" max="24" width="26.1796875" style="2" bestFit="1" customWidth="1"/>
    <col min="25" max="25" width="21.1796875" style="2" customWidth="1"/>
    <col min="26" max="27" width="27" style="2" customWidth="1"/>
    <col min="28" max="29" width="19.453125" style="2" customWidth="1"/>
    <col min="30" max="31" width="15.1796875" style="2" customWidth="1"/>
    <col min="32" max="32" width="20.81640625" style="2" customWidth="1"/>
    <col min="33" max="33" width="24.453125" style="134" customWidth="1"/>
    <col min="34" max="34" width="18.453125" style="2" customWidth="1"/>
    <col min="35" max="16384" width="9.1796875" style="2"/>
  </cols>
  <sheetData>
    <row r="1" spans="1:34" ht="57.75" customHeight="1" x14ac:dyDescent="0.35">
      <c r="A1" s="271" t="s">
        <v>256</v>
      </c>
      <c r="B1" s="272"/>
      <c r="C1" s="272"/>
      <c r="D1" s="272"/>
      <c r="E1" s="272"/>
      <c r="F1" s="272"/>
      <c r="G1" s="272"/>
      <c r="H1" s="272"/>
      <c r="I1" s="272"/>
      <c r="J1" s="272"/>
      <c r="K1" s="272"/>
      <c r="L1" s="272"/>
      <c r="M1" s="272"/>
      <c r="N1" s="272"/>
      <c r="O1" s="272"/>
      <c r="P1" s="272"/>
      <c r="Q1" s="272"/>
      <c r="R1" s="272"/>
      <c r="S1" s="272"/>
      <c r="T1" s="272"/>
      <c r="U1" s="272"/>
      <c r="V1" s="272"/>
      <c r="W1" s="272"/>
      <c r="X1" s="272"/>
      <c r="Y1" s="272"/>
      <c r="Z1" s="272"/>
      <c r="AA1" s="272"/>
      <c r="AB1" s="272"/>
      <c r="AC1" s="272"/>
      <c r="AD1" s="272"/>
      <c r="AE1" s="272"/>
      <c r="AF1" s="272"/>
      <c r="AG1" s="272"/>
      <c r="AH1" s="1"/>
    </row>
    <row r="2" spans="1:34" s="1" customFormat="1" ht="22.5" customHeight="1" x14ac:dyDescent="0.35">
      <c r="A2" s="273" t="s">
        <v>1</v>
      </c>
      <c r="B2" s="274" t="s">
        <v>196</v>
      </c>
      <c r="C2" s="275"/>
      <c r="D2" s="276"/>
      <c r="E2" s="139"/>
      <c r="F2" s="139"/>
      <c r="G2" s="139"/>
      <c r="H2" s="139"/>
      <c r="I2" s="139"/>
      <c r="J2" s="139"/>
      <c r="K2" s="139"/>
      <c r="L2" s="139"/>
      <c r="M2" s="139"/>
      <c r="N2" s="139"/>
      <c r="O2" s="139"/>
      <c r="P2" s="139"/>
      <c r="Q2" s="139"/>
      <c r="R2" s="139"/>
      <c r="S2" s="139"/>
      <c r="T2" s="139"/>
      <c r="U2" s="139"/>
      <c r="V2" s="139"/>
      <c r="W2" s="139"/>
      <c r="X2" s="139"/>
      <c r="Y2" s="141"/>
      <c r="Z2" s="139"/>
      <c r="AA2" s="139"/>
      <c r="AB2" s="139"/>
      <c r="AC2" s="139"/>
      <c r="AD2" s="141"/>
      <c r="AE2" s="139"/>
      <c r="AF2" s="139"/>
      <c r="AG2" s="128"/>
    </row>
    <row r="3" spans="1:34" s="3" customFormat="1" ht="22.5" customHeight="1" x14ac:dyDescent="0.35">
      <c r="A3" s="273"/>
      <c r="B3" s="277" t="s">
        <v>6</v>
      </c>
      <c r="C3" s="277" t="s">
        <v>135</v>
      </c>
      <c r="D3" s="277" t="s">
        <v>8</v>
      </c>
      <c r="E3" s="278" t="s">
        <v>9</v>
      </c>
      <c r="F3" s="280"/>
      <c r="G3" s="280"/>
      <c r="H3" s="280"/>
      <c r="I3" s="13" t="s">
        <v>10</v>
      </c>
      <c r="J3" s="278" t="s">
        <v>11</v>
      </c>
      <c r="K3" s="279"/>
      <c r="L3" s="278" t="s">
        <v>12</v>
      </c>
      <c r="M3" s="280"/>
      <c r="N3" s="127"/>
      <c r="O3" s="127"/>
      <c r="P3" s="278" t="s">
        <v>13</v>
      </c>
      <c r="Q3" s="280"/>
      <c r="R3" s="280"/>
      <c r="S3" s="280"/>
      <c r="T3" s="279"/>
      <c r="U3" s="305" t="s">
        <v>136</v>
      </c>
      <c r="V3" s="305"/>
      <c r="W3" s="305" t="s">
        <v>15</v>
      </c>
      <c r="X3" s="305"/>
      <c r="Y3" s="140" t="s">
        <v>16</v>
      </c>
      <c r="Z3" s="278" t="s">
        <v>17</v>
      </c>
      <c r="AA3" s="280"/>
      <c r="AB3" s="278" t="s">
        <v>197</v>
      </c>
      <c r="AC3" s="280"/>
      <c r="AD3" s="139" t="s">
        <v>198</v>
      </c>
      <c r="AE3" s="278" t="s">
        <v>199</v>
      </c>
      <c r="AF3" s="280"/>
      <c r="AG3" s="129"/>
      <c r="AH3" s="1"/>
    </row>
    <row r="4" spans="1:34" s="3" customFormat="1" ht="48" customHeight="1" x14ac:dyDescent="0.35">
      <c r="A4" s="273"/>
      <c r="B4" s="277"/>
      <c r="C4" s="277"/>
      <c r="D4" s="277"/>
      <c r="E4" s="232">
        <v>45657</v>
      </c>
      <c r="F4" s="233">
        <v>45659</v>
      </c>
      <c r="G4" s="233">
        <v>45672</v>
      </c>
      <c r="H4" s="233">
        <v>45675</v>
      </c>
      <c r="I4" s="234">
        <v>45683</v>
      </c>
      <c r="J4" s="67">
        <v>45714</v>
      </c>
      <c r="K4" s="67">
        <v>45729</v>
      </c>
      <c r="L4" s="45">
        <v>45744</v>
      </c>
      <c r="M4" s="45">
        <v>45746</v>
      </c>
      <c r="N4" s="45">
        <v>45758</v>
      </c>
      <c r="O4" s="45">
        <v>45760</v>
      </c>
      <c r="P4" s="46">
        <v>45773</v>
      </c>
      <c r="Q4" s="46">
        <v>45779</v>
      </c>
      <c r="R4" s="46">
        <v>45794</v>
      </c>
      <c r="S4" s="46">
        <v>45798</v>
      </c>
      <c r="T4" s="46">
        <v>45801</v>
      </c>
      <c r="U4" s="49">
        <v>45807</v>
      </c>
      <c r="V4" s="49">
        <v>45821</v>
      </c>
      <c r="W4" s="68">
        <v>45840</v>
      </c>
      <c r="X4" s="68">
        <v>45859</v>
      </c>
      <c r="Y4" s="80">
        <v>45875</v>
      </c>
      <c r="Z4" s="85">
        <v>45896</v>
      </c>
      <c r="AA4" s="85">
        <v>45918</v>
      </c>
      <c r="AB4" s="219">
        <v>45937</v>
      </c>
      <c r="AC4" s="219">
        <v>45953</v>
      </c>
      <c r="AD4" s="85">
        <v>45973</v>
      </c>
      <c r="AE4" s="85">
        <v>45992</v>
      </c>
      <c r="AF4" s="85">
        <v>46011</v>
      </c>
      <c r="AG4" s="77" t="s">
        <v>60</v>
      </c>
      <c r="AH4" s="5"/>
    </row>
    <row r="5" spans="1:34" ht="65.150000000000006" hidden="1" customHeight="1" x14ac:dyDescent="0.35">
      <c r="A5" s="6">
        <v>1</v>
      </c>
      <c r="B5" s="7" t="s">
        <v>213</v>
      </c>
      <c r="C5" s="111">
        <v>35000</v>
      </c>
      <c r="D5" s="150" t="s">
        <v>214</v>
      </c>
      <c r="E5" s="237"/>
      <c r="F5" s="238"/>
      <c r="G5" s="238"/>
      <c r="H5" s="238"/>
      <c r="I5" s="239"/>
      <c r="J5" s="240"/>
      <c r="K5" s="240"/>
      <c r="L5" s="241"/>
      <c r="M5" s="241"/>
      <c r="N5" s="241"/>
      <c r="O5" s="241"/>
      <c r="P5" s="242"/>
      <c r="Q5" s="242"/>
      <c r="R5" s="242"/>
      <c r="S5" s="242"/>
      <c r="T5" s="242"/>
      <c r="U5" s="243"/>
      <c r="V5" s="243"/>
      <c r="W5" s="244"/>
      <c r="X5" s="244"/>
      <c r="Y5" s="245"/>
      <c r="Z5" s="246"/>
      <c r="AA5" s="246"/>
      <c r="AB5" s="247"/>
      <c r="AC5" s="247"/>
      <c r="AD5" s="246"/>
      <c r="AE5" s="246"/>
      <c r="AF5" s="246"/>
      <c r="AG5" s="130">
        <f t="shared" ref="AG5:AG24" si="0">SUM(E5:AF5)</f>
        <v>0</v>
      </c>
      <c r="AH5" s="26">
        <f>AG5*C5</f>
        <v>0</v>
      </c>
    </row>
    <row r="6" spans="1:34" ht="42.65" hidden="1" customHeight="1" x14ac:dyDescent="0.35">
      <c r="A6" s="6">
        <v>2</v>
      </c>
      <c r="B6" s="7" t="s">
        <v>215</v>
      </c>
      <c r="C6" s="111">
        <v>175000</v>
      </c>
      <c r="D6" s="9" t="s">
        <v>216</v>
      </c>
      <c r="E6" s="237"/>
      <c r="F6" s="238"/>
      <c r="G6" s="238"/>
      <c r="H6" s="238"/>
      <c r="I6" s="239"/>
      <c r="J6" s="240"/>
      <c r="K6" s="240"/>
      <c r="L6" s="241"/>
      <c r="M6" s="241"/>
      <c r="N6" s="241"/>
      <c r="O6" s="241"/>
      <c r="P6" s="242"/>
      <c r="Q6" s="242"/>
      <c r="R6" s="242"/>
      <c r="S6" s="242"/>
      <c r="T6" s="242"/>
      <c r="U6" s="243"/>
      <c r="V6" s="243"/>
      <c r="W6" s="244"/>
      <c r="X6" s="244"/>
      <c r="Y6" s="245"/>
      <c r="Z6" s="246"/>
      <c r="AA6" s="246"/>
      <c r="AB6" s="247"/>
      <c r="AC6" s="247"/>
      <c r="AD6" s="246"/>
      <c r="AE6" s="246"/>
      <c r="AF6" s="246"/>
      <c r="AG6" s="130">
        <f t="shared" si="0"/>
        <v>0</v>
      </c>
    </row>
    <row r="7" spans="1:34" ht="42.65" hidden="1" customHeight="1" x14ac:dyDescent="0.35">
      <c r="A7" s="6">
        <v>3</v>
      </c>
      <c r="B7" s="7" t="s">
        <v>217</v>
      </c>
      <c r="C7" s="111">
        <v>5500</v>
      </c>
      <c r="D7" s="9" t="s">
        <v>218</v>
      </c>
      <c r="E7" s="10"/>
      <c r="F7" s="11"/>
      <c r="G7" s="11"/>
      <c r="H7" s="11"/>
      <c r="I7" s="235"/>
      <c r="J7" s="32"/>
      <c r="K7" s="32"/>
      <c r="L7" s="37"/>
      <c r="M7" s="37"/>
      <c r="N7" s="37"/>
      <c r="O7" s="37"/>
      <c r="P7" s="41"/>
      <c r="Q7" s="41"/>
      <c r="R7" s="41"/>
      <c r="S7" s="41"/>
      <c r="T7" s="41"/>
      <c r="U7" s="50"/>
      <c r="V7" s="50"/>
      <c r="W7" s="69"/>
      <c r="X7" s="69"/>
      <c r="Y7" s="81"/>
      <c r="Z7" s="86"/>
      <c r="AA7" s="86"/>
      <c r="AB7" s="220"/>
      <c r="AC7" s="220"/>
      <c r="AD7" s="86"/>
      <c r="AE7" s="86"/>
      <c r="AF7" s="86"/>
      <c r="AG7" s="130">
        <f t="shared" si="0"/>
        <v>0</v>
      </c>
    </row>
    <row r="8" spans="1:34" ht="42.65" hidden="1" customHeight="1" x14ac:dyDescent="0.35">
      <c r="A8" s="6">
        <v>4</v>
      </c>
      <c r="B8" s="7" t="s">
        <v>219</v>
      </c>
      <c r="C8" s="111">
        <v>6700</v>
      </c>
      <c r="D8" s="12" t="s">
        <v>220</v>
      </c>
      <c r="E8" s="11"/>
      <c r="F8" s="105"/>
      <c r="G8" s="105"/>
      <c r="H8" s="105"/>
      <c r="I8" s="28"/>
      <c r="J8" s="32"/>
      <c r="K8" s="32"/>
      <c r="L8" s="37"/>
      <c r="M8" s="37"/>
      <c r="N8" s="37"/>
      <c r="O8" s="37"/>
      <c r="P8" s="41"/>
      <c r="Q8" s="41"/>
      <c r="R8" s="41"/>
      <c r="S8" s="41"/>
      <c r="T8" s="41"/>
      <c r="U8" s="50"/>
      <c r="V8" s="50"/>
      <c r="W8" s="69"/>
      <c r="X8" s="69"/>
      <c r="Y8" s="81"/>
      <c r="Z8" s="86"/>
      <c r="AA8" s="86"/>
      <c r="AB8" s="220"/>
      <c r="AC8" s="220"/>
      <c r="AD8" s="86"/>
      <c r="AE8" s="86"/>
      <c r="AF8" s="86"/>
      <c r="AG8" s="130">
        <f t="shared" si="0"/>
        <v>0</v>
      </c>
    </row>
    <row r="9" spans="1:34" ht="42.65" hidden="1" customHeight="1" x14ac:dyDescent="0.35">
      <c r="A9" s="6">
        <v>5</v>
      </c>
      <c r="B9" s="7" t="s">
        <v>221</v>
      </c>
      <c r="C9" s="111">
        <v>6700</v>
      </c>
      <c r="D9" s="9" t="s">
        <v>222</v>
      </c>
      <c r="E9" s="11"/>
      <c r="F9" s="105"/>
      <c r="G9" s="105"/>
      <c r="H9" s="105"/>
      <c r="I9" s="28"/>
      <c r="J9" s="32"/>
      <c r="K9" s="32"/>
      <c r="L9" s="37"/>
      <c r="M9" s="37"/>
      <c r="N9" s="37"/>
      <c r="O9" s="37"/>
      <c r="P9" s="41"/>
      <c r="Q9" s="41"/>
      <c r="R9" s="41"/>
      <c r="S9" s="41"/>
      <c r="T9" s="41"/>
      <c r="U9" s="50"/>
      <c r="V9" s="50"/>
      <c r="W9" s="69"/>
      <c r="X9" s="69"/>
      <c r="Y9" s="81"/>
      <c r="Z9" s="86"/>
      <c r="AA9" s="86"/>
      <c r="AB9" s="220"/>
      <c r="AC9" s="220"/>
      <c r="AD9" s="86"/>
      <c r="AE9" s="86"/>
      <c r="AF9" s="86"/>
      <c r="AG9" s="130">
        <f t="shared" si="0"/>
        <v>0</v>
      </c>
    </row>
    <row r="10" spans="1:34" ht="42.65" hidden="1" customHeight="1" x14ac:dyDescent="0.35">
      <c r="A10" s="6">
        <v>6</v>
      </c>
      <c r="B10" s="7" t="s">
        <v>223</v>
      </c>
      <c r="C10" s="111">
        <v>6700</v>
      </c>
      <c r="D10" s="9" t="s">
        <v>224</v>
      </c>
      <c r="E10" s="11"/>
      <c r="F10" s="105"/>
      <c r="G10" s="105"/>
      <c r="H10" s="105"/>
      <c r="I10" s="28"/>
      <c r="J10" s="32"/>
      <c r="K10" s="32"/>
      <c r="L10" s="37"/>
      <c r="M10" s="37"/>
      <c r="N10" s="37"/>
      <c r="O10" s="37"/>
      <c r="P10" s="41"/>
      <c r="Q10" s="41"/>
      <c r="R10" s="41"/>
      <c r="S10" s="41"/>
      <c r="T10" s="41"/>
      <c r="U10" s="50"/>
      <c r="V10" s="50"/>
      <c r="W10" s="69"/>
      <c r="X10" s="69"/>
      <c r="Y10" s="81"/>
      <c r="Z10" s="86"/>
      <c r="AA10" s="86"/>
      <c r="AB10" s="220"/>
      <c r="AC10" s="220"/>
      <c r="AD10" s="86"/>
      <c r="AE10" s="86"/>
      <c r="AF10" s="86"/>
      <c r="AG10" s="130">
        <f t="shared" si="0"/>
        <v>0</v>
      </c>
    </row>
    <row r="11" spans="1:34" ht="42.65" customHeight="1" x14ac:dyDescent="0.35">
      <c r="A11" s="6">
        <v>7</v>
      </c>
      <c r="B11" s="7" t="s">
        <v>225</v>
      </c>
      <c r="C11" s="111">
        <v>6700</v>
      </c>
      <c r="D11" s="9" t="s">
        <v>226</v>
      </c>
      <c r="E11" s="11"/>
      <c r="F11" s="105"/>
      <c r="G11" s="105"/>
      <c r="H11" s="105"/>
      <c r="I11" s="28"/>
      <c r="J11" s="32"/>
      <c r="K11" s="32"/>
      <c r="L11" s="37"/>
      <c r="M11" s="37"/>
      <c r="N11" s="37"/>
      <c r="O11" s="37"/>
      <c r="P11" s="41"/>
      <c r="Q11" s="41"/>
      <c r="R11" s="41"/>
      <c r="S11" s="41"/>
      <c r="T11" s="41"/>
      <c r="U11" s="50"/>
      <c r="V11" s="50"/>
      <c r="W11" s="69">
        <v>10</v>
      </c>
      <c r="X11" s="69"/>
      <c r="Y11" s="81"/>
      <c r="Z11" s="86"/>
      <c r="AA11" s="86"/>
      <c r="AB11" s="220"/>
      <c r="AC11" s="220">
        <v>20</v>
      </c>
      <c r="AD11" s="86"/>
      <c r="AE11" s="86"/>
      <c r="AF11" s="86"/>
      <c r="AG11" s="130">
        <f t="shared" si="0"/>
        <v>30</v>
      </c>
    </row>
    <row r="12" spans="1:34" ht="33" x14ac:dyDescent="0.35">
      <c r="A12" s="6">
        <v>8</v>
      </c>
      <c r="B12" s="7" t="s">
        <v>227</v>
      </c>
      <c r="C12" s="111">
        <v>6700</v>
      </c>
      <c r="D12" s="9" t="s">
        <v>228</v>
      </c>
      <c r="E12" s="11">
        <v>25</v>
      </c>
      <c r="F12" s="105"/>
      <c r="G12" s="105">
        <v>32</v>
      </c>
      <c r="H12" s="105"/>
      <c r="I12" s="28"/>
      <c r="J12" s="32">
        <v>35</v>
      </c>
      <c r="K12" s="32">
        <v>42</v>
      </c>
      <c r="L12" s="37">
        <v>30</v>
      </c>
      <c r="M12" s="37"/>
      <c r="N12" s="37">
        <v>47</v>
      </c>
      <c r="O12" s="37"/>
      <c r="P12" s="41"/>
      <c r="Q12" s="41">
        <v>40</v>
      </c>
      <c r="R12" s="41"/>
      <c r="S12" s="41"/>
      <c r="T12" s="41"/>
      <c r="U12" s="50">
        <v>35</v>
      </c>
      <c r="V12" s="50">
        <v>40</v>
      </c>
      <c r="W12" s="69">
        <v>42</v>
      </c>
      <c r="X12" s="69"/>
      <c r="Y12" s="81">
        <v>40</v>
      </c>
      <c r="Z12" s="218"/>
      <c r="AA12" s="218">
        <v>19</v>
      </c>
      <c r="AB12" s="220"/>
      <c r="AC12" s="220">
        <v>50</v>
      </c>
      <c r="AD12" s="86"/>
      <c r="AE12" s="86"/>
      <c r="AF12" s="86"/>
      <c r="AG12" s="130">
        <f t="shared" si="0"/>
        <v>477</v>
      </c>
    </row>
    <row r="13" spans="1:34" ht="49.5" x14ac:dyDescent="0.35">
      <c r="A13" s="6">
        <v>9</v>
      </c>
      <c r="B13" s="7" t="s">
        <v>229</v>
      </c>
      <c r="C13" s="111">
        <v>6700</v>
      </c>
      <c r="D13" s="12" t="s">
        <v>230</v>
      </c>
      <c r="E13" s="11">
        <v>1600</v>
      </c>
      <c r="F13" s="105"/>
      <c r="G13" s="105">
        <v>1590</v>
      </c>
      <c r="H13" s="105"/>
      <c r="I13" s="28">
        <v>2821</v>
      </c>
      <c r="J13" s="32">
        <v>2010</v>
      </c>
      <c r="K13" s="32">
        <v>1788</v>
      </c>
      <c r="L13" s="37">
        <v>1630</v>
      </c>
      <c r="M13" s="37"/>
      <c r="N13" s="37">
        <v>1378</v>
      </c>
      <c r="O13" s="37"/>
      <c r="P13" s="41">
        <v>2215</v>
      </c>
      <c r="Q13" s="41">
        <v>1700</v>
      </c>
      <c r="R13" s="41">
        <v>1780</v>
      </c>
      <c r="S13" s="41"/>
      <c r="T13" s="41">
        <v>1525</v>
      </c>
      <c r="U13" s="50">
        <v>2919</v>
      </c>
      <c r="V13" s="50">
        <v>2495</v>
      </c>
      <c r="W13" s="69">
        <v>2788</v>
      </c>
      <c r="X13" s="69">
        <v>2620</v>
      </c>
      <c r="Y13" s="81">
        <v>2029</v>
      </c>
      <c r="Z13" s="218">
        <v>2405</v>
      </c>
      <c r="AA13" s="218">
        <v>1661</v>
      </c>
      <c r="AB13" s="220">
        <v>1990</v>
      </c>
      <c r="AC13" s="220">
        <v>980</v>
      </c>
      <c r="AD13" s="86">
        <v>1392</v>
      </c>
      <c r="AE13" s="86">
        <v>1734</v>
      </c>
      <c r="AF13" s="86"/>
      <c r="AG13" s="130">
        <f t="shared" si="0"/>
        <v>43050</v>
      </c>
    </row>
    <row r="14" spans="1:34" hidden="1" x14ac:dyDescent="0.35">
      <c r="A14" s="6">
        <v>10</v>
      </c>
      <c r="B14" s="7" t="s">
        <v>231</v>
      </c>
      <c r="C14" s="111">
        <v>5500</v>
      </c>
      <c r="D14" s="12" t="s">
        <v>232</v>
      </c>
      <c r="E14" s="11"/>
      <c r="F14" s="105"/>
      <c r="G14" s="105"/>
      <c r="H14" s="105"/>
      <c r="I14" s="105"/>
      <c r="J14" s="32"/>
      <c r="K14" s="32"/>
      <c r="L14" s="37"/>
      <c r="M14" s="37"/>
      <c r="N14" s="37"/>
      <c r="O14" s="37"/>
      <c r="P14" s="41"/>
      <c r="Q14" s="41"/>
      <c r="R14" s="41"/>
      <c r="S14" s="41"/>
      <c r="T14" s="41"/>
      <c r="U14" s="50"/>
      <c r="V14" s="50"/>
      <c r="W14" s="69"/>
      <c r="X14" s="69"/>
      <c r="Y14" s="81"/>
      <c r="Z14" s="218"/>
      <c r="AA14" s="218"/>
      <c r="AB14" s="220"/>
      <c r="AC14" s="220"/>
      <c r="AD14" s="86"/>
      <c r="AE14" s="86"/>
      <c r="AF14" s="86"/>
      <c r="AG14" s="130">
        <f t="shared" si="0"/>
        <v>0</v>
      </c>
    </row>
    <row r="15" spans="1:34" ht="33" x14ac:dyDescent="0.35">
      <c r="A15" s="6">
        <v>11</v>
      </c>
      <c r="B15" s="7" t="s">
        <v>233</v>
      </c>
      <c r="C15" s="111">
        <v>6700</v>
      </c>
      <c r="D15" s="12" t="s">
        <v>234</v>
      </c>
      <c r="E15" s="11"/>
      <c r="F15" s="105"/>
      <c r="G15" s="105"/>
      <c r="H15" s="105"/>
      <c r="I15" s="28"/>
      <c r="J15" s="32">
        <v>25</v>
      </c>
      <c r="K15" s="32"/>
      <c r="L15" s="37">
        <v>20</v>
      </c>
      <c r="M15" s="37"/>
      <c r="N15" s="37"/>
      <c r="O15" s="37"/>
      <c r="P15" s="41"/>
      <c r="Q15" s="41"/>
      <c r="R15" s="41"/>
      <c r="S15" s="41"/>
      <c r="T15" s="41"/>
      <c r="U15" s="50"/>
      <c r="V15" s="50"/>
      <c r="W15" s="69">
        <v>25</v>
      </c>
      <c r="X15" s="69"/>
      <c r="Y15" s="81"/>
      <c r="Z15" s="218"/>
      <c r="AA15" s="218"/>
      <c r="AB15" s="220">
        <v>40</v>
      </c>
      <c r="AC15" s="220">
        <v>40</v>
      </c>
      <c r="AD15" s="86"/>
      <c r="AE15" s="86"/>
      <c r="AF15" s="86"/>
      <c r="AG15" s="130">
        <f t="shared" si="0"/>
        <v>150</v>
      </c>
    </row>
    <row r="16" spans="1:34" ht="33" hidden="1" x14ac:dyDescent="0.35">
      <c r="A16" s="6">
        <v>12</v>
      </c>
      <c r="B16" s="7" t="s">
        <v>235</v>
      </c>
      <c r="C16" s="111">
        <v>5500</v>
      </c>
      <c r="D16" s="12" t="s">
        <v>236</v>
      </c>
      <c r="E16" s="11"/>
      <c r="F16" s="105"/>
      <c r="G16" s="105"/>
      <c r="H16" s="105"/>
      <c r="I16" s="28"/>
      <c r="J16" s="32"/>
      <c r="K16" s="32"/>
      <c r="L16" s="37"/>
      <c r="M16" s="37"/>
      <c r="N16" s="37"/>
      <c r="O16" s="37"/>
      <c r="P16" s="41"/>
      <c r="Q16" s="41"/>
      <c r="R16" s="41"/>
      <c r="S16" s="41"/>
      <c r="T16" s="41"/>
      <c r="U16" s="50"/>
      <c r="V16" s="50"/>
      <c r="W16" s="69"/>
      <c r="X16" s="69"/>
      <c r="Y16" s="81"/>
      <c r="Z16" s="218"/>
      <c r="AA16" s="218"/>
      <c r="AB16" s="220"/>
      <c r="AC16" s="220"/>
      <c r="AD16" s="86"/>
      <c r="AE16" s="86"/>
      <c r="AF16" s="86"/>
      <c r="AG16" s="130">
        <f t="shared" si="0"/>
        <v>0</v>
      </c>
    </row>
    <row r="17" spans="1:34" ht="47.5" customHeight="1" x14ac:dyDescent="0.35">
      <c r="A17" s="6">
        <v>13</v>
      </c>
      <c r="B17" s="7" t="s">
        <v>237</v>
      </c>
      <c r="C17" s="111">
        <v>5500</v>
      </c>
      <c r="D17" s="12" t="s">
        <v>238</v>
      </c>
      <c r="E17" s="11">
        <v>1400</v>
      </c>
      <c r="F17" s="105"/>
      <c r="G17" s="105">
        <v>1200</v>
      </c>
      <c r="H17" s="105"/>
      <c r="I17" s="28">
        <v>1800</v>
      </c>
      <c r="J17" s="32">
        <v>1400</v>
      </c>
      <c r="K17" s="32">
        <v>400</v>
      </c>
      <c r="L17" s="37">
        <v>500</v>
      </c>
      <c r="M17" s="37"/>
      <c r="N17" s="37">
        <v>500</v>
      </c>
      <c r="O17" s="37"/>
      <c r="P17" s="41"/>
      <c r="Q17" s="41">
        <v>200</v>
      </c>
      <c r="R17" s="41"/>
      <c r="S17" s="41"/>
      <c r="T17" s="41"/>
      <c r="U17" s="50">
        <v>600</v>
      </c>
      <c r="V17" s="50">
        <v>600</v>
      </c>
      <c r="W17" s="69">
        <v>1000</v>
      </c>
      <c r="X17" s="69">
        <v>600</v>
      </c>
      <c r="Y17" s="81">
        <v>900</v>
      </c>
      <c r="Z17" s="218">
        <v>1800</v>
      </c>
      <c r="AA17" s="218">
        <v>1500</v>
      </c>
      <c r="AB17" s="220">
        <v>1800</v>
      </c>
      <c r="AC17" s="220">
        <v>2100</v>
      </c>
      <c r="AD17" s="86">
        <v>2400</v>
      </c>
      <c r="AE17" s="86">
        <v>2600</v>
      </c>
      <c r="AF17" s="86"/>
      <c r="AG17" s="130">
        <f t="shared" si="0"/>
        <v>23300</v>
      </c>
    </row>
    <row r="18" spans="1:34" ht="49.4" hidden="1" customHeight="1" x14ac:dyDescent="0.35">
      <c r="A18" s="6">
        <v>14</v>
      </c>
      <c r="B18" s="7" t="s">
        <v>239</v>
      </c>
      <c r="C18" s="111">
        <v>5500</v>
      </c>
      <c r="D18" s="12" t="s">
        <v>240</v>
      </c>
      <c r="E18" s="11"/>
      <c r="F18" s="105"/>
      <c r="G18" s="105"/>
      <c r="H18" s="105"/>
      <c r="I18" s="105"/>
      <c r="J18" s="32"/>
      <c r="K18" s="32"/>
      <c r="L18" s="37"/>
      <c r="M18" s="37"/>
      <c r="N18" s="37"/>
      <c r="O18" s="37"/>
      <c r="P18" s="41"/>
      <c r="Q18" s="41"/>
      <c r="R18" s="41"/>
      <c r="S18" s="41"/>
      <c r="T18" s="41"/>
      <c r="U18" s="50"/>
      <c r="V18" s="50"/>
      <c r="W18" s="69"/>
      <c r="X18" s="69"/>
      <c r="Y18" s="81"/>
      <c r="Z18" s="218"/>
      <c r="AA18" s="218"/>
      <c r="AB18" s="220"/>
      <c r="AC18" s="220"/>
      <c r="AD18" s="86"/>
      <c r="AE18" s="86"/>
      <c r="AF18" s="86"/>
      <c r="AG18" s="130">
        <f t="shared" si="0"/>
        <v>0</v>
      </c>
    </row>
    <row r="19" spans="1:34" ht="49.4" customHeight="1" x14ac:dyDescent="0.35">
      <c r="A19" s="6">
        <v>15</v>
      </c>
      <c r="B19" s="7" t="s">
        <v>241</v>
      </c>
      <c r="C19" s="111">
        <v>5500</v>
      </c>
      <c r="D19" s="12" t="s">
        <v>242</v>
      </c>
      <c r="E19" s="11">
        <v>3600</v>
      </c>
      <c r="F19" s="105"/>
      <c r="G19" s="105">
        <v>1000</v>
      </c>
      <c r="H19" s="105"/>
      <c r="I19" s="28">
        <v>1200</v>
      </c>
      <c r="J19" s="32">
        <v>1400</v>
      </c>
      <c r="K19" s="32">
        <v>3000</v>
      </c>
      <c r="L19" s="37">
        <v>1000</v>
      </c>
      <c r="M19" s="37"/>
      <c r="N19" s="37">
        <v>1200</v>
      </c>
      <c r="O19" s="37"/>
      <c r="P19" s="41"/>
      <c r="Q19" s="41">
        <v>2400</v>
      </c>
      <c r="R19" s="41"/>
      <c r="S19" s="41"/>
      <c r="T19" s="41">
        <v>2600</v>
      </c>
      <c r="U19" s="50">
        <v>800</v>
      </c>
      <c r="V19" s="50">
        <v>2000</v>
      </c>
      <c r="W19" s="69">
        <v>2400</v>
      </c>
      <c r="X19" s="69">
        <v>2600</v>
      </c>
      <c r="Y19" s="81">
        <v>1400</v>
      </c>
      <c r="Z19" s="218">
        <v>2200</v>
      </c>
      <c r="AA19" s="218">
        <v>1200</v>
      </c>
      <c r="AB19" s="220">
        <v>600</v>
      </c>
      <c r="AC19" s="220">
        <v>800</v>
      </c>
      <c r="AD19" s="86">
        <v>600</v>
      </c>
      <c r="AE19" s="86">
        <v>1000</v>
      </c>
      <c r="AF19" s="86"/>
      <c r="AG19" s="130">
        <f t="shared" si="0"/>
        <v>33000</v>
      </c>
    </row>
    <row r="20" spans="1:34" ht="54" hidden="1" customHeight="1" x14ac:dyDescent="0.35">
      <c r="A20" s="6">
        <v>16</v>
      </c>
      <c r="B20" s="7" t="s">
        <v>243</v>
      </c>
      <c r="C20" s="111">
        <v>5500</v>
      </c>
      <c r="D20" s="12" t="s">
        <v>244</v>
      </c>
      <c r="E20" s="11"/>
      <c r="F20" s="105"/>
      <c r="G20" s="105"/>
      <c r="H20" s="105"/>
      <c r="I20" s="105"/>
      <c r="J20" s="32"/>
      <c r="K20" s="32"/>
      <c r="L20" s="37"/>
      <c r="M20" s="37"/>
      <c r="N20" s="37"/>
      <c r="O20" s="37"/>
      <c r="P20" s="41"/>
      <c r="Q20" s="41"/>
      <c r="R20" s="41"/>
      <c r="S20" s="41"/>
      <c r="T20" s="41"/>
      <c r="U20" s="50"/>
      <c r="V20" s="50"/>
      <c r="W20" s="69"/>
      <c r="X20" s="69"/>
      <c r="Y20" s="81"/>
      <c r="Z20" s="218"/>
      <c r="AA20" s="218"/>
      <c r="AB20" s="220"/>
      <c r="AC20" s="220"/>
      <c r="AD20" s="86"/>
      <c r="AE20" s="86"/>
      <c r="AF20" s="86"/>
      <c r="AG20" s="130">
        <f t="shared" si="0"/>
        <v>0</v>
      </c>
    </row>
    <row r="21" spans="1:34" ht="33" hidden="1" x14ac:dyDescent="0.35">
      <c r="A21" s="6">
        <v>17</v>
      </c>
      <c r="B21" s="7" t="s">
        <v>245</v>
      </c>
      <c r="C21" s="111">
        <v>5500</v>
      </c>
      <c r="D21" s="9" t="s">
        <v>246</v>
      </c>
      <c r="E21" s="11"/>
      <c r="F21" s="105"/>
      <c r="G21" s="105"/>
      <c r="H21" s="105"/>
      <c r="I21" s="28"/>
      <c r="J21" s="32"/>
      <c r="K21" s="32"/>
      <c r="L21" s="37"/>
      <c r="M21" s="37"/>
      <c r="N21" s="37"/>
      <c r="O21" s="37"/>
      <c r="P21" s="41"/>
      <c r="Q21" s="41"/>
      <c r="R21" s="41"/>
      <c r="S21" s="41"/>
      <c r="T21" s="41"/>
      <c r="U21" s="50"/>
      <c r="V21" s="50"/>
      <c r="W21" s="69"/>
      <c r="X21" s="69"/>
      <c r="Y21" s="81"/>
      <c r="Z21" s="218"/>
      <c r="AA21" s="218"/>
      <c r="AB21" s="220"/>
      <c r="AC21" s="220"/>
      <c r="AD21" s="86"/>
      <c r="AE21" s="86"/>
      <c r="AF21" s="86"/>
      <c r="AG21" s="130">
        <f t="shared" si="0"/>
        <v>0</v>
      </c>
    </row>
    <row r="22" spans="1:34" ht="33" x14ac:dyDescent="0.35">
      <c r="A22" s="6">
        <v>18</v>
      </c>
      <c r="B22" s="7" t="s">
        <v>247</v>
      </c>
      <c r="C22" s="111">
        <v>5500</v>
      </c>
      <c r="D22" s="12" t="s">
        <v>248</v>
      </c>
      <c r="E22" s="11">
        <v>300</v>
      </c>
      <c r="F22" s="105"/>
      <c r="G22" s="105">
        <v>718</v>
      </c>
      <c r="H22" s="105"/>
      <c r="I22" s="28">
        <v>779</v>
      </c>
      <c r="J22" s="113">
        <v>740</v>
      </c>
      <c r="K22" s="236">
        <v>500</v>
      </c>
      <c r="L22" s="138">
        <v>815</v>
      </c>
      <c r="M22" s="37"/>
      <c r="N22" s="37">
        <v>690</v>
      </c>
      <c r="O22" s="37"/>
      <c r="P22" s="41"/>
      <c r="Q22" s="41">
        <v>1580</v>
      </c>
      <c r="R22" s="41">
        <v>250</v>
      </c>
      <c r="S22" s="41"/>
      <c r="T22" s="41">
        <v>750</v>
      </c>
      <c r="U22" s="50">
        <v>240</v>
      </c>
      <c r="V22" s="50">
        <v>660</v>
      </c>
      <c r="W22" s="69">
        <v>820</v>
      </c>
      <c r="X22" s="69">
        <v>470</v>
      </c>
      <c r="Y22" s="81">
        <v>490</v>
      </c>
      <c r="Z22" s="218">
        <v>590</v>
      </c>
      <c r="AA22" s="218">
        <v>585</v>
      </c>
      <c r="AB22" s="220">
        <v>400</v>
      </c>
      <c r="AC22" s="220">
        <v>450</v>
      </c>
      <c r="AD22" s="86">
        <v>500</v>
      </c>
      <c r="AE22" s="86">
        <v>350</v>
      </c>
      <c r="AF22" s="86"/>
      <c r="AG22" s="130">
        <f t="shared" si="0"/>
        <v>12677</v>
      </c>
    </row>
    <row r="23" spans="1:34" s="3" customFormat="1" ht="29.25" customHeight="1" x14ac:dyDescent="0.35">
      <c r="A23" s="13"/>
      <c r="B23" s="14" t="s">
        <v>71</v>
      </c>
      <c r="C23" s="15"/>
      <c r="D23" s="16"/>
      <c r="E23" s="18">
        <f t="shared" ref="E23:I23" si="1">SUM(E5:E22)</f>
        <v>6925</v>
      </c>
      <c r="F23" s="18">
        <f t="shared" si="1"/>
        <v>0</v>
      </c>
      <c r="G23" s="18">
        <f t="shared" si="1"/>
        <v>4540</v>
      </c>
      <c r="H23" s="18">
        <f t="shared" si="1"/>
        <v>0</v>
      </c>
      <c r="I23" s="29">
        <f t="shared" si="1"/>
        <v>6600</v>
      </c>
      <c r="J23" s="34">
        <f t="shared" ref="J23:K23" si="2">SUM(J5:J22)</f>
        <v>5610</v>
      </c>
      <c r="K23" s="34">
        <f t="shared" si="2"/>
        <v>5730</v>
      </c>
      <c r="L23" s="38">
        <f t="shared" ref="L23:M23" si="3">SUM(L5:L22)</f>
        <v>3995</v>
      </c>
      <c r="M23" s="38">
        <f t="shared" si="3"/>
        <v>0</v>
      </c>
      <c r="N23" s="38">
        <f t="shared" ref="N23:O23" si="4">SUM(N5:N22)</f>
        <v>3815</v>
      </c>
      <c r="O23" s="38">
        <f t="shared" si="4"/>
        <v>0</v>
      </c>
      <c r="P23" s="42">
        <f>SUM(P5:P22)</f>
        <v>2215</v>
      </c>
      <c r="Q23" s="42">
        <f t="shared" ref="Q23:R23" si="5">SUM(Q5:Q22)</f>
        <v>5920</v>
      </c>
      <c r="R23" s="42">
        <f t="shared" si="5"/>
        <v>2030</v>
      </c>
      <c r="S23" s="42">
        <f t="shared" ref="S23" si="6">SUM(S5:S22)</f>
        <v>0</v>
      </c>
      <c r="T23" s="42">
        <f>SUM(T5:T22)</f>
        <v>4875</v>
      </c>
      <c r="U23" s="52">
        <f>SUM(U5:U22)</f>
        <v>4594</v>
      </c>
      <c r="V23" s="52">
        <f>SUM(V5:V22)</f>
        <v>5795</v>
      </c>
      <c r="W23" s="69">
        <f t="shared" ref="W23:AF23" si="7">SUM(W5:W22)</f>
        <v>7085</v>
      </c>
      <c r="X23" s="69">
        <f>SUM(X5:X22)</f>
        <v>6290</v>
      </c>
      <c r="Y23" s="81">
        <f t="shared" si="7"/>
        <v>4859</v>
      </c>
      <c r="Z23" s="216">
        <f t="shared" si="7"/>
        <v>6995</v>
      </c>
      <c r="AA23" s="216">
        <f t="shared" si="7"/>
        <v>4965</v>
      </c>
      <c r="AB23" s="220">
        <f t="shared" si="7"/>
        <v>4830</v>
      </c>
      <c r="AC23" s="220">
        <f t="shared" ref="AC23" si="8">SUM(AC5:AC22)</f>
        <v>4440</v>
      </c>
      <c r="AD23" s="86">
        <f>SUM(AD5:AD22)</f>
        <v>4892</v>
      </c>
      <c r="AE23" s="86">
        <f t="shared" si="7"/>
        <v>5684</v>
      </c>
      <c r="AF23" s="86">
        <f t="shared" si="7"/>
        <v>0</v>
      </c>
      <c r="AG23" s="130">
        <f t="shared" si="0"/>
        <v>112684</v>
      </c>
    </row>
    <row r="24" spans="1:34" s="164" customFormat="1" ht="29.25" customHeight="1" x14ac:dyDescent="0.35">
      <c r="A24" s="151"/>
      <c r="B24" s="152" t="s">
        <v>72</v>
      </c>
      <c r="C24" s="153"/>
      <c r="D24" s="154"/>
      <c r="E24" s="155">
        <f t="shared" ref="E24:H24" si="9">E5*$C$5+E6*$C$6+E7*$C$7+E8*$C$8+E9*$C$9+E10*$C$10+E11*$C$11+E12*$C$12+E13*$C$13+E14*$C$14+E15*$C$15+E16*$C$16+E17*$C$17+E18*$C$18+E19*$C$19+E20*$C$20+E21*$C$21+E22*$C$22</f>
        <v>40037500</v>
      </c>
      <c r="F24" s="155">
        <f t="shared" si="9"/>
        <v>0</v>
      </c>
      <c r="G24" s="155">
        <f t="shared" si="9"/>
        <v>26916400</v>
      </c>
      <c r="H24" s="155">
        <f t="shared" si="9"/>
        <v>0</v>
      </c>
      <c r="I24" s="156">
        <f t="shared" ref="I24" si="10">I5*$C$5+I6*$C$6+I7*$C$7+I8*$C$8+I9*$C$9+I10*$C$10+I11*$C$11+I12*$C$12+I13*$C$13+I14*$C$14+I15*$C$15+I16*$C$16+I17*$C$17+I18*$C$18+I19*$C$19+I20*$C$20+I21*$C$21+I22*$C$22</f>
        <v>39685200</v>
      </c>
      <c r="J24" s="157">
        <f>J5*$C$5+J6*$C$6+J7*$C$7+J8*$C$8+J9*$C$9+J10*$C$10+J11*$C$11+J12*$C$12+J13*$C$13+J14*$C$14+J15*$C$15+J16*$C$16+J17*$C$17+J18*$C$18+J19*$C$19+J20*$C$20+J21*$C$21+J22*$C$22</f>
        <v>33339000</v>
      </c>
      <c r="K24" s="157">
        <f>K5*$C$5+K6*$C$6+K7*$C$7+K8*$C$8+K9*$C$9+K10*$C$10+K11*$C$11+K12*$C$12+K13*$C$13+K14*$C$14+K15*$C$15+K16*$C$16+K17*$C$17+K18*$C$18+K19*$C$19+K20*$C$20+K21*$C$21+K22*$C$22</f>
        <v>33711000</v>
      </c>
      <c r="L24" s="158">
        <f>L5*$C$5+L6*$C$6+L7*$C$7+L8*$C$8+L9*$C$9+L10*$C$10+L11*$C$11+L12*$C$12+L13*$C$13+L14*$C$14+L15*$C$15+L16*$C$16+L17*$C$17+L18*$C$18+L19*$C$19+L20*$C$20+L21*$C$21+L22*$C$22</f>
        <v>23988500</v>
      </c>
      <c r="M24" s="158">
        <f>M5*$C$5+M6*$C$6+M7*$C$7+M8*$C$8+M9*$C$9+M10*$C$10+M11*$C$11+M12*$C$12+M13*$C$13+M14*$C$14+M15*$C$15+M16*$C$16+M17*$C$17+M18*$C$18+M19*$C$19+M20*$C$20+M21*$C$21+M22*$C$22</f>
        <v>0</v>
      </c>
      <c r="N24" s="158">
        <f t="shared" ref="N24:O24" si="11">N5*$C$5+N6*$C$6+N7*$C$7+N8*$C$8+N9*$C$9+N10*$C$10+N11*$C$11+N12*$C$12+N13*$C$13+N14*$C$14+N15*$C$15+N16*$C$16+N17*$C$17+N18*$C$18+N19*$C$19+N20*$C$20+N21*$C$21+N22*$C$22</f>
        <v>22692500</v>
      </c>
      <c r="O24" s="158">
        <f t="shared" si="11"/>
        <v>0</v>
      </c>
      <c r="P24" s="159">
        <f t="shared" ref="P24:R24" si="12">P5*$C$5+P6*$C$6+P7*$C$7+P8*$C$8+P9*$C$9+P10*$C$10+P11*$C$11+P12*$C$12+P13*$C$13+P14*$C$14+P15*$C$15+P16*$C$16+P17*$C$17+P18*$C$18+P19*$C$19+P20*$C$20+P21*$C$21+P22*$C$22</f>
        <v>14840500</v>
      </c>
      <c r="Q24" s="159">
        <f t="shared" si="12"/>
        <v>34648000</v>
      </c>
      <c r="R24" s="159">
        <f t="shared" si="12"/>
        <v>13301000</v>
      </c>
      <c r="S24" s="159">
        <f t="shared" ref="S24" si="13">S5*$C$5+S6*$C$6+S7*$C$7+S8*$C$8+S9*$C$9+S10*$C$10+S11*$C$11+S12*$C$12+S13*$C$13+S14*$C$14+S15*$C$15+S16*$C$16+S17*$C$17+S18*$C$18+S19*$C$19+S20*$C$20+S21*$C$21+S22*$C$22</f>
        <v>0</v>
      </c>
      <c r="T24" s="159">
        <f t="shared" ref="T24:X24" si="14">T5*$C$5+T6*$C$6+T7*$C$7+T8*$C$8+T9*$C$9+T10*$C$10+T11*$C$11+T12*$C$12+T13*$C$13+T14*$C$14+T15*$C$15+T16*$C$16+T17*$C$17+T18*$C$18+T19*$C$19+T20*$C$20+T21*$C$21+T22*$C$22</f>
        <v>28642500</v>
      </c>
      <c r="U24" s="160">
        <f t="shared" si="14"/>
        <v>28811800</v>
      </c>
      <c r="V24" s="160">
        <f t="shared" si="14"/>
        <v>34914500</v>
      </c>
      <c r="W24" s="161">
        <f t="shared" si="14"/>
        <v>42405500</v>
      </c>
      <c r="X24" s="161">
        <f t="shared" si="14"/>
        <v>37739000</v>
      </c>
      <c r="Y24" s="162">
        <f>Y5*$C$5+Y6*$C$6+Y7*$C$7+Y8*$C$8+Y9*$C$9+Y10*$C$10+Y11*$C$11+Y12*$C$12+Y13*$C$13+Y14*$C$14+Y15*$C$15+Y16*$C$16+Y17*$C$17+Y18*$C$18+Y19*$C$19+Y20*$C$20+Y21*$C$21+Y22*$C$22</f>
        <v>29207300</v>
      </c>
      <c r="Z24" s="217">
        <f>Z5*$C$5+Z6*$C$6+Z7*$C$7+Z8*$C$8+Z9*$C$9+Z10*$C$10+Z11*$C$11+Z12*$C$12+Z13*$C$13+Z14*$C$14+Z15*$C$15+Z16*$C$16+Z17*$C$17+Z18*$C$18+Z19*$C$19+Z20*$C$20+Z21*$C$21+Z22*$C$22</f>
        <v>41358500</v>
      </c>
      <c r="AA24" s="217">
        <f>AA5*$C$5+AA6*$C$6+AA7*$C$7+AA8*$C$8+AA9*$C$9+AA10*$C$10+AA11*$C$11+AA12*$C$12+AA13*$C$13+AA14*$C$14+AA15*$C$15+AA16*$C$16+AA17*$C$17+AA18*$C$18+AA19*$C$19+AA20*$C$20+AA21*$C$21+AA22*$C$22</f>
        <v>29323500</v>
      </c>
      <c r="AB24" s="220">
        <f t="shared" ref="AB24:AF24" si="15">AB5*$C$5+AB6*$C$6+AB7*$C$7+AB8*$C$8+AB9*$C$9+AB10*$C$10+AB11*$C$11+AB12*$C$12+AB13*$C$13+AB14*$C$14+AB15*$C$15+AB16*$C$16+AB17*$C$17+AB18*$C$18+AB19*$C$19+AB20*$C$20+AB21*$C$21+AB22*$C$22</f>
        <v>29001000</v>
      </c>
      <c r="AC24" s="220">
        <f t="shared" ref="AC24" si="16">AC5*$C$5+AC6*$C$6+AC7*$C$7+AC8*$C$8+AC9*$C$9+AC10*$C$10+AC11*$C$11+AC12*$C$12+AC13*$C$13+AC14*$C$14+AC15*$C$15+AC16*$C$16+AC17*$C$17+AC18*$C$18+AC19*$C$19+AC20*$C$20+AC21*$C$21+AC22*$C$22</f>
        <v>25728000</v>
      </c>
      <c r="AD24" s="228">
        <f>AD5*$C$5+AD6*$C$6+AD7*$C$7+AD8*$C$8+AD9*$C$9+AD10*$C$10+AD11*$C$11+AD12*$C$12+AD13*$C$13+AD14*$C$14+AD15*$C$15+AD16*$C$16+AD17*$C$17+AD18*$C$18+AD19*$C$19+AD20*$C$20+AD21*$C$21+AD22*$C$22</f>
        <v>28576400</v>
      </c>
      <c r="AE24" s="86">
        <f t="shared" si="15"/>
        <v>33342800</v>
      </c>
      <c r="AF24" s="86">
        <f t="shared" si="15"/>
        <v>0</v>
      </c>
      <c r="AG24" s="163">
        <f t="shared" si="0"/>
        <v>672210400</v>
      </c>
    </row>
    <row r="25" spans="1:34" s="164" customFormat="1" ht="29.9" customHeight="1" x14ac:dyDescent="0.35">
      <c r="A25" s="151"/>
      <c r="B25" s="215" t="s">
        <v>249</v>
      </c>
      <c r="C25" s="153"/>
      <c r="D25" s="154"/>
      <c r="E25" s="155">
        <f t="shared" ref="E25:I25" si="17">+E24*8%</f>
        <v>3203000</v>
      </c>
      <c r="F25" s="155">
        <f t="shared" si="17"/>
        <v>0</v>
      </c>
      <c r="G25" s="155">
        <f t="shared" si="17"/>
        <v>2153312</v>
      </c>
      <c r="H25" s="155">
        <f t="shared" si="17"/>
        <v>0</v>
      </c>
      <c r="I25" s="156">
        <f t="shared" si="17"/>
        <v>3174816</v>
      </c>
      <c r="J25" s="157">
        <f>+J24*8%</f>
        <v>2667120</v>
      </c>
      <c r="K25" s="157">
        <f>+K24*8%</f>
        <v>2696880</v>
      </c>
      <c r="L25" s="158">
        <f t="shared" ref="L25:V25" si="18">+L24*8%</f>
        <v>1919080</v>
      </c>
      <c r="M25" s="158">
        <f t="shared" si="18"/>
        <v>0</v>
      </c>
      <c r="N25" s="158">
        <f t="shared" ref="N25:O25" si="19">+N24*8%</f>
        <v>1815400</v>
      </c>
      <c r="O25" s="158">
        <f t="shared" si="19"/>
        <v>0</v>
      </c>
      <c r="P25" s="159">
        <f t="shared" si="18"/>
        <v>1187240</v>
      </c>
      <c r="Q25" s="159">
        <f t="shared" si="18"/>
        <v>2771840</v>
      </c>
      <c r="R25" s="159">
        <f t="shared" si="18"/>
        <v>1064080</v>
      </c>
      <c r="S25" s="159">
        <f t="shared" ref="S25:T25" si="20">+S24*8%</f>
        <v>0</v>
      </c>
      <c r="T25" s="159">
        <f t="shared" si="20"/>
        <v>2291400</v>
      </c>
      <c r="U25" s="160">
        <f t="shared" si="18"/>
        <v>2304944</v>
      </c>
      <c r="V25" s="160">
        <f t="shared" si="18"/>
        <v>2793160</v>
      </c>
      <c r="W25" s="161">
        <f t="shared" ref="W25:AA25" si="21">+W24*8%</f>
        <v>3392440</v>
      </c>
      <c r="X25" s="161">
        <f t="shared" si="21"/>
        <v>3019120</v>
      </c>
      <c r="Y25" s="162">
        <f t="shared" si="21"/>
        <v>2336584</v>
      </c>
      <c r="Z25" s="217">
        <f t="shared" si="21"/>
        <v>3308680</v>
      </c>
      <c r="AA25" s="217">
        <f t="shared" si="21"/>
        <v>2345880</v>
      </c>
      <c r="AB25" s="220">
        <f t="shared" ref="AB25:AF25" si="22">+AB24*8%</f>
        <v>2320080</v>
      </c>
      <c r="AC25" s="220">
        <f t="shared" ref="AC25" si="23">+AC24*8%</f>
        <v>2058240</v>
      </c>
      <c r="AD25" s="86">
        <f t="shared" si="22"/>
        <v>2286112</v>
      </c>
      <c r="AE25" s="86">
        <f t="shared" si="22"/>
        <v>2667424</v>
      </c>
      <c r="AF25" s="86">
        <f t="shared" si="22"/>
        <v>0</v>
      </c>
      <c r="AG25" s="163">
        <f t="shared" ref="AG25" si="24">+AG24*10%</f>
        <v>67221040</v>
      </c>
    </row>
    <row r="26" spans="1:34" s="3" customFormat="1" ht="29.25" customHeight="1" thickBot="1" x14ac:dyDescent="0.4">
      <c r="A26" s="13"/>
      <c r="B26" s="14" t="s">
        <v>74</v>
      </c>
      <c r="C26" s="19"/>
      <c r="D26" s="16"/>
      <c r="E26" s="21">
        <f>+E24+E25</f>
        <v>43240500</v>
      </c>
      <c r="F26" s="21">
        <f>+F24+F25</f>
        <v>0</v>
      </c>
      <c r="G26" s="21">
        <f>+G24+G25</f>
        <v>29069712</v>
      </c>
      <c r="H26" s="21">
        <f>+H24+H25</f>
        <v>0</v>
      </c>
      <c r="I26" s="30">
        <f>+I24+I25</f>
        <v>42860016</v>
      </c>
      <c r="J26" s="225">
        <f t="shared" ref="J26:W26" si="25">+J24+J25</f>
        <v>36006120</v>
      </c>
      <c r="K26" s="225">
        <f>+K24+K25</f>
        <v>36407880</v>
      </c>
      <c r="L26" s="119">
        <f t="shared" ref="L26:P26" si="26">+L24+L25</f>
        <v>25907580</v>
      </c>
      <c r="M26" s="119">
        <f t="shared" si="26"/>
        <v>0</v>
      </c>
      <c r="N26" s="119">
        <f t="shared" ref="N26:O26" si="27">+N24+N25</f>
        <v>24507900</v>
      </c>
      <c r="O26" s="119">
        <f t="shared" si="27"/>
        <v>0</v>
      </c>
      <c r="P26" s="44">
        <f t="shared" si="26"/>
        <v>16027740</v>
      </c>
      <c r="Q26" s="44">
        <f t="shared" si="25"/>
        <v>37419840</v>
      </c>
      <c r="R26" s="44">
        <f t="shared" si="25"/>
        <v>14365080</v>
      </c>
      <c r="S26" s="44">
        <f t="shared" ref="S26:T26" si="28">+S24+S25</f>
        <v>0</v>
      </c>
      <c r="T26" s="44">
        <f t="shared" si="28"/>
        <v>30933900</v>
      </c>
      <c r="U26" s="53">
        <f>+U24+U25</f>
        <v>31116744</v>
      </c>
      <c r="V26" s="53">
        <f t="shared" si="25"/>
        <v>37707660</v>
      </c>
      <c r="W26" s="72">
        <f t="shared" si="25"/>
        <v>45797940</v>
      </c>
      <c r="X26" s="72">
        <f t="shared" ref="X26" si="29">+X24+X25</f>
        <v>40758120</v>
      </c>
      <c r="Y26" s="84">
        <f>+Y24+Y25</f>
        <v>31543884</v>
      </c>
      <c r="Z26" s="89">
        <f>+Z24+Z25</f>
        <v>44667180</v>
      </c>
      <c r="AA26" s="89">
        <f>+AA24+AA25</f>
        <v>31669380</v>
      </c>
      <c r="AB26" s="222">
        <f t="shared" ref="AB26:AF26" si="30">+AB24+AB25</f>
        <v>31321080</v>
      </c>
      <c r="AC26" s="222">
        <f t="shared" ref="AC26" si="31">+AC24+AC25</f>
        <v>27786240</v>
      </c>
      <c r="AD26" s="88">
        <f t="shared" si="30"/>
        <v>30862512</v>
      </c>
      <c r="AE26" s="89">
        <f t="shared" si="30"/>
        <v>36010224</v>
      </c>
      <c r="AF26" s="89">
        <f t="shared" si="30"/>
        <v>0</v>
      </c>
      <c r="AG26" s="131">
        <f>+AG24+AG25</f>
        <v>739431440</v>
      </c>
      <c r="AH26" s="24"/>
    </row>
    <row r="27" spans="1:34" s="3" customFormat="1" ht="29.25" customHeight="1" x14ac:dyDescent="0.35">
      <c r="A27" s="263" t="s">
        <v>250</v>
      </c>
      <c r="B27" s="264"/>
      <c r="C27" s="264"/>
      <c r="D27" s="264"/>
      <c r="E27" s="332">
        <f>SUM(E26:H26)</f>
        <v>72310212</v>
      </c>
      <c r="F27" s="333"/>
      <c r="G27" s="333"/>
      <c r="H27" s="333"/>
      <c r="I27" s="249">
        <f>SUM(I26:I26)</f>
        <v>42860016</v>
      </c>
      <c r="J27" s="265">
        <f>SUM(J26:K26)</f>
        <v>72414000</v>
      </c>
      <c r="K27" s="266"/>
      <c r="L27" s="319">
        <f>SUM(L26:O26)</f>
        <v>50415480</v>
      </c>
      <c r="M27" s="320"/>
      <c r="N27" s="320"/>
      <c r="O27" s="321"/>
      <c r="P27" s="282">
        <f>SUM(P26:T26)</f>
        <v>98746560</v>
      </c>
      <c r="Q27" s="322"/>
      <c r="R27" s="322"/>
      <c r="S27" s="322"/>
      <c r="T27" s="283"/>
      <c r="U27" s="286">
        <f>SUM(U26:V26)</f>
        <v>68824404</v>
      </c>
      <c r="V27" s="287"/>
      <c r="W27" s="284">
        <f>SUM(W26:X26)</f>
        <v>86556060</v>
      </c>
      <c r="X27" s="285"/>
      <c r="Y27" s="248">
        <f>SUM(Y26:Y26)</f>
        <v>31543884</v>
      </c>
      <c r="Z27" s="267">
        <f>SUM(Z26:AA26)</f>
        <v>76336560</v>
      </c>
      <c r="AA27" s="268"/>
      <c r="AB27" s="269">
        <f>SUM(AB26:AC26)</f>
        <v>59107320</v>
      </c>
      <c r="AC27" s="270"/>
      <c r="AD27" s="88">
        <f>SUM(AD26:AD26)</f>
        <v>30862512</v>
      </c>
      <c r="AE27" s="267">
        <f>SUM(AE26:AF26)</f>
        <v>36010224</v>
      </c>
      <c r="AF27" s="281"/>
      <c r="AG27" s="131"/>
      <c r="AH27" s="24"/>
    </row>
    <row r="28" spans="1:34" x14ac:dyDescent="0.35">
      <c r="A28" s="136"/>
      <c r="B28" s="136"/>
      <c r="C28" s="136"/>
      <c r="D28" s="136"/>
      <c r="J28" s="2" t="s">
        <v>255</v>
      </c>
      <c r="P28" s="214"/>
    </row>
    <row r="30" spans="1:34" x14ac:dyDescent="0.35">
      <c r="AA30" s="250">
        <f>AG26/12</f>
        <v>61619286.666666664</v>
      </c>
    </row>
  </sheetData>
  <autoFilter ref="A4:AH28" xr:uid="{00000000-0001-0000-0300-000000000000}">
    <filterColumn colId="32">
      <filters blank="1">
        <filter val="112684"/>
        <filter val="12677"/>
        <filter val="150"/>
        <filter val="23300"/>
        <filter val="30"/>
        <filter val="33000"/>
        <filter val="43050"/>
        <filter val="477"/>
        <filter val="67,221,040"/>
        <filter val="672,210,400"/>
        <filter val="739,431,440.00"/>
      </filters>
    </filterColumn>
  </autoFilter>
  <mergeCells count="25">
    <mergeCell ref="AE27:AF27"/>
    <mergeCell ref="A27:D27"/>
    <mergeCell ref="P27:T27"/>
    <mergeCell ref="A1:AG1"/>
    <mergeCell ref="A2:A4"/>
    <mergeCell ref="B2:D2"/>
    <mergeCell ref="B3:B4"/>
    <mergeCell ref="C3:C4"/>
    <mergeCell ref="D3:D4"/>
    <mergeCell ref="L3:M3"/>
    <mergeCell ref="U3:V3"/>
    <mergeCell ref="W3:X3"/>
    <mergeCell ref="AB3:AC3"/>
    <mergeCell ref="AE3:AF3"/>
    <mergeCell ref="AB27:AC27"/>
    <mergeCell ref="E3:H3"/>
    <mergeCell ref="E27:H27"/>
    <mergeCell ref="Z3:AA3"/>
    <mergeCell ref="U27:V27"/>
    <mergeCell ref="J27:K27"/>
    <mergeCell ref="J3:K3"/>
    <mergeCell ref="L27:O27"/>
    <mergeCell ref="P3:T3"/>
    <mergeCell ref="W27:X27"/>
    <mergeCell ref="Z27:AA27"/>
  </mergeCells>
  <pageMargins left="0.7" right="0.7" top="0.75" bottom="0.75" header="0.3" footer="0.3"/>
  <pageSetup scale="50" orientation="landscape" horizontalDpi="4294967295" verticalDpi="4294967295"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F168"/>
  <sheetViews>
    <sheetView workbookViewId="0">
      <pane ySplit="4" topLeftCell="A148" activePane="bottomLeft" state="frozen"/>
      <selection pane="bottomLeft" activeCell="J158" sqref="J158"/>
    </sheetView>
  </sheetViews>
  <sheetFormatPr defaultRowHeight="14.5" x14ac:dyDescent="0.35"/>
  <cols>
    <col min="1" max="1" width="11.81640625" customWidth="1"/>
    <col min="2" max="2" width="11.81640625" style="165" customWidth="1"/>
    <col min="3" max="6" width="11.81640625" customWidth="1"/>
  </cols>
  <sheetData>
    <row r="2" spans="1:6" ht="18.5" x14ac:dyDescent="0.45">
      <c r="A2" s="334" t="s">
        <v>257</v>
      </c>
      <c r="B2" s="334"/>
      <c r="C2" s="334"/>
      <c r="D2" s="334"/>
      <c r="E2" s="334"/>
      <c r="F2" s="334"/>
    </row>
    <row r="4" spans="1:6" s="168" customFormat="1" ht="43.5" x14ac:dyDescent="0.35">
      <c r="A4" s="170" t="s">
        <v>258</v>
      </c>
      <c r="B4" s="171" t="s">
        <v>259</v>
      </c>
      <c r="C4" s="170" t="s">
        <v>260</v>
      </c>
      <c r="D4" s="170" t="s">
        <v>261</v>
      </c>
      <c r="E4" s="170" t="s">
        <v>262</v>
      </c>
      <c r="F4" s="170" t="s">
        <v>263</v>
      </c>
    </row>
    <row r="5" spans="1:6" x14ac:dyDescent="0.35">
      <c r="A5" s="166">
        <f>MONTH(B5)</f>
        <v>7</v>
      </c>
      <c r="B5" s="167">
        <v>44753</v>
      </c>
      <c r="C5" s="166">
        <v>301</v>
      </c>
      <c r="D5" s="166">
        <v>10</v>
      </c>
      <c r="E5" s="166">
        <v>63</v>
      </c>
      <c r="F5" s="169">
        <f>C5+E5-D5</f>
        <v>354</v>
      </c>
    </row>
    <row r="6" spans="1:6" x14ac:dyDescent="0.35">
      <c r="A6" s="166">
        <f t="shared" ref="A6:A27" si="0">MONTH(B6)</f>
        <v>7</v>
      </c>
      <c r="B6" s="167">
        <v>44753</v>
      </c>
      <c r="C6" s="166">
        <f>F5</f>
        <v>354</v>
      </c>
      <c r="D6" s="166">
        <v>50</v>
      </c>
      <c r="E6" s="166">
        <v>0</v>
      </c>
      <c r="F6" s="169">
        <f t="shared" ref="F6:F27" si="1">C6+E6-D6</f>
        <v>304</v>
      </c>
    </row>
    <row r="7" spans="1:6" x14ac:dyDescent="0.35">
      <c r="A7" s="166">
        <f t="shared" si="0"/>
        <v>7</v>
      </c>
      <c r="B7" s="167">
        <v>44757</v>
      </c>
      <c r="C7" s="166">
        <f t="shared" ref="C7:C27" si="2">F6</f>
        <v>304</v>
      </c>
      <c r="D7" s="166">
        <v>45</v>
      </c>
      <c r="E7" s="166">
        <v>0</v>
      </c>
      <c r="F7" s="169">
        <f t="shared" si="1"/>
        <v>259</v>
      </c>
    </row>
    <row r="8" spans="1:6" x14ac:dyDescent="0.35">
      <c r="A8" s="166">
        <f t="shared" si="0"/>
        <v>7</v>
      </c>
      <c r="B8" s="167">
        <v>44760</v>
      </c>
      <c r="C8" s="166">
        <f t="shared" si="2"/>
        <v>259</v>
      </c>
      <c r="D8" s="166">
        <v>20</v>
      </c>
      <c r="E8" s="166">
        <v>51</v>
      </c>
      <c r="F8" s="169">
        <f t="shared" si="1"/>
        <v>290</v>
      </c>
    </row>
    <row r="9" spans="1:6" x14ac:dyDescent="0.35">
      <c r="A9" s="166">
        <f t="shared" si="0"/>
        <v>7</v>
      </c>
      <c r="B9" s="167">
        <v>44765</v>
      </c>
      <c r="C9" s="166">
        <f t="shared" si="2"/>
        <v>290</v>
      </c>
      <c r="D9" s="166">
        <v>46</v>
      </c>
      <c r="E9" s="166">
        <v>38</v>
      </c>
      <c r="F9" s="169">
        <f t="shared" si="1"/>
        <v>282</v>
      </c>
    </row>
    <row r="10" spans="1:6" x14ac:dyDescent="0.35">
      <c r="A10" s="166">
        <f t="shared" si="0"/>
        <v>7</v>
      </c>
      <c r="B10" s="167">
        <v>44767</v>
      </c>
      <c r="C10" s="166">
        <f t="shared" si="2"/>
        <v>282</v>
      </c>
      <c r="D10" s="166">
        <v>30</v>
      </c>
      <c r="E10" s="166">
        <v>47</v>
      </c>
      <c r="F10" s="169">
        <f t="shared" si="1"/>
        <v>299</v>
      </c>
    </row>
    <row r="11" spans="1:6" x14ac:dyDescent="0.35">
      <c r="A11" s="166">
        <f t="shared" si="0"/>
        <v>7</v>
      </c>
      <c r="B11" s="167">
        <v>44772</v>
      </c>
      <c r="C11" s="166">
        <f t="shared" si="2"/>
        <v>299</v>
      </c>
      <c r="D11" s="166">
        <v>30</v>
      </c>
      <c r="E11" s="166">
        <v>37</v>
      </c>
      <c r="F11" s="169">
        <f t="shared" si="1"/>
        <v>306</v>
      </c>
    </row>
    <row r="12" spans="1:6" x14ac:dyDescent="0.35">
      <c r="A12" s="166">
        <f t="shared" si="0"/>
        <v>7</v>
      </c>
      <c r="B12" s="167">
        <v>44772</v>
      </c>
      <c r="C12" s="166">
        <f t="shared" si="2"/>
        <v>306</v>
      </c>
      <c r="D12" s="166">
        <v>17</v>
      </c>
      <c r="E12" s="166">
        <v>0</v>
      </c>
      <c r="F12" s="169">
        <f t="shared" si="1"/>
        <v>289</v>
      </c>
    </row>
    <row r="13" spans="1:6" x14ac:dyDescent="0.35">
      <c r="A13" s="166">
        <f t="shared" si="0"/>
        <v>8</v>
      </c>
      <c r="B13" s="167">
        <v>44777</v>
      </c>
      <c r="C13" s="166">
        <f t="shared" si="2"/>
        <v>289</v>
      </c>
      <c r="D13" s="166">
        <v>0</v>
      </c>
      <c r="E13" s="166">
        <v>41</v>
      </c>
      <c r="F13" s="169">
        <f t="shared" si="1"/>
        <v>330</v>
      </c>
    </row>
    <row r="14" spans="1:6" x14ac:dyDescent="0.35">
      <c r="A14" s="166">
        <f t="shared" si="0"/>
        <v>8</v>
      </c>
      <c r="B14" s="167">
        <v>44781</v>
      </c>
      <c r="C14" s="166">
        <f t="shared" si="2"/>
        <v>330</v>
      </c>
      <c r="D14" s="166">
        <v>0</v>
      </c>
      <c r="E14" s="166">
        <v>43</v>
      </c>
      <c r="F14" s="169">
        <f t="shared" si="1"/>
        <v>373</v>
      </c>
    </row>
    <row r="15" spans="1:6" x14ac:dyDescent="0.35">
      <c r="A15" s="166">
        <f t="shared" si="0"/>
        <v>8</v>
      </c>
      <c r="B15" s="167">
        <v>44788</v>
      </c>
      <c r="C15" s="166">
        <f t="shared" si="2"/>
        <v>373</v>
      </c>
      <c r="D15" s="166">
        <v>40</v>
      </c>
      <c r="E15" s="166">
        <v>60</v>
      </c>
      <c r="F15" s="169">
        <f t="shared" si="1"/>
        <v>393</v>
      </c>
    </row>
    <row r="16" spans="1:6" x14ac:dyDescent="0.35">
      <c r="A16" s="166">
        <f t="shared" si="0"/>
        <v>8</v>
      </c>
      <c r="B16" s="167">
        <v>44793</v>
      </c>
      <c r="C16" s="166">
        <f>F15</f>
        <v>393</v>
      </c>
      <c r="D16" s="166">
        <v>40</v>
      </c>
      <c r="E16" s="166">
        <v>37</v>
      </c>
      <c r="F16" s="169">
        <f t="shared" si="1"/>
        <v>390</v>
      </c>
    </row>
    <row r="17" spans="1:6" x14ac:dyDescent="0.35">
      <c r="A17" s="166">
        <f t="shared" si="0"/>
        <v>8</v>
      </c>
      <c r="B17" s="167">
        <v>44795</v>
      </c>
      <c r="C17" s="166">
        <f t="shared" si="2"/>
        <v>390</v>
      </c>
      <c r="D17" s="166">
        <v>50</v>
      </c>
      <c r="E17" s="166">
        <v>39</v>
      </c>
      <c r="F17" s="169">
        <f t="shared" si="1"/>
        <v>379</v>
      </c>
    </row>
    <row r="18" spans="1:6" x14ac:dyDescent="0.35">
      <c r="A18" s="166">
        <f t="shared" si="0"/>
        <v>8</v>
      </c>
      <c r="B18" s="167">
        <v>44802</v>
      </c>
      <c r="C18" s="166">
        <f t="shared" si="2"/>
        <v>379</v>
      </c>
      <c r="D18" s="166">
        <v>36</v>
      </c>
      <c r="E18" s="166">
        <v>0</v>
      </c>
      <c r="F18" s="169">
        <f t="shared" si="1"/>
        <v>343</v>
      </c>
    </row>
    <row r="19" spans="1:6" x14ac:dyDescent="0.35">
      <c r="A19" s="166">
        <f t="shared" si="0"/>
        <v>8</v>
      </c>
      <c r="B19" s="167">
        <v>44803</v>
      </c>
      <c r="C19" s="166">
        <f t="shared" si="2"/>
        <v>343</v>
      </c>
      <c r="D19" s="166">
        <v>0</v>
      </c>
      <c r="E19" s="166">
        <v>44</v>
      </c>
      <c r="F19" s="169">
        <f t="shared" si="1"/>
        <v>387</v>
      </c>
    </row>
    <row r="20" spans="1:6" x14ac:dyDescent="0.35">
      <c r="A20" s="166">
        <f t="shared" si="0"/>
        <v>8</v>
      </c>
      <c r="B20" s="167">
        <v>44804</v>
      </c>
      <c r="C20" s="166">
        <f t="shared" si="2"/>
        <v>387</v>
      </c>
      <c r="D20" s="166">
        <v>30</v>
      </c>
      <c r="E20" s="166">
        <v>46</v>
      </c>
      <c r="F20" s="169">
        <f t="shared" si="1"/>
        <v>403</v>
      </c>
    </row>
    <row r="21" spans="1:6" x14ac:dyDescent="0.35">
      <c r="A21" s="166">
        <f t="shared" si="0"/>
        <v>9</v>
      </c>
      <c r="B21" s="167">
        <v>44812</v>
      </c>
      <c r="C21" s="166">
        <f t="shared" si="2"/>
        <v>403</v>
      </c>
      <c r="D21" s="166">
        <v>30</v>
      </c>
      <c r="E21" s="166">
        <v>0</v>
      </c>
      <c r="F21" s="169">
        <f t="shared" si="1"/>
        <v>373</v>
      </c>
    </row>
    <row r="22" spans="1:6" x14ac:dyDescent="0.35">
      <c r="A22" s="166">
        <f t="shared" si="0"/>
        <v>9</v>
      </c>
      <c r="B22" s="167">
        <v>44818</v>
      </c>
      <c r="C22" s="166">
        <f t="shared" si="2"/>
        <v>373</v>
      </c>
      <c r="D22" s="166">
        <v>10</v>
      </c>
      <c r="E22" s="166">
        <v>38</v>
      </c>
      <c r="F22" s="169">
        <f t="shared" si="1"/>
        <v>401</v>
      </c>
    </row>
    <row r="23" spans="1:6" x14ac:dyDescent="0.35">
      <c r="A23" s="166">
        <f t="shared" si="0"/>
        <v>9</v>
      </c>
      <c r="B23" s="167">
        <v>44818</v>
      </c>
      <c r="C23" s="166">
        <f t="shared" si="2"/>
        <v>401</v>
      </c>
      <c r="D23" s="166">
        <v>38</v>
      </c>
      <c r="E23" s="166">
        <v>0</v>
      </c>
      <c r="F23" s="169">
        <f t="shared" si="1"/>
        <v>363</v>
      </c>
    </row>
    <row r="24" spans="1:6" x14ac:dyDescent="0.35">
      <c r="A24" s="166">
        <f t="shared" si="0"/>
        <v>9</v>
      </c>
      <c r="B24" s="167">
        <v>44821</v>
      </c>
      <c r="C24" s="166">
        <f t="shared" si="2"/>
        <v>363</v>
      </c>
      <c r="D24" s="166">
        <v>0</v>
      </c>
      <c r="E24" s="166">
        <v>37</v>
      </c>
      <c r="F24" s="169">
        <f t="shared" si="1"/>
        <v>400</v>
      </c>
    </row>
    <row r="25" spans="1:6" x14ac:dyDescent="0.35">
      <c r="A25" s="166">
        <f t="shared" si="0"/>
        <v>9</v>
      </c>
      <c r="B25" s="167">
        <v>44821</v>
      </c>
      <c r="C25" s="166">
        <f t="shared" si="2"/>
        <v>400</v>
      </c>
      <c r="D25" s="166">
        <v>37</v>
      </c>
      <c r="E25" s="166">
        <v>0</v>
      </c>
      <c r="F25" s="169">
        <f t="shared" si="1"/>
        <v>363</v>
      </c>
    </row>
    <row r="26" spans="1:6" x14ac:dyDescent="0.35">
      <c r="A26" s="166">
        <f t="shared" si="0"/>
        <v>9</v>
      </c>
      <c r="B26" s="167">
        <v>44823</v>
      </c>
      <c r="C26" s="166">
        <f t="shared" si="2"/>
        <v>363</v>
      </c>
      <c r="D26" s="166">
        <v>30</v>
      </c>
      <c r="E26" s="166">
        <v>43</v>
      </c>
      <c r="F26" s="169">
        <f t="shared" si="1"/>
        <v>376</v>
      </c>
    </row>
    <row r="27" spans="1:6" x14ac:dyDescent="0.35">
      <c r="A27" s="166">
        <f t="shared" si="0"/>
        <v>9</v>
      </c>
      <c r="B27" s="167">
        <v>44831</v>
      </c>
      <c r="C27" s="166">
        <f t="shared" si="2"/>
        <v>376</v>
      </c>
      <c r="D27" s="166">
        <v>0</v>
      </c>
      <c r="E27" s="166">
        <v>41</v>
      </c>
      <c r="F27" s="169">
        <f t="shared" si="1"/>
        <v>417</v>
      </c>
    </row>
    <row r="28" spans="1:6" x14ac:dyDescent="0.35">
      <c r="A28" s="166">
        <f t="shared" ref="A28:A37" si="3">MONTH(B28)</f>
        <v>9</v>
      </c>
      <c r="B28" s="167">
        <v>44832</v>
      </c>
      <c r="C28" s="166">
        <f t="shared" ref="C28:C36" si="4">F27</f>
        <v>417</v>
      </c>
      <c r="D28" s="166">
        <v>41</v>
      </c>
      <c r="E28" s="166">
        <v>35</v>
      </c>
      <c r="F28" s="169">
        <f t="shared" ref="F28:F36" si="5">C28+E28-D28</f>
        <v>411</v>
      </c>
    </row>
    <row r="29" spans="1:6" x14ac:dyDescent="0.35">
      <c r="A29" s="166">
        <f t="shared" si="3"/>
        <v>10</v>
      </c>
      <c r="B29" s="167">
        <v>44838</v>
      </c>
      <c r="C29" s="166">
        <f t="shared" si="4"/>
        <v>411</v>
      </c>
      <c r="D29" s="166">
        <v>56</v>
      </c>
      <c r="E29" s="166">
        <v>62</v>
      </c>
      <c r="F29" s="169">
        <f t="shared" si="5"/>
        <v>417</v>
      </c>
    </row>
    <row r="30" spans="1:6" x14ac:dyDescent="0.35">
      <c r="A30" s="166">
        <f t="shared" si="3"/>
        <v>10</v>
      </c>
      <c r="B30" s="167">
        <v>44843</v>
      </c>
      <c r="C30" s="166">
        <f t="shared" si="4"/>
        <v>417</v>
      </c>
      <c r="D30" s="166">
        <v>40</v>
      </c>
      <c r="E30" s="166">
        <v>0</v>
      </c>
      <c r="F30" s="169">
        <f t="shared" si="5"/>
        <v>377</v>
      </c>
    </row>
    <row r="31" spans="1:6" x14ac:dyDescent="0.35">
      <c r="A31" s="166">
        <f t="shared" si="3"/>
        <v>10</v>
      </c>
      <c r="B31" s="167">
        <v>44846</v>
      </c>
      <c r="C31" s="166">
        <f t="shared" si="4"/>
        <v>377</v>
      </c>
      <c r="D31" s="166">
        <v>20</v>
      </c>
      <c r="E31" s="166">
        <f>23+10+11</f>
        <v>44</v>
      </c>
      <c r="F31" s="169">
        <f t="shared" si="5"/>
        <v>401</v>
      </c>
    </row>
    <row r="32" spans="1:6" x14ac:dyDescent="0.35">
      <c r="A32" s="166">
        <f t="shared" si="3"/>
        <v>10</v>
      </c>
      <c r="B32" s="167">
        <v>44849</v>
      </c>
      <c r="C32" s="166">
        <f t="shared" si="4"/>
        <v>401</v>
      </c>
      <c r="D32" s="166">
        <v>36</v>
      </c>
      <c r="E32" s="166">
        <v>0</v>
      </c>
      <c r="F32" s="169">
        <f t="shared" si="5"/>
        <v>365</v>
      </c>
    </row>
    <row r="33" spans="1:6" x14ac:dyDescent="0.35">
      <c r="A33" s="166">
        <f t="shared" si="3"/>
        <v>10</v>
      </c>
      <c r="B33" s="167">
        <v>44851</v>
      </c>
      <c r="C33" s="166">
        <f t="shared" si="4"/>
        <v>365</v>
      </c>
      <c r="D33" s="166">
        <v>0</v>
      </c>
      <c r="E33" s="166">
        <v>70</v>
      </c>
      <c r="F33" s="169">
        <f t="shared" si="5"/>
        <v>435</v>
      </c>
    </row>
    <row r="34" spans="1:6" x14ac:dyDescent="0.35">
      <c r="A34" s="166">
        <f t="shared" si="3"/>
        <v>10</v>
      </c>
      <c r="B34" s="167">
        <v>44858</v>
      </c>
      <c r="C34" s="166">
        <f t="shared" si="4"/>
        <v>435</v>
      </c>
      <c r="D34" s="166">
        <v>0</v>
      </c>
      <c r="E34" s="166">
        <v>42</v>
      </c>
      <c r="F34" s="169">
        <f t="shared" si="5"/>
        <v>477</v>
      </c>
    </row>
    <row r="35" spans="1:6" x14ac:dyDescent="0.35">
      <c r="A35" s="166">
        <f t="shared" si="3"/>
        <v>10</v>
      </c>
      <c r="B35" s="167">
        <v>44858</v>
      </c>
      <c r="C35" s="166">
        <f t="shared" si="4"/>
        <v>477</v>
      </c>
      <c r="D35" s="166">
        <v>42</v>
      </c>
      <c r="E35" s="166">
        <v>0</v>
      </c>
      <c r="F35" s="169">
        <f t="shared" si="5"/>
        <v>435</v>
      </c>
    </row>
    <row r="36" spans="1:6" x14ac:dyDescent="0.35">
      <c r="A36" s="166">
        <f t="shared" si="3"/>
        <v>10</v>
      </c>
      <c r="B36" s="167">
        <v>44862</v>
      </c>
      <c r="C36" s="166">
        <f t="shared" si="4"/>
        <v>435</v>
      </c>
      <c r="D36" s="166">
        <v>50</v>
      </c>
      <c r="E36" s="166">
        <v>0</v>
      </c>
      <c r="F36" s="169">
        <f t="shared" si="5"/>
        <v>385</v>
      </c>
    </row>
    <row r="37" spans="1:6" x14ac:dyDescent="0.35">
      <c r="A37" s="166">
        <f t="shared" si="3"/>
        <v>10</v>
      </c>
      <c r="B37" s="167">
        <v>44864</v>
      </c>
      <c r="C37" s="166">
        <f t="shared" ref="C37:C42" si="6">F36</f>
        <v>385</v>
      </c>
      <c r="D37" s="166">
        <v>30</v>
      </c>
      <c r="E37" s="166">
        <v>43</v>
      </c>
      <c r="F37" s="169">
        <f t="shared" ref="F37:F42" si="7">C37+E37-D37</f>
        <v>398</v>
      </c>
    </row>
    <row r="38" spans="1:6" x14ac:dyDescent="0.35">
      <c r="A38" s="166">
        <f t="shared" ref="A38:A42" si="8">MONTH(B38)</f>
        <v>10</v>
      </c>
      <c r="B38" s="167">
        <v>44864</v>
      </c>
      <c r="C38" s="166">
        <f t="shared" si="6"/>
        <v>398</v>
      </c>
      <c r="D38" s="166">
        <v>43</v>
      </c>
      <c r="E38" s="166">
        <v>33</v>
      </c>
      <c r="F38" s="169">
        <f t="shared" si="7"/>
        <v>388</v>
      </c>
    </row>
    <row r="39" spans="1:6" x14ac:dyDescent="0.35">
      <c r="A39" s="166">
        <f t="shared" si="8"/>
        <v>11</v>
      </c>
      <c r="B39" s="167">
        <v>44869</v>
      </c>
      <c r="C39" s="166">
        <f t="shared" si="6"/>
        <v>388</v>
      </c>
      <c r="D39" s="166">
        <v>0</v>
      </c>
      <c r="E39" s="166">
        <v>32</v>
      </c>
      <c r="F39" s="169">
        <f t="shared" si="7"/>
        <v>420</v>
      </c>
    </row>
    <row r="40" spans="1:6" x14ac:dyDescent="0.35">
      <c r="A40" s="166">
        <f t="shared" si="8"/>
        <v>11</v>
      </c>
      <c r="B40" s="167">
        <v>44869</v>
      </c>
      <c r="C40" s="166">
        <f t="shared" si="6"/>
        <v>420</v>
      </c>
      <c r="D40" s="166">
        <v>14</v>
      </c>
      <c r="E40" s="166">
        <v>0</v>
      </c>
      <c r="F40" s="169">
        <f t="shared" si="7"/>
        <v>406</v>
      </c>
    </row>
    <row r="41" spans="1:6" x14ac:dyDescent="0.35">
      <c r="A41" s="166">
        <f t="shared" si="8"/>
        <v>11</v>
      </c>
      <c r="B41" s="167">
        <v>44875</v>
      </c>
      <c r="C41" s="166">
        <f t="shared" si="6"/>
        <v>406</v>
      </c>
      <c r="D41" s="166">
        <v>44</v>
      </c>
      <c r="E41" s="166">
        <v>0</v>
      </c>
      <c r="F41" s="169">
        <f t="shared" si="7"/>
        <v>362</v>
      </c>
    </row>
    <row r="42" spans="1:6" x14ac:dyDescent="0.35">
      <c r="A42" s="166">
        <f t="shared" si="8"/>
        <v>11</v>
      </c>
      <c r="B42" s="167">
        <v>44876</v>
      </c>
      <c r="C42" s="166">
        <f t="shared" si="6"/>
        <v>362</v>
      </c>
      <c r="D42" s="166">
        <v>0</v>
      </c>
      <c r="E42" s="166">
        <v>42</v>
      </c>
      <c r="F42" s="169">
        <f t="shared" si="7"/>
        <v>404</v>
      </c>
    </row>
    <row r="43" spans="1:6" x14ac:dyDescent="0.35">
      <c r="A43" s="166">
        <f t="shared" ref="A43:A68" si="9">MONTH(B43)</f>
        <v>11</v>
      </c>
      <c r="B43" s="167">
        <v>44879</v>
      </c>
      <c r="C43" s="166">
        <f t="shared" ref="C43:C52" si="10">F42</f>
        <v>404</v>
      </c>
      <c r="D43" s="166">
        <v>40</v>
      </c>
      <c r="E43" s="166">
        <v>62</v>
      </c>
      <c r="F43" s="169">
        <f t="shared" ref="F43:F52" si="11">C43+E43-D43</f>
        <v>426</v>
      </c>
    </row>
    <row r="44" spans="1:6" x14ac:dyDescent="0.35">
      <c r="A44" s="166">
        <f t="shared" si="9"/>
        <v>11</v>
      </c>
      <c r="B44" s="167">
        <v>44889</v>
      </c>
      <c r="C44" s="166">
        <f t="shared" si="10"/>
        <v>426</v>
      </c>
      <c r="D44" s="166">
        <v>40</v>
      </c>
      <c r="E44" s="166">
        <v>32</v>
      </c>
      <c r="F44" s="169">
        <f t="shared" si="11"/>
        <v>418</v>
      </c>
    </row>
    <row r="45" spans="1:6" x14ac:dyDescent="0.35">
      <c r="A45" s="166">
        <f t="shared" si="9"/>
        <v>11</v>
      </c>
      <c r="B45" s="167">
        <v>44893</v>
      </c>
      <c r="C45" s="166">
        <f t="shared" si="10"/>
        <v>418</v>
      </c>
      <c r="D45" s="166">
        <v>0</v>
      </c>
      <c r="E45" s="166">
        <v>6</v>
      </c>
      <c r="F45" s="169">
        <f t="shared" si="11"/>
        <v>424</v>
      </c>
    </row>
    <row r="46" spans="1:6" x14ac:dyDescent="0.35">
      <c r="A46" s="166">
        <f t="shared" si="9"/>
        <v>12</v>
      </c>
      <c r="B46" s="167">
        <v>44897</v>
      </c>
      <c r="C46" s="166">
        <f t="shared" si="10"/>
        <v>424</v>
      </c>
      <c r="D46" s="166">
        <v>0</v>
      </c>
      <c r="E46" s="166">
        <v>29</v>
      </c>
      <c r="F46" s="169">
        <f t="shared" si="11"/>
        <v>453</v>
      </c>
    </row>
    <row r="47" spans="1:6" x14ac:dyDescent="0.35">
      <c r="A47" s="166">
        <f t="shared" si="9"/>
        <v>12</v>
      </c>
      <c r="B47" s="167">
        <v>44897</v>
      </c>
      <c r="C47" s="166">
        <f t="shared" si="10"/>
        <v>453</v>
      </c>
      <c r="D47" s="166">
        <v>27</v>
      </c>
      <c r="E47" s="166">
        <v>0</v>
      </c>
      <c r="F47" s="169">
        <f t="shared" si="11"/>
        <v>426</v>
      </c>
    </row>
    <row r="48" spans="1:6" x14ac:dyDescent="0.35">
      <c r="A48" s="166">
        <f t="shared" si="9"/>
        <v>12</v>
      </c>
      <c r="B48" s="167">
        <v>44904</v>
      </c>
      <c r="C48" s="166">
        <f t="shared" si="10"/>
        <v>426</v>
      </c>
      <c r="D48" s="166">
        <v>15</v>
      </c>
      <c r="E48" s="166">
        <v>41</v>
      </c>
      <c r="F48" s="169">
        <f t="shared" si="11"/>
        <v>452</v>
      </c>
    </row>
    <row r="49" spans="1:6" x14ac:dyDescent="0.35">
      <c r="A49" s="166">
        <f t="shared" si="9"/>
        <v>12</v>
      </c>
      <c r="B49" s="167">
        <v>44904</v>
      </c>
      <c r="C49" s="166">
        <f t="shared" si="10"/>
        <v>452</v>
      </c>
      <c r="D49" s="166">
        <v>26</v>
      </c>
      <c r="E49" s="166">
        <v>0</v>
      </c>
      <c r="F49" s="169">
        <f t="shared" si="11"/>
        <v>426</v>
      </c>
    </row>
    <row r="50" spans="1:6" x14ac:dyDescent="0.35">
      <c r="A50" s="166">
        <f t="shared" si="9"/>
        <v>12</v>
      </c>
      <c r="B50" s="167">
        <v>44907</v>
      </c>
      <c r="C50" s="166">
        <f t="shared" si="10"/>
        <v>426</v>
      </c>
      <c r="D50" s="166">
        <v>40</v>
      </c>
      <c r="E50" s="166">
        <v>19</v>
      </c>
      <c r="F50" s="169">
        <f t="shared" si="11"/>
        <v>405</v>
      </c>
    </row>
    <row r="51" spans="1:6" x14ac:dyDescent="0.35">
      <c r="A51" s="166">
        <f t="shared" si="9"/>
        <v>12</v>
      </c>
      <c r="B51" s="167">
        <v>44915</v>
      </c>
      <c r="C51" s="166">
        <f t="shared" si="10"/>
        <v>405</v>
      </c>
      <c r="D51" s="166">
        <v>0</v>
      </c>
      <c r="E51" s="166">
        <v>41</v>
      </c>
      <c r="F51" s="169">
        <f t="shared" si="11"/>
        <v>446</v>
      </c>
    </row>
    <row r="52" spans="1:6" x14ac:dyDescent="0.35">
      <c r="A52" s="166">
        <f t="shared" si="9"/>
        <v>12</v>
      </c>
      <c r="B52" s="167">
        <v>44918</v>
      </c>
      <c r="C52" s="166">
        <f t="shared" si="10"/>
        <v>446</v>
      </c>
      <c r="D52" s="166">
        <v>25</v>
      </c>
      <c r="E52" s="166">
        <v>0</v>
      </c>
      <c r="F52" s="169">
        <f t="shared" si="11"/>
        <v>421</v>
      </c>
    </row>
    <row r="53" spans="1:6" x14ac:dyDescent="0.35">
      <c r="A53" s="166">
        <f t="shared" si="9"/>
        <v>12</v>
      </c>
      <c r="B53" s="167">
        <v>44921</v>
      </c>
      <c r="C53" s="166">
        <f t="shared" ref="C53:C68" si="12">F52</f>
        <v>421</v>
      </c>
      <c r="D53" s="166">
        <v>0</v>
      </c>
      <c r="E53" s="166">
        <v>9</v>
      </c>
      <c r="F53" s="169">
        <f t="shared" ref="F53:F68" si="13">C53+E53-D53</f>
        <v>430</v>
      </c>
    </row>
    <row r="54" spans="1:6" x14ac:dyDescent="0.35">
      <c r="A54" s="166">
        <f t="shared" si="9"/>
        <v>1</v>
      </c>
      <c r="B54" s="167">
        <v>44929</v>
      </c>
      <c r="C54" s="166">
        <f t="shared" si="12"/>
        <v>430</v>
      </c>
      <c r="D54" s="166">
        <v>20</v>
      </c>
      <c r="E54" s="166">
        <v>58</v>
      </c>
      <c r="F54" s="169">
        <f t="shared" si="13"/>
        <v>468</v>
      </c>
    </row>
    <row r="55" spans="1:6" x14ac:dyDescent="0.35">
      <c r="A55" s="166">
        <f t="shared" si="9"/>
        <v>1</v>
      </c>
      <c r="B55" s="167">
        <v>44929</v>
      </c>
      <c r="C55" s="166">
        <f t="shared" si="12"/>
        <v>468</v>
      </c>
      <c r="D55" s="166">
        <v>40</v>
      </c>
      <c r="E55" s="166">
        <v>0</v>
      </c>
      <c r="F55" s="169">
        <f t="shared" si="13"/>
        <v>428</v>
      </c>
    </row>
    <row r="56" spans="1:6" x14ac:dyDescent="0.35">
      <c r="A56" s="166">
        <f t="shared" si="9"/>
        <v>1</v>
      </c>
      <c r="B56" s="167">
        <v>44935</v>
      </c>
      <c r="C56" s="166">
        <f t="shared" si="12"/>
        <v>428</v>
      </c>
      <c r="D56" s="166">
        <v>20</v>
      </c>
      <c r="E56" s="166">
        <v>28</v>
      </c>
      <c r="F56" s="169">
        <f t="shared" si="13"/>
        <v>436</v>
      </c>
    </row>
    <row r="57" spans="1:6" x14ac:dyDescent="0.35">
      <c r="A57" s="166">
        <f t="shared" si="9"/>
        <v>1</v>
      </c>
      <c r="B57" s="167">
        <v>44939</v>
      </c>
      <c r="C57" s="166">
        <f t="shared" si="12"/>
        <v>436</v>
      </c>
      <c r="D57" s="166">
        <v>0</v>
      </c>
      <c r="E57" s="166">
        <v>27</v>
      </c>
      <c r="F57" s="169">
        <f t="shared" si="13"/>
        <v>463</v>
      </c>
    </row>
    <row r="58" spans="1:6" x14ac:dyDescent="0.35">
      <c r="A58" s="166">
        <f t="shared" si="9"/>
        <v>1</v>
      </c>
      <c r="B58" s="167">
        <v>44939</v>
      </c>
      <c r="C58" s="166">
        <f t="shared" si="12"/>
        <v>463</v>
      </c>
      <c r="D58" s="166">
        <v>27</v>
      </c>
      <c r="E58" s="166">
        <v>41</v>
      </c>
      <c r="F58" s="169">
        <f>C58+E58-D58</f>
        <v>477</v>
      </c>
    </row>
    <row r="59" spans="1:6" x14ac:dyDescent="0.35">
      <c r="A59" s="166">
        <f t="shared" si="9"/>
        <v>1</v>
      </c>
      <c r="B59" s="167">
        <v>44940</v>
      </c>
      <c r="C59" s="166">
        <f t="shared" si="12"/>
        <v>477</v>
      </c>
      <c r="D59" s="166">
        <v>22</v>
      </c>
      <c r="E59" s="166">
        <v>27</v>
      </c>
      <c r="F59" s="169">
        <f t="shared" si="13"/>
        <v>482</v>
      </c>
    </row>
    <row r="60" spans="1:6" x14ac:dyDescent="0.35">
      <c r="A60" s="166">
        <f t="shared" si="9"/>
        <v>2</v>
      </c>
      <c r="B60" s="167">
        <v>44965</v>
      </c>
      <c r="C60" s="166">
        <f>F59</f>
        <v>482</v>
      </c>
      <c r="D60" s="166">
        <v>20</v>
      </c>
      <c r="E60" s="166">
        <v>0</v>
      </c>
      <c r="F60" s="169">
        <f t="shared" si="13"/>
        <v>462</v>
      </c>
    </row>
    <row r="61" spans="1:6" x14ac:dyDescent="0.35">
      <c r="A61" s="166">
        <f t="shared" si="9"/>
        <v>2</v>
      </c>
      <c r="B61" s="167">
        <v>44966</v>
      </c>
      <c r="C61" s="166">
        <f t="shared" si="12"/>
        <v>462</v>
      </c>
      <c r="D61" s="166">
        <v>20</v>
      </c>
      <c r="E61" s="166">
        <v>0</v>
      </c>
      <c r="F61" s="169">
        <f t="shared" si="13"/>
        <v>442</v>
      </c>
    </row>
    <row r="62" spans="1:6" x14ac:dyDescent="0.35">
      <c r="A62" s="166">
        <f t="shared" si="9"/>
        <v>2</v>
      </c>
      <c r="B62" s="167">
        <v>44974</v>
      </c>
      <c r="C62" s="166">
        <f t="shared" si="12"/>
        <v>442</v>
      </c>
      <c r="D62" s="166">
        <v>0</v>
      </c>
      <c r="E62" s="166">
        <f>34+5</f>
        <v>39</v>
      </c>
      <c r="F62" s="169">
        <f t="shared" si="13"/>
        <v>481</v>
      </c>
    </row>
    <row r="63" spans="1:6" x14ac:dyDescent="0.35">
      <c r="A63" s="166">
        <f t="shared" si="9"/>
        <v>2</v>
      </c>
      <c r="B63" s="167">
        <v>44974</v>
      </c>
      <c r="C63" s="166">
        <f t="shared" si="12"/>
        <v>481</v>
      </c>
      <c r="D63" s="166">
        <v>39</v>
      </c>
      <c r="E63" s="166">
        <v>0</v>
      </c>
      <c r="F63" s="169">
        <f t="shared" si="13"/>
        <v>442</v>
      </c>
    </row>
    <row r="64" spans="1:6" x14ac:dyDescent="0.35">
      <c r="A64" s="166">
        <f t="shared" si="9"/>
        <v>2</v>
      </c>
      <c r="B64" s="167">
        <v>44978</v>
      </c>
      <c r="C64" s="166">
        <f t="shared" si="12"/>
        <v>442</v>
      </c>
      <c r="D64" s="166">
        <v>0</v>
      </c>
      <c r="E64" s="166">
        <v>30</v>
      </c>
      <c r="F64" s="169">
        <f t="shared" si="13"/>
        <v>472</v>
      </c>
    </row>
    <row r="65" spans="1:6" x14ac:dyDescent="0.35">
      <c r="A65" s="166">
        <f t="shared" si="9"/>
        <v>2</v>
      </c>
      <c r="B65" s="167">
        <v>44978</v>
      </c>
      <c r="C65" s="166">
        <f t="shared" si="12"/>
        <v>472</v>
      </c>
      <c r="D65" s="166">
        <v>30</v>
      </c>
      <c r="E65" s="166">
        <v>0</v>
      </c>
      <c r="F65" s="169">
        <f t="shared" si="13"/>
        <v>442</v>
      </c>
    </row>
    <row r="66" spans="1:6" x14ac:dyDescent="0.35">
      <c r="A66" s="166">
        <f t="shared" si="9"/>
        <v>3</v>
      </c>
      <c r="B66" s="167">
        <v>44988</v>
      </c>
      <c r="C66" s="166">
        <f t="shared" si="12"/>
        <v>442</v>
      </c>
      <c r="D66" s="166">
        <v>0</v>
      </c>
      <c r="E66" s="166">
        <v>31</v>
      </c>
      <c r="F66" s="169">
        <f t="shared" si="13"/>
        <v>473</v>
      </c>
    </row>
    <row r="67" spans="1:6" x14ac:dyDescent="0.35">
      <c r="A67" s="166">
        <f t="shared" si="9"/>
        <v>3</v>
      </c>
      <c r="B67" s="167">
        <v>44989</v>
      </c>
      <c r="C67" s="166">
        <f t="shared" si="12"/>
        <v>473</v>
      </c>
      <c r="D67" s="166">
        <v>31</v>
      </c>
      <c r="E67" s="166">
        <v>0</v>
      </c>
      <c r="F67" s="169">
        <f t="shared" si="13"/>
        <v>442</v>
      </c>
    </row>
    <row r="68" spans="1:6" x14ac:dyDescent="0.35">
      <c r="A68" s="166">
        <f t="shared" si="9"/>
        <v>3</v>
      </c>
      <c r="B68" s="167">
        <v>44999</v>
      </c>
      <c r="C68" s="166">
        <f t="shared" si="12"/>
        <v>442</v>
      </c>
      <c r="D68" s="166">
        <v>20</v>
      </c>
      <c r="E68" s="166">
        <v>28</v>
      </c>
      <c r="F68" s="169">
        <f t="shared" si="13"/>
        <v>450</v>
      </c>
    </row>
    <row r="69" spans="1:6" x14ac:dyDescent="0.35">
      <c r="A69" s="166">
        <f t="shared" ref="A69:A126" si="14">MONTH(B69)</f>
        <v>3</v>
      </c>
      <c r="B69" s="167">
        <v>45005</v>
      </c>
      <c r="C69" s="166">
        <f t="shared" ref="C69:C127" si="15">F68</f>
        <v>450</v>
      </c>
      <c r="D69" s="166">
        <v>0</v>
      </c>
      <c r="E69" s="166">
        <v>29</v>
      </c>
      <c r="F69" s="169">
        <f t="shared" ref="F69:F126" si="16">C69+E69-D69</f>
        <v>479</v>
      </c>
    </row>
    <row r="70" spans="1:6" x14ac:dyDescent="0.35">
      <c r="A70" s="166">
        <f t="shared" si="14"/>
        <v>3</v>
      </c>
      <c r="B70" s="167">
        <v>45005</v>
      </c>
      <c r="C70" s="166">
        <f t="shared" si="15"/>
        <v>479</v>
      </c>
      <c r="D70" s="166">
        <v>29</v>
      </c>
      <c r="E70" s="166">
        <v>0</v>
      </c>
      <c r="F70" s="169">
        <f t="shared" si="16"/>
        <v>450</v>
      </c>
    </row>
    <row r="71" spans="1:6" x14ac:dyDescent="0.35">
      <c r="A71" s="166">
        <f t="shared" si="14"/>
        <v>3</v>
      </c>
      <c r="B71" s="167">
        <v>45015</v>
      </c>
      <c r="C71" s="166">
        <f t="shared" si="15"/>
        <v>450</v>
      </c>
      <c r="D71" s="166">
        <v>30</v>
      </c>
      <c r="E71" s="166">
        <v>24</v>
      </c>
      <c r="F71" s="169">
        <f t="shared" si="16"/>
        <v>444</v>
      </c>
    </row>
    <row r="72" spans="1:6" x14ac:dyDescent="0.35">
      <c r="A72" s="166">
        <f t="shared" si="14"/>
        <v>4</v>
      </c>
      <c r="B72" s="167">
        <v>45017</v>
      </c>
      <c r="C72" s="166">
        <f t="shared" si="15"/>
        <v>444</v>
      </c>
      <c r="D72" s="166">
        <v>23</v>
      </c>
      <c r="E72" s="166">
        <v>0</v>
      </c>
      <c r="F72" s="169">
        <f t="shared" si="16"/>
        <v>421</v>
      </c>
    </row>
    <row r="73" spans="1:6" x14ac:dyDescent="0.35">
      <c r="A73" s="166">
        <f t="shared" si="14"/>
        <v>4</v>
      </c>
      <c r="B73" s="167">
        <v>45019</v>
      </c>
      <c r="C73" s="166">
        <f t="shared" si="15"/>
        <v>421</v>
      </c>
      <c r="D73" s="166">
        <v>0</v>
      </c>
      <c r="E73" s="166">
        <v>13</v>
      </c>
      <c r="F73" s="169">
        <f t="shared" si="16"/>
        <v>434</v>
      </c>
    </row>
    <row r="74" spans="1:6" x14ac:dyDescent="0.35">
      <c r="A74" s="166">
        <f t="shared" si="14"/>
        <v>4</v>
      </c>
      <c r="B74" s="167">
        <v>45024</v>
      </c>
      <c r="C74" s="166">
        <f t="shared" si="15"/>
        <v>434</v>
      </c>
      <c r="D74" s="166">
        <v>20</v>
      </c>
      <c r="E74" s="166">
        <v>0</v>
      </c>
      <c r="F74" s="169">
        <f t="shared" si="16"/>
        <v>414</v>
      </c>
    </row>
    <row r="75" spans="1:6" x14ac:dyDescent="0.35">
      <c r="A75" s="166">
        <f t="shared" si="14"/>
        <v>4</v>
      </c>
      <c r="B75" s="167">
        <v>45026</v>
      </c>
      <c r="C75" s="166">
        <f t="shared" si="15"/>
        <v>414</v>
      </c>
      <c r="D75" s="166">
        <v>15</v>
      </c>
      <c r="E75" s="166">
        <v>20</v>
      </c>
      <c r="F75" s="169">
        <f t="shared" si="16"/>
        <v>419</v>
      </c>
    </row>
    <row r="76" spans="1:6" x14ac:dyDescent="0.35">
      <c r="A76" s="166">
        <f t="shared" si="14"/>
        <v>4</v>
      </c>
      <c r="B76" s="167">
        <v>45033</v>
      </c>
      <c r="C76" s="166">
        <f t="shared" si="15"/>
        <v>419</v>
      </c>
      <c r="D76" s="166">
        <v>9</v>
      </c>
      <c r="E76" s="166">
        <v>25</v>
      </c>
      <c r="F76" s="169">
        <f t="shared" si="16"/>
        <v>435</v>
      </c>
    </row>
    <row r="77" spans="1:6" x14ac:dyDescent="0.35">
      <c r="A77" s="166">
        <f t="shared" si="14"/>
        <v>4</v>
      </c>
      <c r="B77" s="167">
        <v>45042</v>
      </c>
      <c r="C77" s="166">
        <f t="shared" si="15"/>
        <v>435</v>
      </c>
      <c r="D77" s="166">
        <v>0</v>
      </c>
      <c r="E77" s="166">
        <v>25</v>
      </c>
      <c r="F77" s="169">
        <f t="shared" si="16"/>
        <v>460</v>
      </c>
    </row>
    <row r="78" spans="1:6" x14ac:dyDescent="0.35">
      <c r="A78" s="166">
        <f t="shared" si="14"/>
        <v>4</v>
      </c>
      <c r="B78" s="167">
        <v>45045</v>
      </c>
      <c r="C78" s="166">
        <f t="shared" si="15"/>
        <v>460</v>
      </c>
      <c r="D78" s="166">
        <v>30</v>
      </c>
      <c r="E78" s="166">
        <v>26</v>
      </c>
      <c r="F78" s="169">
        <f t="shared" si="16"/>
        <v>456</v>
      </c>
    </row>
    <row r="79" spans="1:6" x14ac:dyDescent="0.35">
      <c r="A79" s="166">
        <f t="shared" si="14"/>
        <v>5</v>
      </c>
      <c r="B79" s="167">
        <v>45055</v>
      </c>
      <c r="C79" s="166">
        <f t="shared" si="15"/>
        <v>456</v>
      </c>
      <c r="D79" s="166">
        <v>15</v>
      </c>
      <c r="E79" s="166">
        <v>0</v>
      </c>
      <c r="F79" s="169">
        <f t="shared" si="16"/>
        <v>441</v>
      </c>
    </row>
    <row r="80" spans="1:6" x14ac:dyDescent="0.35">
      <c r="A80" s="166">
        <f t="shared" si="14"/>
        <v>5</v>
      </c>
      <c r="B80" s="167">
        <v>45061</v>
      </c>
      <c r="C80" s="166">
        <f t="shared" si="15"/>
        <v>441</v>
      </c>
      <c r="D80" s="166">
        <v>20</v>
      </c>
      <c r="E80" s="166">
        <v>31</v>
      </c>
      <c r="F80" s="169">
        <f t="shared" si="16"/>
        <v>452</v>
      </c>
    </row>
    <row r="81" spans="1:6" x14ac:dyDescent="0.35">
      <c r="A81" s="166">
        <f t="shared" si="14"/>
        <v>5</v>
      </c>
      <c r="B81" s="167">
        <v>45063</v>
      </c>
      <c r="C81" s="166">
        <f t="shared" si="15"/>
        <v>452</v>
      </c>
      <c r="D81" s="166">
        <v>15</v>
      </c>
      <c r="E81" s="166">
        <v>14</v>
      </c>
      <c r="F81" s="169">
        <f t="shared" si="16"/>
        <v>451</v>
      </c>
    </row>
    <row r="82" spans="1:6" x14ac:dyDescent="0.35">
      <c r="A82" s="166">
        <f t="shared" si="14"/>
        <v>5</v>
      </c>
      <c r="B82" s="167">
        <v>45063</v>
      </c>
      <c r="C82" s="166">
        <f t="shared" si="15"/>
        <v>451</v>
      </c>
      <c r="D82" s="166">
        <v>14</v>
      </c>
      <c r="E82" s="166">
        <v>0</v>
      </c>
      <c r="F82" s="169">
        <f t="shared" si="16"/>
        <v>437</v>
      </c>
    </row>
    <row r="83" spans="1:6" x14ac:dyDescent="0.35">
      <c r="A83" s="166">
        <f t="shared" si="14"/>
        <v>5</v>
      </c>
      <c r="B83" s="167">
        <v>45072</v>
      </c>
      <c r="C83" s="166">
        <f t="shared" si="15"/>
        <v>437</v>
      </c>
      <c r="D83" s="166">
        <v>20</v>
      </c>
      <c r="E83" s="166">
        <v>20</v>
      </c>
      <c r="F83" s="169">
        <f t="shared" si="16"/>
        <v>437</v>
      </c>
    </row>
    <row r="84" spans="1:6" x14ac:dyDescent="0.35">
      <c r="A84" s="166">
        <f t="shared" si="14"/>
        <v>5</v>
      </c>
      <c r="B84" s="167">
        <v>45075</v>
      </c>
      <c r="C84" s="166">
        <f t="shared" si="15"/>
        <v>437</v>
      </c>
      <c r="D84" s="166">
        <v>0</v>
      </c>
      <c r="E84" s="166">
        <v>16</v>
      </c>
      <c r="F84" s="169">
        <f t="shared" si="16"/>
        <v>453</v>
      </c>
    </row>
    <row r="85" spans="1:6" x14ac:dyDescent="0.35">
      <c r="A85" s="166">
        <f t="shared" si="14"/>
        <v>6</v>
      </c>
      <c r="B85" s="167">
        <v>45082</v>
      </c>
      <c r="C85" s="166">
        <f t="shared" si="15"/>
        <v>453</v>
      </c>
      <c r="D85" s="166">
        <v>40</v>
      </c>
      <c r="E85" s="166">
        <v>0</v>
      </c>
      <c r="F85" s="169">
        <f t="shared" si="16"/>
        <v>413</v>
      </c>
    </row>
    <row r="86" spans="1:6" x14ac:dyDescent="0.35">
      <c r="A86" s="166">
        <f t="shared" si="14"/>
        <v>6</v>
      </c>
      <c r="B86" s="167">
        <v>45085</v>
      </c>
      <c r="C86" s="166">
        <f t="shared" si="15"/>
        <v>413</v>
      </c>
      <c r="D86" s="166">
        <v>0</v>
      </c>
      <c r="E86" s="166">
        <v>20</v>
      </c>
      <c r="F86" s="169">
        <f t="shared" si="16"/>
        <v>433</v>
      </c>
    </row>
    <row r="87" spans="1:6" x14ac:dyDescent="0.35">
      <c r="A87" s="166">
        <f t="shared" si="14"/>
        <v>6</v>
      </c>
      <c r="B87" s="167">
        <v>45100</v>
      </c>
      <c r="C87" s="166">
        <f t="shared" si="15"/>
        <v>433</v>
      </c>
      <c r="D87" s="166">
        <v>28</v>
      </c>
      <c r="E87" s="166">
        <v>20</v>
      </c>
      <c r="F87" s="169">
        <f t="shared" si="16"/>
        <v>425</v>
      </c>
    </row>
    <row r="88" spans="1:6" x14ac:dyDescent="0.35">
      <c r="A88" s="166">
        <f t="shared" si="14"/>
        <v>7</v>
      </c>
      <c r="B88" s="167">
        <v>45112</v>
      </c>
      <c r="C88" s="166">
        <f t="shared" si="15"/>
        <v>425</v>
      </c>
      <c r="D88" s="166">
        <v>0</v>
      </c>
      <c r="E88" s="166">
        <v>22</v>
      </c>
      <c r="F88" s="169">
        <f t="shared" si="16"/>
        <v>447</v>
      </c>
    </row>
    <row r="89" spans="1:6" x14ac:dyDescent="0.35">
      <c r="A89" s="166">
        <f t="shared" si="14"/>
        <v>7</v>
      </c>
      <c r="B89" s="167">
        <v>45112</v>
      </c>
      <c r="C89" s="166">
        <f t="shared" si="15"/>
        <v>447</v>
      </c>
      <c r="D89" s="166">
        <v>22</v>
      </c>
      <c r="E89" s="166">
        <v>0</v>
      </c>
      <c r="F89" s="169">
        <f t="shared" si="16"/>
        <v>425</v>
      </c>
    </row>
    <row r="90" spans="1:6" x14ac:dyDescent="0.35">
      <c r="A90" s="166">
        <f t="shared" si="14"/>
        <v>7</v>
      </c>
      <c r="B90" s="167">
        <v>45125</v>
      </c>
      <c r="C90" s="166">
        <f t="shared" si="15"/>
        <v>425</v>
      </c>
      <c r="D90" s="166">
        <v>0</v>
      </c>
      <c r="E90" s="166">
        <v>23</v>
      </c>
      <c r="F90" s="169">
        <f t="shared" si="16"/>
        <v>448</v>
      </c>
    </row>
    <row r="91" spans="1:6" x14ac:dyDescent="0.35">
      <c r="A91" s="166">
        <f t="shared" si="14"/>
        <v>7</v>
      </c>
      <c r="B91" s="167">
        <v>45125</v>
      </c>
      <c r="C91" s="166">
        <f t="shared" si="15"/>
        <v>448</v>
      </c>
      <c r="D91" s="166">
        <v>23</v>
      </c>
      <c r="E91" s="166">
        <v>0</v>
      </c>
      <c r="F91" s="169">
        <f t="shared" si="16"/>
        <v>425</v>
      </c>
    </row>
    <row r="92" spans="1:6" x14ac:dyDescent="0.35">
      <c r="A92" s="166">
        <f t="shared" si="14"/>
        <v>8</v>
      </c>
      <c r="B92" s="167">
        <v>45143</v>
      </c>
      <c r="C92" s="166">
        <f t="shared" si="15"/>
        <v>425</v>
      </c>
      <c r="D92" s="166">
        <v>20</v>
      </c>
      <c r="E92" s="166">
        <v>0</v>
      </c>
      <c r="F92" s="169">
        <f t="shared" si="16"/>
        <v>405</v>
      </c>
    </row>
    <row r="93" spans="1:6" x14ac:dyDescent="0.35">
      <c r="A93" s="166">
        <f t="shared" si="14"/>
        <v>8</v>
      </c>
      <c r="B93" s="167">
        <v>45159</v>
      </c>
      <c r="C93" s="166">
        <f t="shared" si="15"/>
        <v>405</v>
      </c>
      <c r="D93" s="166">
        <v>0</v>
      </c>
      <c r="E93" s="166">
        <v>24</v>
      </c>
      <c r="F93" s="169">
        <f t="shared" si="16"/>
        <v>429</v>
      </c>
    </row>
    <row r="94" spans="1:6" x14ac:dyDescent="0.35">
      <c r="A94" s="166">
        <f t="shared" si="14"/>
        <v>8</v>
      </c>
      <c r="B94" s="167">
        <v>45159</v>
      </c>
      <c r="C94" s="166">
        <f t="shared" si="15"/>
        <v>429</v>
      </c>
      <c r="D94" s="166">
        <v>24</v>
      </c>
      <c r="E94" s="166">
        <v>0</v>
      </c>
      <c r="F94" s="169">
        <f t="shared" si="16"/>
        <v>405</v>
      </c>
    </row>
    <row r="95" spans="1:6" x14ac:dyDescent="0.35">
      <c r="A95" s="166">
        <f t="shared" si="14"/>
        <v>9</v>
      </c>
      <c r="B95" s="167">
        <v>45176</v>
      </c>
      <c r="C95" s="166">
        <f t="shared" si="15"/>
        <v>405</v>
      </c>
      <c r="D95" s="166">
        <v>30</v>
      </c>
      <c r="E95" s="166">
        <v>0</v>
      </c>
      <c r="F95" s="169">
        <f t="shared" si="16"/>
        <v>375</v>
      </c>
    </row>
    <row r="96" spans="1:6" x14ac:dyDescent="0.35">
      <c r="A96" s="166">
        <f t="shared" si="14"/>
        <v>9</v>
      </c>
      <c r="B96" s="167">
        <v>45182</v>
      </c>
      <c r="C96" s="166">
        <f t="shared" si="15"/>
        <v>375</v>
      </c>
      <c r="D96" s="166">
        <v>288</v>
      </c>
      <c r="E96" s="166">
        <v>0</v>
      </c>
      <c r="F96" s="169">
        <f t="shared" si="16"/>
        <v>87</v>
      </c>
    </row>
    <row r="97" spans="1:6" x14ac:dyDescent="0.35">
      <c r="A97" s="166">
        <f t="shared" si="14"/>
        <v>9</v>
      </c>
      <c r="B97" s="167">
        <v>45187</v>
      </c>
      <c r="C97" s="166">
        <f t="shared" si="15"/>
        <v>87</v>
      </c>
      <c r="D97" s="166">
        <v>0</v>
      </c>
      <c r="E97" s="166">
        <v>19</v>
      </c>
      <c r="F97" s="169">
        <f t="shared" si="16"/>
        <v>106</v>
      </c>
    </row>
    <row r="98" spans="1:6" x14ac:dyDescent="0.35">
      <c r="A98" s="166">
        <f t="shared" si="14"/>
        <v>9</v>
      </c>
      <c r="B98" s="167">
        <v>45196</v>
      </c>
      <c r="C98" s="166">
        <f t="shared" si="15"/>
        <v>106</v>
      </c>
      <c r="D98" s="166">
        <v>25</v>
      </c>
      <c r="E98" s="166">
        <v>0</v>
      </c>
      <c r="F98" s="169">
        <f t="shared" si="16"/>
        <v>81</v>
      </c>
    </row>
    <row r="99" spans="1:6" x14ac:dyDescent="0.35">
      <c r="A99" s="166">
        <f t="shared" si="14"/>
        <v>10</v>
      </c>
      <c r="B99" s="167">
        <v>45201</v>
      </c>
      <c r="C99" s="166">
        <f t="shared" si="15"/>
        <v>81</v>
      </c>
      <c r="D99" s="166">
        <v>16</v>
      </c>
      <c r="E99" s="166">
        <v>16</v>
      </c>
      <c r="F99" s="169">
        <f t="shared" si="16"/>
        <v>81</v>
      </c>
    </row>
    <row r="100" spans="1:6" x14ac:dyDescent="0.35">
      <c r="A100" s="166">
        <f t="shared" si="14"/>
        <v>10</v>
      </c>
      <c r="B100" s="167">
        <v>45219</v>
      </c>
      <c r="C100" s="166">
        <f t="shared" si="15"/>
        <v>81</v>
      </c>
      <c r="D100" s="166">
        <v>15</v>
      </c>
      <c r="E100" s="166">
        <v>10</v>
      </c>
      <c r="F100" s="169">
        <f t="shared" si="16"/>
        <v>76</v>
      </c>
    </row>
    <row r="101" spans="1:6" x14ac:dyDescent="0.35">
      <c r="A101" s="166">
        <f t="shared" si="14"/>
        <v>11</v>
      </c>
      <c r="B101" s="221" t="s">
        <v>264</v>
      </c>
      <c r="C101" s="166">
        <f t="shared" si="15"/>
        <v>76</v>
      </c>
      <c r="D101" s="166">
        <v>0</v>
      </c>
      <c r="E101" s="166">
        <v>25</v>
      </c>
      <c r="F101" s="169">
        <f t="shared" si="16"/>
        <v>101</v>
      </c>
    </row>
    <row r="102" spans="1:6" x14ac:dyDescent="0.35">
      <c r="A102" s="166">
        <f t="shared" si="14"/>
        <v>11</v>
      </c>
      <c r="B102" s="167">
        <v>45256</v>
      </c>
      <c r="C102" s="166">
        <f t="shared" si="15"/>
        <v>101</v>
      </c>
      <c r="D102" s="166">
        <v>27</v>
      </c>
      <c r="E102" s="166">
        <v>34</v>
      </c>
      <c r="F102" s="169">
        <f t="shared" si="16"/>
        <v>108</v>
      </c>
    </row>
    <row r="103" spans="1:6" x14ac:dyDescent="0.35">
      <c r="A103" s="166">
        <f t="shared" si="14"/>
        <v>12</v>
      </c>
      <c r="B103" s="221" t="s">
        <v>265</v>
      </c>
      <c r="C103" s="166">
        <f t="shared" si="15"/>
        <v>108</v>
      </c>
      <c r="D103" s="166">
        <v>36</v>
      </c>
      <c r="E103" s="166">
        <v>0</v>
      </c>
      <c r="F103" s="169">
        <f t="shared" si="16"/>
        <v>72</v>
      </c>
    </row>
    <row r="104" spans="1:6" x14ac:dyDescent="0.35">
      <c r="A104" s="166">
        <f t="shared" si="14"/>
        <v>12</v>
      </c>
      <c r="B104" s="221" t="s">
        <v>266</v>
      </c>
      <c r="C104" s="166">
        <f t="shared" si="15"/>
        <v>72</v>
      </c>
      <c r="D104" s="166">
        <v>15</v>
      </c>
      <c r="E104" s="166">
        <v>36</v>
      </c>
      <c r="F104" s="169">
        <f t="shared" si="16"/>
        <v>93</v>
      </c>
    </row>
    <row r="105" spans="1:6" x14ac:dyDescent="0.35">
      <c r="A105" s="166">
        <f t="shared" si="14"/>
        <v>12</v>
      </c>
      <c r="B105" s="221">
        <v>45284</v>
      </c>
      <c r="C105" s="166">
        <f t="shared" si="15"/>
        <v>93</v>
      </c>
      <c r="D105" s="166">
        <v>13</v>
      </c>
      <c r="E105" s="166">
        <v>13</v>
      </c>
      <c r="F105" s="169">
        <f t="shared" si="16"/>
        <v>93</v>
      </c>
    </row>
    <row r="106" spans="1:6" x14ac:dyDescent="0.35">
      <c r="A106" s="166">
        <f t="shared" si="14"/>
        <v>1</v>
      </c>
      <c r="B106" s="221">
        <v>45308</v>
      </c>
      <c r="C106" s="166">
        <f t="shared" si="15"/>
        <v>93</v>
      </c>
      <c r="D106" s="166">
        <v>30</v>
      </c>
      <c r="E106" s="166">
        <v>30</v>
      </c>
      <c r="F106" s="169">
        <f t="shared" si="16"/>
        <v>93</v>
      </c>
    </row>
    <row r="107" spans="1:6" x14ac:dyDescent="0.35">
      <c r="A107" s="166">
        <f t="shared" si="14"/>
        <v>1</v>
      </c>
      <c r="B107" s="167">
        <v>45318</v>
      </c>
      <c r="C107" s="166">
        <f t="shared" si="15"/>
        <v>93</v>
      </c>
      <c r="D107" s="166">
        <v>28</v>
      </c>
      <c r="E107" s="166">
        <v>0</v>
      </c>
      <c r="F107" s="169">
        <f t="shared" si="16"/>
        <v>65</v>
      </c>
    </row>
    <row r="108" spans="1:6" x14ac:dyDescent="0.35">
      <c r="A108" s="166">
        <f t="shared" si="14"/>
        <v>1</v>
      </c>
      <c r="B108" s="167">
        <v>45320</v>
      </c>
      <c r="C108" s="166">
        <f t="shared" si="15"/>
        <v>65</v>
      </c>
      <c r="D108" s="166">
        <v>21</v>
      </c>
      <c r="E108" s="166">
        <v>43</v>
      </c>
      <c r="F108" s="169">
        <f t="shared" si="16"/>
        <v>87</v>
      </c>
    </row>
    <row r="109" spans="1:6" x14ac:dyDescent="0.35">
      <c r="A109" s="166">
        <f t="shared" si="14"/>
        <v>2</v>
      </c>
      <c r="B109" s="167">
        <v>45325</v>
      </c>
      <c r="C109" s="166">
        <f t="shared" si="15"/>
        <v>87</v>
      </c>
      <c r="D109" s="166">
        <v>0</v>
      </c>
      <c r="E109" s="166">
        <v>86</v>
      </c>
      <c r="F109" s="169">
        <f t="shared" si="16"/>
        <v>173</v>
      </c>
    </row>
    <row r="110" spans="1:6" x14ac:dyDescent="0.35">
      <c r="A110" s="166">
        <f t="shared" si="14"/>
        <v>2</v>
      </c>
      <c r="B110" s="167">
        <v>45326</v>
      </c>
      <c r="C110" s="166">
        <f t="shared" si="15"/>
        <v>173</v>
      </c>
      <c r="D110" s="166">
        <v>56</v>
      </c>
      <c r="E110" s="166">
        <v>0</v>
      </c>
      <c r="F110" s="169">
        <f t="shared" si="16"/>
        <v>117</v>
      </c>
    </row>
    <row r="111" spans="1:6" x14ac:dyDescent="0.35">
      <c r="A111" s="166">
        <f t="shared" si="14"/>
        <v>3</v>
      </c>
      <c r="B111" s="167">
        <v>45358</v>
      </c>
      <c r="C111" s="166">
        <f t="shared" si="15"/>
        <v>117</v>
      </c>
      <c r="D111" s="166">
        <v>27</v>
      </c>
      <c r="E111" s="166">
        <v>0</v>
      </c>
      <c r="F111" s="169">
        <f t="shared" si="16"/>
        <v>90</v>
      </c>
    </row>
    <row r="112" spans="1:6" x14ac:dyDescent="0.35">
      <c r="A112" s="166">
        <f t="shared" si="14"/>
        <v>3</v>
      </c>
      <c r="B112" s="167">
        <v>45359</v>
      </c>
      <c r="C112" s="166">
        <f t="shared" si="15"/>
        <v>90</v>
      </c>
      <c r="D112" s="166">
        <v>0</v>
      </c>
      <c r="E112" s="166">
        <v>33</v>
      </c>
      <c r="F112" s="169">
        <f t="shared" si="16"/>
        <v>123</v>
      </c>
    </row>
    <row r="113" spans="1:6" x14ac:dyDescent="0.35">
      <c r="A113" s="166">
        <f t="shared" si="14"/>
        <v>3</v>
      </c>
      <c r="B113" s="167">
        <v>45376</v>
      </c>
      <c r="C113" s="166">
        <f t="shared" si="15"/>
        <v>123</v>
      </c>
      <c r="D113" s="166">
        <v>30</v>
      </c>
      <c r="E113" s="166">
        <v>45</v>
      </c>
      <c r="F113" s="169">
        <f t="shared" si="16"/>
        <v>138</v>
      </c>
    </row>
    <row r="114" spans="1:6" x14ac:dyDescent="0.35">
      <c r="A114" s="166">
        <f t="shared" si="14"/>
        <v>4</v>
      </c>
      <c r="B114" s="167">
        <v>45397</v>
      </c>
      <c r="C114" s="166">
        <f t="shared" si="15"/>
        <v>138</v>
      </c>
      <c r="D114" s="166">
        <v>30</v>
      </c>
      <c r="E114" s="166">
        <v>37</v>
      </c>
      <c r="F114" s="169">
        <f t="shared" si="16"/>
        <v>145</v>
      </c>
    </row>
    <row r="115" spans="1:6" x14ac:dyDescent="0.35">
      <c r="A115" s="166">
        <f t="shared" si="14"/>
        <v>5</v>
      </c>
      <c r="B115" s="167">
        <v>45416</v>
      </c>
      <c r="C115" s="166">
        <f t="shared" si="15"/>
        <v>145</v>
      </c>
      <c r="D115" s="166">
        <v>20</v>
      </c>
      <c r="E115" s="166">
        <v>42</v>
      </c>
      <c r="F115" s="169">
        <f t="shared" si="16"/>
        <v>167</v>
      </c>
    </row>
    <row r="116" spans="1:6" x14ac:dyDescent="0.35">
      <c r="A116" s="166">
        <f t="shared" si="14"/>
        <v>5</v>
      </c>
      <c r="B116" s="167">
        <v>45428</v>
      </c>
      <c r="C116" s="166">
        <f t="shared" si="15"/>
        <v>167</v>
      </c>
      <c r="D116" s="166">
        <v>30</v>
      </c>
      <c r="E116" s="166">
        <v>0</v>
      </c>
      <c r="F116" s="169">
        <f t="shared" si="16"/>
        <v>137</v>
      </c>
    </row>
    <row r="117" spans="1:6" x14ac:dyDescent="0.35">
      <c r="A117" s="166">
        <f t="shared" si="14"/>
        <v>5</v>
      </c>
      <c r="B117" s="167">
        <v>45432</v>
      </c>
      <c r="C117" s="166">
        <f t="shared" si="15"/>
        <v>137</v>
      </c>
      <c r="D117" s="166">
        <v>32</v>
      </c>
      <c r="E117" s="166">
        <v>41</v>
      </c>
      <c r="F117" s="169">
        <f t="shared" si="16"/>
        <v>146</v>
      </c>
    </row>
    <row r="118" spans="1:6" x14ac:dyDescent="0.35">
      <c r="A118" s="166">
        <f t="shared" si="14"/>
        <v>5</v>
      </c>
      <c r="B118" s="167">
        <v>45437</v>
      </c>
      <c r="C118" s="166">
        <f t="shared" si="15"/>
        <v>146</v>
      </c>
      <c r="D118" s="166">
        <v>0</v>
      </c>
      <c r="E118" s="166">
        <v>64</v>
      </c>
      <c r="F118" s="169">
        <f t="shared" si="16"/>
        <v>210</v>
      </c>
    </row>
    <row r="119" spans="1:6" x14ac:dyDescent="0.35">
      <c r="A119" s="166">
        <f t="shared" si="14"/>
        <v>5</v>
      </c>
      <c r="B119" s="167">
        <v>45443</v>
      </c>
      <c r="C119" s="166">
        <f t="shared" si="15"/>
        <v>210</v>
      </c>
      <c r="D119" s="166">
        <v>30</v>
      </c>
      <c r="E119" s="166">
        <v>35</v>
      </c>
      <c r="F119" s="169">
        <f t="shared" si="16"/>
        <v>215</v>
      </c>
    </row>
    <row r="120" spans="1:6" x14ac:dyDescent="0.35">
      <c r="A120" s="166">
        <f t="shared" si="14"/>
        <v>6</v>
      </c>
      <c r="B120" s="167">
        <v>45453</v>
      </c>
      <c r="C120" s="166">
        <f t="shared" si="15"/>
        <v>215</v>
      </c>
      <c r="D120" s="166">
        <v>40</v>
      </c>
      <c r="E120" s="166">
        <v>34</v>
      </c>
      <c r="F120" s="169">
        <f t="shared" si="16"/>
        <v>209</v>
      </c>
    </row>
    <row r="121" spans="1:6" x14ac:dyDescent="0.35">
      <c r="A121" s="166">
        <f t="shared" si="14"/>
        <v>6</v>
      </c>
      <c r="B121" s="167">
        <v>45460</v>
      </c>
      <c r="C121" s="166">
        <f t="shared" si="15"/>
        <v>209</v>
      </c>
      <c r="D121" s="166">
        <v>40</v>
      </c>
      <c r="E121" s="166">
        <v>32</v>
      </c>
      <c r="F121" s="169">
        <f t="shared" si="16"/>
        <v>201</v>
      </c>
    </row>
    <row r="122" spans="1:6" x14ac:dyDescent="0.35">
      <c r="A122" s="166">
        <f t="shared" si="14"/>
        <v>6</v>
      </c>
      <c r="B122" s="167">
        <v>45468</v>
      </c>
      <c r="C122" s="166">
        <f t="shared" si="15"/>
        <v>201</v>
      </c>
      <c r="D122" s="166">
        <v>25</v>
      </c>
      <c r="E122" s="166">
        <v>0</v>
      </c>
      <c r="F122" s="169">
        <f t="shared" si="16"/>
        <v>176</v>
      </c>
    </row>
    <row r="123" spans="1:6" x14ac:dyDescent="0.35">
      <c r="A123" s="166">
        <f t="shared" si="14"/>
        <v>7</v>
      </c>
      <c r="B123" s="167">
        <v>45474</v>
      </c>
      <c r="C123" s="166">
        <f t="shared" si="15"/>
        <v>176</v>
      </c>
      <c r="D123" s="166">
        <v>40</v>
      </c>
      <c r="E123" s="166">
        <v>46</v>
      </c>
      <c r="F123" s="169">
        <f t="shared" si="16"/>
        <v>182</v>
      </c>
    </row>
    <row r="124" spans="1:6" x14ac:dyDescent="0.35">
      <c r="A124" s="166">
        <f t="shared" si="14"/>
        <v>7</v>
      </c>
      <c r="B124" s="167">
        <v>45482</v>
      </c>
      <c r="C124" s="166">
        <f t="shared" si="15"/>
        <v>182</v>
      </c>
      <c r="D124" s="166">
        <v>20</v>
      </c>
      <c r="E124" s="166">
        <v>34</v>
      </c>
      <c r="F124" s="169">
        <f t="shared" si="16"/>
        <v>196</v>
      </c>
    </row>
    <row r="125" spans="1:6" x14ac:dyDescent="0.35">
      <c r="A125" s="166">
        <f t="shared" si="14"/>
        <v>7</v>
      </c>
      <c r="B125" s="167">
        <v>45490</v>
      </c>
      <c r="C125" s="166">
        <f t="shared" si="15"/>
        <v>196</v>
      </c>
      <c r="D125" s="166">
        <v>0</v>
      </c>
      <c r="E125" s="166">
        <v>28</v>
      </c>
      <c r="F125" s="169">
        <f t="shared" si="16"/>
        <v>224</v>
      </c>
    </row>
    <row r="126" spans="1:6" x14ac:dyDescent="0.35">
      <c r="A126" s="166">
        <f t="shared" si="14"/>
        <v>7</v>
      </c>
      <c r="B126" s="167">
        <v>45493</v>
      </c>
      <c r="C126" s="166">
        <f t="shared" si="15"/>
        <v>224</v>
      </c>
      <c r="D126" s="166">
        <v>26</v>
      </c>
      <c r="E126" s="166">
        <v>0</v>
      </c>
      <c r="F126" s="169">
        <f t="shared" si="16"/>
        <v>198</v>
      </c>
    </row>
    <row r="127" spans="1:6" x14ac:dyDescent="0.35">
      <c r="A127" s="166">
        <f t="shared" ref="A127" si="17">MONTH(B127)</f>
        <v>7</v>
      </c>
      <c r="B127" s="167">
        <v>45500</v>
      </c>
      <c r="C127" s="166">
        <f t="shared" si="15"/>
        <v>198</v>
      </c>
      <c r="D127" s="166">
        <v>15</v>
      </c>
      <c r="E127" s="166">
        <v>0</v>
      </c>
      <c r="F127" s="169">
        <f t="shared" ref="F127" si="18">C127+E127-D127</f>
        <v>183</v>
      </c>
    </row>
    <row r="128" spans="1:6" x14ac:dyDescent="0.35">
      <c r="A128" s="166">
        <f t="shared" ref="A128" si="19">MONTH(B128)</f>
        <v>7</v>
      </c>
      <c r="B128" s="167">
        <v>45502</v>
      </c>
      <c r="C128" s="166">
        <f t="shared" ref="C128:C133" si="20">F127</f>
        <v>183</v>
      </c>
      <c r="D128" s="166">
        <v>20</v>
      </c>
      <c r="E128" s="166">
        <v>44</v>
      </c>
      <c r="F128" s="169">
        <f t="shared" ref="F128" si="21">C128+E128-D128</f>
        <v>207</v>
      </c>
    </row>
    <row r="129" spans="1:6" x14ac:dyDescent="0.35">
      <c r="A129" s="166">
        <f t="shared" ref="A129" si="22">MONTH(B129)</f>
        <v>8</v>
      </c>
      <c r="B129" s="167">
        <v>45512</v>
      </c>
      <c r="C129" s="166">
        <f t="shared" si="20"/>
        <v>207</v>
      </c>
      <c r="D129" s="166">
        <v>0</v>
      </c>
      <c r="E129" s="166">
        <v>41</v>
      </c>
      <c r="F129" s="169">
        <f t="shared" ref="F129" si="23">C129+E129-D129</f>
        <v>248</v>
      </c>
    </row>
    <row r="130" spans="1:6" x14ac:dyDescent="0.35">
      <c r="A130" s="166">
        <f t="shared" ref="A130" si="24">MONTH(B130)</f>
        <v>8</v>
      </c>
      <c r="B130" s="167">
        <v>45513</v>
      </c>
      <c r="C130" s="166">
        <f t="shared" si="20"/>
        <v>248</v>
      </c>
      <c r="D130" s="166">
        <v>26</v>
      </c>
      <c r="E130" s="166">
        <v>0</v>
      </c>
      <c r="F130" s="169">
        <f t="shared" ref="F130" si="25">C130+E130-D130</f>
        <v>222</v>
      </c>
    </row>
    <row r="131" spans="1:6" x14ac:dyDescent="0.35">
      <c r="A131" s="166">
        <f t="shared" ref="A131" si="26">MONTH(B131)</f>
        <v>8</v>
      </c>
      <c r="B131" s="167">
        <v>45524</v>
      </c>
      <c r="C131" s="166">
        <f t="shared" si="20"/>
        <v>222</v>
      </c>
      <c r="D131" s="166">
        <v>20</v>
      </c>
      <c r="E131" s="166">
        <v>36</v>
      </c>
      <c r="F131" s="169">
        <f t="shared" ref="F131" si="27">C131+E131-D131</f>
        <v>238</v>
      </c>
    </row>
    <row r="132" spans="1:6" x14ac:dyDescent="0.35">
      <c r="A132" s="166">
        <f t="shared" ref="A132" si="28">MONTH(B132)</f>
        <v>8</v>
      </c>
      <c r="B132" s="167">
        <v>45528</v>
      </c>
      <c r="C132" s="166">
        <f t="shared" si="20"/>
        <v>238</v>
      </c>
      <c r="D132" s="166">
        <v>20</v>
      </c>
      <c r="E132" s="166">
        <v>0</v>
      </c>
      <c r="F132" s="169">
        <f t="shared" ref="F132" si="29">C132+E132-D132</f>
        <v>218</v>
      </c>
    </row>
    <row r="133" spans="1:6" x14ac:dyDescent="0.35">
      <c r="A133" s="166">
        <f t="shared" ref="A133" si="30">MONTH(B133)</f>
        <v>8</v>
      </c>
      <c r="B133" s="167">
        <v>45533</v>
      </c>
      <c r="C133" s="166">
        <f t="shared" si="20"/>
        <v>218</v>
      </c>
      <c r="D133" s="166">
        <v>26</v>
      </c>
      <c r="E133" s="166">
        <v>39</v>
      </c>
      <c r="F133" s="169">
        <f t="shared" ref="F133" si="31">C133+E133-D133</f>
        <v>231</v>
      </c>
    </row>
    <row r="134" spans="1:6" x14ac:dyDescent="0.35">
      <c r="A134" s="166">
        <f t="shared" ref="A134" si="32">MONTH(B134)</f>
        <v>8</v>
      </c>
      <c r="B134" s="167">
        <v>45535</v>
      </c>
      <c r="C134" s="166">
        <f t="shared" ref="C134:C135" si="33">F133</f>
        <v>231</v>
      </c>
      <c r="D134" s="166">
        <v>0</v>
      </c>
      <c r="E134" s="166">
        <v>4</v>
      </c>
      <c r="F134" s="169">
        <f t="shared" ref="F134" si="34">C134+E134-D134</f>
        <v>235</v>
      </c>
    </row>
    <row r="135" spans="1:6" x14ac:dyDescent="0.35">
      <c r="A135" s="166">
        <f t="shared" ref="A135" si="35">MONTH(B135)</f>
        <v>9</v>
      </c>
      <c r="B135" s="167">
        <v>45542</v>
      </c>
      <c r="C135" s="166">
        <f t="shared" si="33"/>
        <v>235</v>
      </c>
      <c r="D135" s="166">
        <v>20</v>
      </c>
      <c r="E135" s="166">
        <v>0</v>
      </c>
      <c r="F135" s="169">
        <f t="shared" ref="F135" si="36">C135+E135-D135</f>
        <v>215</v>
      </c>
    </row>
    <row r="136" spans="1:6" x14ac:dyDescent="0.35">
      <c r="A136" s="166">
        <f t="shared" ref="A136" si="37">MONTH(B136)</f>
        <v>9</v>
      </c>
      <c r="B136" s="167">
        <v>45549</v>
      </c>
      <c r="C136" s="166">
        <f t="shared" ref="C136" si="38">F135</f>
        <v>215</v>
      </c>
      <c r="D136" s="166">
        <v>20</v>
      </c>
      <c r="E136" s="166">
        <v>0</v>
      </c>
      <c r="F136" s="169">
        <f t="shared" ref="F136" si="39">C136+E136-D136</f>
        <v>195</v>
      </c>
    </row>
    <row r="137" spans="1:6" x14ac:dyDescent="0.35">
      <c r="A137" s="166">
        <f t="shared" ref="A137" si="40">MONTH(B137)</f>
        <v>9</v>
      </c>
      <c r="B137" s="167">
        <v>45551</v>
      </c>
      <c r="C137" s="166">
        <f t="shared" ref="C137" si="41">F136</f>
        <v>195</v>
      </c>
      <c r="D137" s="166">
        <v>0</v>
      </c>
      <c r="E137" s="166">
        <v>57</v>
      </c>
      <c r="F137" s="169">
        <f t="shared" ref="F137" si="42">C137+E137-D137</f>
        <v>252</v>
      </c>
    </row>
    <row r="138" spans="1:6" x14ac:dyDescent="0.35">
      <c r="A138" s="166">
        <f t="shared" ref="A138" si="43">MONTH(B138)</f>
        <v>9</v>
      </c>
      <c r="B138" s="167">
        <v>45559</v>
      </c>
      <c r="C138" s="166">
        <f t="shared" ref="C138" si="44">F137</f>
        <v>252</v>
      </c>
      <c r="D138" s="166">
        <v>139</v>
      </c>
      <c r="E138" s="166">
        <v>0</v>
      </c>
      <c r="F138" s="169">
        <f t="shared" ref="F138" si="45">C138+E138-D138</f>
        <v>113</v>
      </c>
    </row>
    <row r="139" spans="1:6" x14ac:dyDescent="0.35">
      <c r="A139" s="166">
        <f t="shared" ref="A139:A140" si="46">MONTH(B139)</f>
        <v>9</v>
      </c>
      <c r="B139" s="167">
        <v>45563</v>
      </c>
      <c r="C139" s="166">
        <f t="shared" ref="C139:C143" si="47">F138</f>
        <v>113</v>
      </c>
      <c r="D139" s="166">
        <v>36</v>
      </c>
      <c r="E139" s="166">
        <v>0</v>
      </c>
      <c r="F139" s="169">
        <f t="shared" ref="F139:F140" si="48">C139+E139-D139</f>
        <v>77</v>
      </c>
    </row>
    <row r="140" spans="1:6" x14ac:dyDescent="0.35">
      <c r="A140" s="166">
        <f t="shared" si="46"/>
        <v>10</v>
      </c>
      <c r="B140" s="167">
        <v>45569</v>
      </c>
      <c r="C140" s="166">
        <f t="shared" si="47"/>
        <v>77</v>
      </c>
      <c r="D140" s="166">
        <v>20</v>
      </c>
      <c r="E140" s="166">
        <v>0</v>
      </c>
      <c r="F140" s="169">
        <f t="shared" si="48"/>
        <v>57</v>
      </c>
    </row>
    <row r="141" spans="1:6" x14ac:dyDescent="0.35">
      <c r="A141" s="166">
        <f t="shared" ref="A141:A142" si="49">MONTH(B141)</f>
        <v>10</v>
      </c>
      <c r="B141" s="167">
        <v>45576</v>
      </c>
      <c r="C141" s="166">
        <f t="shared" si="47"/>
        <v>57</v>
      </c>
      <c r="D141" s="166">
        <v>37</v>
      </c>
      <c r="E141" s="166">
        <v>45</v>
      </c>
      <c r="F141" s="169">
        <f t="shared" ref="F141:F142" si="50">C141+E141-D141</f>
        <v>65</v>
      </c>
    </row>
    <row r="142" spans="1:6" x14ac:dyDescent="0.35">
      <c r="A142" s="166">
        <f t="shared" si="49"/>
        <v>10</v>
      </c>
      <c r="B142" s="167">
        <v>45584</v>
      </c>
      <c r="C142" s="166">
        <f t="shared" si="47"/>
        <v>65</v>
      </c>
      <c r="D142" s="166">
        <v>14</v>
      </c>
      <c r="E142" s="166">
        <v>0</v>
      </c>
      <c r="F142" s="169">
        <f t="shared" si="50"/>
        <v>51</v>
      </c>
    </row>
    <row r="143" spans="1:6" x14ac:dyDescent="0.35">
      <c r="A143" s="166">
        <f t="shared" ref="A143" si="51">MONTH(B143)</f>
        <v>10</v>
      </c>
      <c r="B143" s="167">
        <v>45593</v>
      </c>
      <c r="C143" s="166">
        <f t="shared" si="47"/>
        <v>51</v>
      </c>
      <c r="D143" s="166">
        <v>0</v>
      </c>
      <c r="E143" s="166">
        <v>40</v>
      </c>
      <c r="F143" s="169">
        <f t="shared" ref="F143" si="52">C143+E143-D143</f>
        <v>91</v>
      </c>
    </row>
    <row r="144" spans="1:6" x14ac:dyDescent="0.35">
      <c r="A144" s="166">
        <f t="shared" ref="A144:A145" si="53">MONTH(B144)</f>
        <v>10</v>
      </c>
      <c r="B144" s="167">
        <v>45593</v>
      </c>
      <c r="C144" s="166">
        <f t="shared" ref="C144:C154" si="54">F143</f>
        <v>91</v>
      </c>
      <c r="D144" s="166">
        <v>40</v>
      </c>
      <c r="E144" s="166">
        <v>0</v>
      </c>
      <c r="F144" s="169">
        <f t="shared" ref="F144:F145" si="55">C144+E144-D144</f>
        <v>51</v>
      </c>
    </row>
    <row r="145" spans="1:6" x14ac:dyDescent="0.35">
      <c r="A145" s="229">
        <f t="shared" si="53"/>
        <v>11</v>
      </c>
      <c r="B145" s="230">
        <v>45598</v>
      </c>
      <c r="C145" s="166">
        <f t="shared" si="54"/>
        <v>51</v>
      </c>
      <c r="D145" s="229">
        <v>0</v>
      </c>
      <c r="E145" s="229">
        <v>0</v>
      </c>
      <c r="F145" s="231">
        <f t="shared" si="55"/>
        <v>51</v>
      </c>
    </row>
    <row r="146" spans="1:6" x14ac:dyDescent="0.35">
      <c r="A146" s="229">
        <f t="shared" ref="A146" si="56">MONTH(B146)</f>
        <v>11</v>
      </c>
      <c r="B146" s="230">
        <v>45608</v>
      </c>
      <c r="C146" s="166">
        <f t="shared" si="54"/>
        <v>51</v>
      </c>
      <c r="D146" s="229">
        <v>0</v>
      </c>
      <c r="E146" s="229">
        <v>49</v>
      </c>
      <c r="F146" s="231">
        <f t="shared" ref="F146" si="57">C146+E146-D146</f>
        <v>100</v>
      </c>
    </row>
    <row r="147" spans="1:6" x14ac:dyDescent="0.35">
      <c r="A147" s="229">
        <f t="shared" ref="A147" si="58">MONTH(B147)</f>
        <v>11</v>
      </c>
      <c r="B147" s="230">
        <v>45608</v>
      </c>
      <c r="C147" s="166">
        <f t="shared" si="54"/>
        <v>100</v>
      </c>
      <c r="D147" s="229">
        <v>40</v>
      </c>
      <c r="E147" s="229">
        <v>0</v>
      </c>
      <c r="F147" s="231">
        <f t="shared" ref="F147:F149" si="59">C147+E147-D147</f>
        <v>60</v>
      </c>
    </row>
    <row r="148" spans="1:6" x14ac:dyDescent="0.35">
      <c r="A148" s="229">
        <f t="shared" ref="A148:A149" si="60">MONTH(B148)</f>
        <v>12</v>
      </c>
      <c r="B148" s="230">
        <v>45637</v>
      </c>
      <c r="C148" s="166">
        <f t="shared" si="54"/>
        <v>60</v>
      </c>
      <c r="D148" s="229">
        <v>0</v>
      </c>
      <c r="E148" s="229">
        <v>46</v>
      </c>
      <c r="F148" s="231">
        <f t="shared" si="59"/>
        <v>106</v>
      </c>
    </row>
    <row r="149" spans="1:6" x14ac:dyDescent="0.35">
      <c r="A149" s="229">
        <f t="shared" si="60"/>
        <v>12</v>
      </c>
      <c r="B149" s="230">
        <v>45640</v>
      </c>
      <c r="C149" s="166">
        <f t="shared" si="54"/>
        <v>106</v>
      </c>
      <c r="D149" s="229">
        <v>35</v>
      </c>
      <c r="E149" s="229">
        <v>0</v>
      </c>
      <c r="F149" s="231">
        <f t="shared" si="59"/>
        <v>71</v>
      </c>
    </row>
    <row r="150" spans="1:6" hidden="1" x14ac:dyDescent="0.35">
      <c r="A150" s="229">
        <f t="shared" ref="A150:A156" si="61">MONTH(B150)</f>
        <v>12</v>
      </c>
      <c r="B150" s="230">
        <v>45640</v>
      </c>
      <c r="C150" s="166">
        <f t="shared" si="54"/>
        <v>71</v>
      </c>
      <c r="D150" s="229">
        <v>35</v>
      </c>
      <c r="E150" s="229">
        <v>0</v>
      </c>
      <c r="F150" s="231">
        <f t="shared" ref="F150:F156" si="62">C150+E150-D150</f>
        <v>36</v>
      </c>
    </row>
    <row r="151" spans="1:6" hidden="1" x14ac:dyDescent="0.35">
      <c r="A151" s="229">
        <f t="shared" si="61"/>
        <v>12</v>
      </c>
      <c r="B151" s="230">
        <v>45640</v>
      </c>
      <c r="C151" s="166">
        <f t="shared" si="54"/>
        <v>36</v>
      </c>
      <c r="D151" s="229">
        <v>35</v>
      </c>
      <c r="E151" s="229">
        <v>0</v>
      </c>
      <c r="F151" s="231">
        <f t="shared" si="62"/>
        <v>1</v>
      </c>
    </row>
    <row r="152" spans="1:6" hidden="1" x14ac:dyDescent="0.35">
      <c r="A152" s="229">
        <f t="shared" si="61"/>
        <v>12</v>
      </c>
      <c r="B152" s="230">
        <v>45640</v>
      </c>
      <c r="C152" s="166">
        <f t="shared" si="54"/>
        <v>1</v>
      </c>
      <c r="D152" s="229">
        <v>35</v>
      </c>
      <c r="E152" s="229">
        <v>0</v>
      </c>
      <c r="F152" s="231">
        <f t="shared" si="62"/>
        <v>-34</v>
      </c>
    </row>
    <row r="153" spans="1:6" hidden="1" x14ac:dyDescent="0.35">
      <c r="A153" s="229">
        <f t="shared" si="61"/>
        <v>12</v>
      </c>
      <c r="B153" s="230">
        <v>45640</v>
      </c>
      <c r="C153" s="166">
        <f t="shared" si="54"/>
        <v>-34</v>
      </c>
      <c r="D153" s="229">
        <v>35</v>
      </c>
      <c r="E153" s="229">
        <v>0</v>
      </c>
      <c r="F153" s="231">
        <f t="shared" si="62"/>
        <v>-69</v>
      </c>
    </row>
    <row r="154" spans="1:6" hidden="1" x14ac:dyDescent="0.35">
      <c r="A154" s="229">
        <f t="shared" si="61"/>
        <v>12</v>
      </c>
      <c r="B154" s="230">
        <v>45640</v>
      </c>
      <c r="C154" s="166">
        <f t="shared" si="54"/>
        <v>-69</v>
      </c>
      <c r="D154" s="229">
        <v>35</v>
      </c>
      <c r="E154" s="229">
        <v>0</v>
      </c>
      <c r="F154" s="231">
        <f t="shared" si="62"/>
        <v>-104</v>
      </c>
    </row>
    <row r="155" spans="1:6" x14ac:dyDescent="0.35">
      <c r="A155" s="229">
        <f t="shared" si="61"/>
        <v>12</v>
      </c>
      <c r="B155" s="230">
        <v>45647</v>
      </c>
      <c r="C155" s="166">
        <f>F149</f>
        <v>71</v>
      </c>
      <c r="D155" s="229">
        <v>18</v>
      </c>
      <c r="E155" s="229">
        <v>0</v>
      </c>
      <c r="F155" s="231">
        <f t="shared" si="62"/>
        <v>53</v>
      </c>
    </row>
    <row r="156" spans="1:6" x14ac:dyDescent="0.35">
      <c r="A156" s="229">
        <f t="shared" si="61"/>
        <v>12</v>
      </c>
      <c r="B156" s="230">
        <v>45649</v>
      </c>
      <c r="C156" s="166">
        <f t="shared" ref="C156:C162" si="63">F155</f>
        <v>53</v>
      </c>
      <c r="D156" s="229">
        <v>16</v>
      </c>
      <c r="E156" s="229">
        <v>33</v>
      </c>
      <c r="F156" s="231">
        <f t="shared" si="62"/>
        <v>70</v>
      </c>
    </row>
    <row r="157" spans="1:6" x14ac:dyDescent="0.35">
      <c r="A157" s="229">
        <f t="shared" ref="A157" si="64">MONTH(B157)</f>
        <v>12</v>
      </c>
      <c r="B157" s="230">
        <v>45657</v>
      </c>
      <c r="C157" s="166">
        <f t="shared" si="63"/>
        <v>70</v>
      </c>
      <c r="D157" s="229">
        <v>0</v>
      </c>
      <c r="E157" s="229">
        <v>34</v>
      </c>
      <c r="F157" s="231">
        <f t="shared" ref="F157" si="65">C157+E157-D157</f>
        <v>104</v>
      </c>
    </row>
    <row r="158" spans="1:6" x14ac:dyDescent="0.35">
      <c r="A158" s="229">
        <f t="shared" ref="A158" si="66">MONTH(B158)</f>
        <v>1</v>
      </c>
      <c r="B158" s="230">
        <v>45659</v>
      </c>
      <c r="C158" s="166">
        <f t="shared" si="63"/>
        <v>104</v>
      </c>
      <c r="D158" s="229">
        <v>20</v>
      </c>
      <c r="E158" s="229">
        <v>0</v>
      </c>
      <c r="F158" s="231">
        <f t="shared" ref="F158" si="67">C158+E158-D158</f>
        <v>84</v>
      </c>
    </row>
    <row r="159" spans="1:6" x14ac:dyDescent="0.35">
      <c r="A159" s="229">
        <f t="shared" ref="A159" si="68">MONTH(B159)</f>
        <v>1</v>
      </c>
      <c r="B159" s="230">
        <v>45670</v>
      </c>
      <c r="C159" s="166">
        <f t="shared" si="63"/>
        <v>84</v>
      </c>
      <c r="D159" s="229">
        <v>40</v>
      </c>
      <c r="E159" s="229">
        <v>0</v>
      </c>
      <c r="F159" s="231">
        <f t="shared" ref="F159" si="69">C159+E159-D159</f>
        <v>44</v>
      </c>
    </row>
    <row r="160" spans="1:6" x14ac:dyDescent="0.35">
      <c r="A160" s="229">
        <f t="shared" ref="A160" si="70">MONTH(B160)</f>
        <v>1</v>
      </c>
      <c r="B160" s="230">
        <v>45672</v>
      </c>
      <c r="C160" s="166">
        <f t="shared" si="63"/>
        <v>44</v>
      </c>
      <c r="D160" s="229">
        <v>0</v>
      </c>
      <c r="E160" s="229">
        <v>45</v>
      </c>
      <c r="F160" s="231">
        <f t="shared" ref="F160" si="71">C160+E160-D160</f>
        <v>89</v>
      </c>
    </row>
    <row r="161" spans="1:6" x14ac:dyDescent="0.35">
      <c r="A161" s="229">
        <f t="shared" ref="A161" si="72">MONTH(B161)</f>
        <v>1</v>
      </c>
      <c r="B161" s="230">
        <v>45682</v>
      </c>
      <c r="C161" s="166">
        <f t="shared" si="63"/>
        <v>89</v>
      </c>
      <c r="D161" s="229">
        <v>21</v>
      </c>
      <c r="E161" s="229">
        <v>0</v>
      </c>
      <c r="F161" s="231">
        <f t="shared" ref="F161" si="73">C161+E161-D161</f>
        <v>68</v>
      </c>
    </row>
    <row r="162" spans="1:6" x14ac:dyDescent="0.35">
      <c r="A162" s="229">
        <f t="shared" ref="A162" si="74">MONTH(B162)</f>
        <v>1</v>
      </c>
      <c r="B162" s="230">
        <v>45683</v>
      </c>
      <c r="C162" s="166">
        <f t="shared" si="63"/>
        <v>68</v>
      </c>
      <c r="D162" s="229">
        <v>19</v>
      </c>
      <c r="E162" s="229">
        <v>73</v>
      </c>
      <c r="F162" s="231">
        <f t="shared" ref="F162" si="75">C162+E162-D162</f>
        <v>122</v>
      </c>
    </row>
    <row r="163" spans="1:6" x14ac:dyDescent="0.35">
      <c r="A163" s="229">
        <f t="shared" ref="A163" si="76">MONTH(B163)</f>
        <v>2</v>
      </c>
      <c r="B163" s="230">
        <v>45703</v>
      </c>
      <c r="C163" s="166">
        <f t="shared" ref="C163" si="77">F162</f>
        <v>122</v>
      </c>
      <c r="D163" s="229">
        <v>15</v>
      </c>
      <c r="E163" s="229">
        <v>0</v>
      </c>
      <c r="F163" s="231">
        <f t="shared" ref="F163" si="78">C163+E163-D163</f>
        <v>107</v>
      </c>
    </row>
    <row r="164" spans="1:6" x14ac:dyDescent="0.35">
      <c r="A164" s="229">
        <f t="shared" ref="A164" si="79">MONTH(B164)</f>
        <v>2</v>
      </c>
      <c r="B164" s="230">
        <v>45714</v>
      </c>
      <c r="C164" s="166">
        <f t="shared" ref="C164" si="80">F163</f>
        <v>107</v>
      </c>
      <c r="D164" s="229">
        <v>32</v>
      </c>
      <c r="E164" s="229">
        <v>53</v>
      </c>
      <c r="F164" s="231">
        <f t="shared" ref="F164" si="81">C164+E164-D164</f>
        <v>128</v>
      </c>
    </row>
    <row r="165" spans="1:6" x14ac:dyDescent="0.35">
      <c r="A165" s="229">
        <f t="shared" ref="A165" si="82">MONTH(B165)</f>
        <v>3</v>
      </c>
      <c r="B165" s="230">
        <v>45717</v>
      </c>
      <c r="C165" s="166">
        <f t="shared" ref="C165" si="83">F164</f>
        <v>128</v>
      </c>
      <c r="D165" s="229">
        <v>15</v>
      </c>
      <c r="E165" s="229">
        <v>0</v>
      </c>
      <c r="F165" s="231">
        <f t="shared" ref="F165" si="84">C165+E165-D165</f>
        <v>113</v>
      </c>
    </row>
    <row r="166" spans="1:6" x14ac:dyDescent="0.35">
      <c r="A166" s="229">
        <f t="shared" ref="A166" si="85">MONTH(B166)</f>
        <v>3</v>
      </c>
      <c r="B166" s="230">
        <v>45724</v>
      </c>
      <c r="C166" s="166">
        <f t="shared" ref="C166" si="86">F165</f>
        <v>113</v>
      </c>
      <c r="D166" s="229">
        <v>41</v>
      </c>
      <c r="E166" s="229">
        <v>0</v>
      </c>
      <c r="F166" s="231">
        <f t="shared" ref="F166" si="87">C166+E166-D166</f>
        <v>72</v>
      </c>
    </row>
    <row r="167" spans="1:6" x14ac:dyDescent="0.35">
      <c r="A167" s="229">
        <f t="shared" ref="A167" si="88">MONTH(B167)</f>
        <v>3</v>
      </c>
      <c r="B167" s="230">
        <v>45729</v>
      </c>
      <c r="C167" s="166">
        <f t="shared" ref="C167" si="89">F166</f>
        <v>72</v>
      </c>
      <c r="D167" s="229">
        <v>0</v>
      </c>
      <c r="E167" s="229">
        <v>45</v>
      </c>
      <c r="F167" s="231">
        <f t="shared" ref="F167" si="90">C167+E167-D167</f>
        <v>117</v>
      </c>
    </row>
    <row r="168" spans="1:6" x14ac:dyDescent="0.35">
      <c r="A168" s="229">
        <f t="shared" ref="A168" si="91">MONTH(B168)</f>
        <v>3</v>
      </c>
      <c r="B168" s="230">
        <v>45729</v>
      </c>
      <c r="C168" s="166">
        <f t="shared" ref="C168" si="92">F167</f>
        <v>117</v>
      </c>
      <c r="D168" s="229">
        <v>41</v>
      </c>
      <c r="E168" s="229">
        <v>0</v>
      </c>
      <c r="F168" s="231">
        <f t="shared" ref="F168" si="93">C168+E168-D168</f>
        <v>76</v>
      </c>
    </row>
  </sheetData>
  <mergeCells count="1">
    <mergeCell ref="A2:F2"/>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63"/>
  <sheetViews>
    <sheetView zoomScaleNormal="100" zoomScaleSheetLayoutView="100" zoomScalePageLayoutView="55" workbookViewId="0">
      <selection activeCell="R21" sqref="R21"/>
    </sheetView>
  </sheetViews>
  <sheetFormatPr defaultColWidth="0" defaultRowHeight="15" customHeight="1" zeroHeight="1" x14ac:dyDescent="0.35"/>
  <cols>
    <col min="1" max="1" width="6.453125" style="173" customWidth="1"/>
    <col min="2" max="2" width="16.453125" style="173" customWidth="1"/>
    <col min="3" max="3" width="8.453125" style="173" customWidth="1"/>
    <col min="4" max="4" width="6.453125" style="173" customWidth="1"/>
    <col min="5" max="5" width="16.453125" style="173" customWidth="1"/>
    <col min="6" max="6" width="8.453125" style="173" customWidth="1"/>
    <col min="7" max="7" width="7.54296875" style="173" customWidth="1"/>
    <col min="8" max="8" width="16" style="173" customWidth="1"/>
    <col min="9" max="11" width="9.453125" style="173" customWidth="1"/>
    <col min="12" max="12" width="16.453125" style="173" customWidth="1"/>
    <col min="13" max="13" width="9.453125" style="173" customWidth="1"/>
    <col min="14" max="14" width="5" style="173" customWidth="1"/>
    <col min="15" max="15" width="12.453125" style="173" customWidth="1"/>
    <col min="16" max="16" width="13.54296875" style="173" customWidth="1"/>
    <col min="17" max="17" width="9.54296875" style="173" customWidth="1"/>
    <col min="18" max="18" width="8.453125" style="173" customWidth="1"/>
    <col min="19" max="20" width="9.453125" style="173" hidden="1" customWidth="1"/>
    <col min="21" max="21" width="9.453125" style="203" hidden="1" customWidth="1"/>
    <col min="22" max="23" width="0" style="173" hidden="1" customWidth="1"/>
    <col min="24" max="16384" width="9.453125" style="173" hidden="1"/>
  </cols>
  <sheetData>
    <row r="1" spans="1:18" ht="27.75" customHeight="1" x14ac:dyDescent="0.35">
      <c r="A1" s="336" t="s">
        <v>267</v>
      </c>
      <c r="B1" s="336"/>
      <c r="C1" s="336"/>
      <c r="D1" s="336"/>
      <c r="E1" s="336"/>
      <c r="F1" s="336"/>
      <c r="G1" s="336"/>
      <c r="H1" s="336"/>
      <c r="I1" s="336"/>
      <c r="J1" s="336"/>
      <c r="K1" s="336"/>
      <c r="L1" s="336"/>
      <c r="M1" s="336"/>
      <c r="N1" s="336"/>
      <c r="O1" s="336"/>
      <c r="P1" s="336"/>
      <c r="Q1" s="336"/>
      <c r="R1" s="336"/>
    </row>
    <row r="2" spans="1:18" ht="14.5" x14ac:dyDescent="0.35">
      <c r="A2" s="174" t="s">
        <v>268</v>
      </c>
      <c r="B2" s="175"/>
      <c r="C2" s="176"/>
      <c r="D2" s="174" t="s">
        <v>269</v>
      </c>
      <c r="E2" s="175">
        <v>10</v>
      </c>
      <c r="F2" s="176"/>
      <c r="G2" s="174" t="s">
        <v>270</v>
      </c>
      <c r="H2" s="174">
        <v>2021</v>
      </c>
      <c r="I2" s="176"/>
      <c r="J2" s="176"/>
      <c r="K2" s="176"/>
      <c r="L2" s="176"/>
      <c r="M2" s="176"/>
      <c r="N2" s="176"/>
      <c r="O2" s="176"/>
      <c r="P2" s="176"/>
      <c r="Q2" s="176"/>
      <c r="R2" s="176"/>
    </row>
    <row r="3" spans="1:18" ht="14.5" x14ac:dyDescent="0.35">
      <c r="A3" s="176"/>
      <c r="B3" s="176"/>
      <c r="C3" s="176"/>
      <c r="D3" s="176"/>
      <c r="E3" s="176"/>
      <c r="F3" s="176"/>
      <c r="G3" s="176"/>
      <c r="H3" s="176"/>
      <c r="I3" s="176"/>
      <c r="J3" s="176"/>
      <c r="K3" s="176"/>
      <c r="L3" s="176"/>
      <c r="M3" s="176"/>
      <c r="N3" s="176"/>
      <c r="O3" s="176"/>
      <c r="P3" s="176"/>
      <c r="Q3" s="176"/>
      <c r="R3" s="176"/>
    </row>
    <row r="4" spans="1:18" ht="18" customHeight="1" x14ac:dyDescent="0.35">
      <c r="A4" s="337" t="s">
        <v>271</v>
      </c>
      <c r="B4" s="338"/>
      <c r="C4" s="339"/>
      <c r="D4" s="338"/>
      <c r="E4" s="338"/>
      <c r="F4" s="339"/>
      <c r="G4" s="338"/>
      <c r="H4" s="340"/>
      <c r="I4" s="176"/>
      <c r="J4" s="341" t="s">
        <v>272</v>
      </c>
      <c r="K4" s="341"/>
      <c r="L4" s="341"/>
      <c r="M4" s="176"/>
      <c r="N4" s="342" t="s">
        <v>273</v>
      </c>
      <c r="O4" s="342"/>
      <c r="P4" s="342"/>
      <c r="Q4" s="342"/>
      <c r="R4" s="342"/>
    </row>
    <row r="5" spans="1:18" ht="17.25" customHeight="1" x14ac:dyDescent="0.35">
      <c r="A5" s="177" t="s">
        <v>274</v>
      </c>
      <c r="B5" s="178"/>
      <c r="C5" s="178"/>
      <c r="D5" s="178"/>
      <c r="E5" s="178"/>
      <c r="F5" s="178"/>
      <c r="G5" s="179">
        <v>34</v>
      </c>
      <c r="H5" s="180" t="s">
        <v>275</v>
      </c>
      <c r="I5" s="176"/>
      <c r="J5" s="181" t="s">
        <v>276</v>
      </c>
      <c r="K5" s="181" t="s">
        <v>277</v>
      </c>
      <c r="L5" s="181" t="s">
        <v>278</v>
      </c>
      <c r="M5" s="176"/>
      <c r="N5" s="182" t="s">
        <v>279</v>
      </c>
      <c r="O5" s="182" t="s">
        <v>280</v>
      </c>
      <c r="P5" s="182" t="s">
        <v>281</v>
      </c>
      <c r="Q5" s="182" t="s">
        <v>282</v>
      </c>
      <c r="R5" s="182" t="s">
        <v>283</v>
      </c>
    </row>
    <row r="6" spans="1:18" ht="14.5" x14ac:dyDescent="0.35">
      <c r="A6" s="177" t="s">
        <v>284</v>
      </c>
      <c r="B6" s="178"/>
      <c r="C6" s="178"/>
      <c r="D6" s="178"/>
      <c r="E6" s="178"/>
      <c r="F6" s="178"/>
      <c r="G6" s="183">
        <f>G12-(SUM(Q6:Q9)+Q13)</f>
        <v>2560</v>
      </c>
      <c r="H6" s="180" t="s">
        <v>285</v>
      </c>
      <c r="I6" s="176"/>
      <c r="J6" s="184">
        <v>2</v>
      </c>
      <c r="K6" s="184"/>
      <c r="L6" s="185">
        <f>J6*200</f>
        <v>400</v>
      </c>
      <c r="M6" s="176"/>
      <c r="N6" s="166">
        <v>2</v>
      </c>
      <c r="O6" s="186" t="s">
        <v>248</v>
      </c>
      <c r="P6" s="187" t="s">
        <v>286</v>
      </c>
      <c r="Q6" s="188">
        <f>L16+L21</f>
        <v>600</v>
      </c>
      <c r="R6" s="166" t="s">
        <v>287</v>
      </c>
    </row>
    <row r="7" spans="1:18" ht="14.5" x14ac:dyDescent="0.35">
      <c r="A7" s="176"/>
      <c r="B7" s="176"/>
      <c r="C7" s="176"/>
      <c r="D7" s="176"/>
      <c r="E7" s="176"/>
      <c r="F7" s="176"/>
      <c r="G7" s="176"/>
      <c r="H7" s="176"/>
      <c r="I7" s="176"/>
      <c r="J7" s="176"/>
      <c r="K7" s="176"/>
      <c r="L7" s="176"/>
      <c r="M7" s="176"/>
      <c r="N7" s="189">
        <v>4</v>
      </c>
      <c r="O7" s="190" t="s">
        <v>242</v>
      </c>
      <c r="P7" s="191" t="s">
        <v>288</v>
      </c>
      <c r="Q7" s="192">
        <f>L6</f>
        <v>400</v>
      </c>
      <c r="R7" s="189" t="s">
        <v>287</v>
      </c>
    </row>
    <row r="8" spans="1:18" ht="14.5" x14ac:dyDescent="0.35">
      <c r="A8" s="343" t="s">
        <v>289</v>
      </c>
      <c r="B8" s="344"/>
      <c r="C8" s="344"/>
      <c r="D8" s="344"/>
      <c r="E8" s="344"/>
      <c r="F8" s="344"/>
      <c r="G8" s="344"/>
      <c r="H8" s="345"/>
      <c r="I8" s="176"/>
      <c r="J8" s="176"/>
      <c r="K8" s="176"/>
      <c r="L8" s="176"/>
      <c r="M8" s="176"/>
      <c r="N8" s="166">
        <v>9</v>
      </c>
      <c r="O8" s="186" t="s">
        <v>236</v>
      </c>
      <c r="P8" s="187" t="s">
        <v>290</v>
      </c>
      <c r="Q8" s="188">
        <f>L11</f>
        <v>0</v>
      </c>
      <c r="R8" s="166" t="s">
        <v>287</v>
      </c>
    </row>
    <row r="9" spans="1:18" ht="14.5" x14ac:dyDescent="0.35">
      <c r="A9" s="193" t="s">
        <v>291</v>
      </c>
      <c r="B9" s="178"/>
      <c r="C9" s="178"/>
      <c r="D9" s="178"/>
      <c r="E9" s="178"/>
      <c r="F9" s="178"/>
      <c r="G9" s="194">
        <v>12370</v>
      </c>
      <c r="H9" s="195" t="s">
        <v>285</v>
      </c>
      <c r="I9" s="176"/>
      <c r="J9" s="335" t="s">
        <v>292</v>
      </c>
      <c r="K9" s="335"/>
      <c r="L9" s="335"/>
      <c r="M9" s="176"/>
      <c r="N9" s="189">
        <v>12</v>
      </c>
      <c r="O9" s="190" t="s">
        <v>228</v>
      </c>
      <c r="P9" s="191" t="s">
        <v>293</v>
      </c>
      <c r="Q9" s="192">
        <f>L26</f>
        <v>10</v>
      </c>
      <c r="R9" s="189" t="s">
        <v>287</v>
      </c>
    </row>
    <row r="10" spans="1:18" ht="14.5" x14ac:dyDescent="0.35">
      <c r="A10" s="193" t="s">
        <v>294</v>
      </c>
      <c r="B10" s="178"/>
      <c r="C10" s="178"/>
      <c r="D10" s="178"/>
      <c r="E10" s="178"/>
      <c r="F10" s="178"/>
      <c r="G10" s="194">
        <v>7840</v>
      </c>
      <c r="H10" s="195" t="s">
        <v>285</v>
      </c>
      <c r="I10" s="176"/>
      <c r="J10" s="196" t="s">
        <v>276</v>
      </c>
      <c r="K10" s="197"/>
      <c r="L10" s="196" t="s">
        <v>295</v>
      </c>
      <c r="M10" s="176"/>
      <c r="N10" s="166">
        <v>15</v>
      </c>
      <c r="O10" s="186" t="s">
        <v>214</v>
      </c>
      <c r="P10" s="187" t="s">
        <v>275</v>
      </c>
      <c r="Q10" s="198">
        <v>50</v>
      </c>
      <c r="R10" s="166" t="s">
        <v>296</v>
      </c>
    </row>
    <row r="11" spans="1:18" ht="14.5" x14ac:dyDescent="0.35">
      <c r="A11" s="193" t="s">
        <v>297</v>
      </c>
      <c r="B11" s="178"/>
      <c r="C11" s="178"/>
      <c r="D11" s="178"/>
      <c r="E11" s="178"/>
      <c r="F11" s="178"/>
      <c r="G11" s="194">
        <v>4530</v>
      </c>
      <c r="H11" s="195" t="s">
        <v>285</v>
      </c>
      <c r="I11" s="176"/>
      <c r="J11" s="184">
        <v>0</v>
      </c>
      <c r="K11" s="176"/>
      <c r="L11" s="199">
        <f>J11*200</f>
        <v>0</v>
      </c>
      <c r="M11" s="176"/>
      <c r="N11" s="189">
        <v>16</v>
      </c>
      <c r="O11" s="190" t="s">
        <v>216</v>
      </c>
      <c r="P11" s="191" t="s">
        <v>298</v>
      </c>
      <c r="Q11" s="192">
        <f>K6</f>
        <v>0</v>
      </c>
      <c r="R11" s="189" t="s">
        <v>296</v>
      </c>
    </row>
    <row r="12" spans="1:18" ht="14.5" x14ac:dyDescent="0.35">
      <c r="A12" s="193" t="s">
        <v>299</v>
      </c>
      <c r="B12" s="178"/>
      <c r="C12" s="178"/>
      <c r="D12" s="178"/>
      <c r="E12" s="178"/>
      <c r="F12" s="178"/>
      <c r="G12" s="200">
        <f>G11-15*(R20-R21)-Q10*15</f>
        <v>3570</v>
      </c>
      <c r="H12" s="195" t="s">
        <v>285</v>
      </c>
      <c r="I12" s="176"/>
      <c r="J12" s="176"/>
      <c r="K12" s="176"/>
      <c r="L12" s="176"/>
      <c r="M12" s="176"/>
      <c r="N12" s="166">
        <v>17</v>
      </c>
      <c r="O12" s="186" t="s">
        <v>230</v>
      </c>
      <c r="P12" s="187" t="s">
        <v>300</v>
      </c>
      <c r="Q12" s="188">
        <f>G6</f>
        <v>2560</v>
      </c>
      <c r="R12" s="166" t="s">
        <v>287</v>
      </c>
    </row>
    <row r="13" spans="1:18" ht="14.5" x14ac:dyDescent="0.35">
      <c r="A13" s="176"/>
      <c r="B13" s="176"/>
      <c r="C13" s="176"/>
      <c r="D13" s="176"/>
      <c r="E13" s="176"/>
      <c r="F13" s="176"/>
      <c r="G13" s="176"/>
      <c r="H13" s="176"/>
      <c r="I13" s="176"/>
      <c r="J13" s="176"/>
      <c r="K13" s="176"/>
      <c r="L13" s="176"/>
      <c r="M13" s="176"/>
      <c r="N13" s="189">
        <v>18</v>
      </c>
      <c r="O13" s="190" t="s">
        <v>226</v>
      </c>
      <c r="P13" s="191" t="s">
        <v>301</v>
      </c>
      <c r="Q13" s="192">
        <f>L31</f>
        <v>0</v>
      </c>
      <c r="R13" s="189" t="s">
        <v>287</v>
      </c>
    </row>
    <row r="14" spans="1:18" ht="14.5" x14ac:dyDescent="0.35">
      <c r="A14" s="176"/>
      <c r="B14" s="176"/>
      <c r="C14" s="176"/>
      <c r="D14" s="176"/>
      <c r="E14" s="176"/>
      <c r="F14" s="176"/>
      <c r="G14" s="176"/>
      <c r="H14" s="176"/>
      <c r="I14" s="176"/>
      <c r="J14" s="350" t="s">
        <v>302</v>
      </c>
      <c r="K14" s="350"/>
      <c r="L14" s="350"/>
      <c r="M14" s="176"/>
      <c r="N14" s="176"/>
      <c r="O14" s="176"/>
      <c r="P14" s="176"/>
      <c r="Q14" s="176"/>
      <c r="R14" s="176"/>
    </row>
    <row r="15" spans="1:18" ht="14.5" x14ac:dyDescent="0.35">
      <c r="A15" s="176"/>
      <c r="B15" s="176"/>
      <c r="C15" s="176"/>
      <c r="D15" s="176"/>
      <c r="E15" s="176"/>
      <c r="F15" s="176"/>
      <c r="G15" s="176"/>
      <c r="H15" s="176"/>
      <c r="I15" s="176"/>
      <c r="J15" s="201" t="s">
        <v>276</v>
      </c>
      <c r="K15" s="202"/>
      <c r="L15" s="201" t="s">
        <v>295</v>
      </c>
      <c r="M15" s="176"/>
      <c r="N15" s="176"/>
      <c r="O15" s="176"/>
      <c r="P15" s="176"/>
      <c r="Q15" s="176"/>
      <c r="R15" s="176"/>
    </row>
    <row r="16" spans="1:18" ht="14.5" x14ac:dyDescent="0.35">
      <c r="A16" s="176"/>
      <c r="B16" s="176"/>
      <c r="C16" s="176"/>
      <c r="D16" s="176"/>
      <c r="E16" s="176"/>
      <c r="F16" s="176"/>
      <c r="G16" s="176"/>
      <c r="H16" s="176"/>
      <c r="I16" s="176"/>
      <c r="J16" s="184">
        <v>0</v>
      </c>
      <c r="K16" s="176"/>
      <c r="L16" s="199">
        <f>J16*15</f>
        <v>0</v>
      </c>
      <c r="M16" s="176"/>
      <c r="N16" s="176"/>
      <c r="O16" s="176"/>
      <c r="P16" s="176"/>
      <c r="Q16" s="176"/>
      <c r="R16" s="176"/>
    </row>
    <row r="17" spans="1:23" ht="14.5" x14ac:dyDescent="0.35">
      <c r="A17" s="176"/>
      <c r="B17" s="176"/>
      <c r="C17" s="176"/>
      <c r="D17" s="176"/>
      <c r="E17" s="176"/>
      <c r="F17" s="176"/>
      <c r="G17" s="176"/>
      <c r="H17" s="176"/>
      <c r="I17" s="176"/>
      <c r="J17" s="176"/>
      <c r="K17" s="176"/>
      <c r="L17" s="176"/>
      <c r="M17" s="176"/>
      <c r="N17" s="176"/>
      <c r="O17" s="176"/>
      <c r="P17" s="176"/>
      <c r="Q17" s="176"/>
      <c r="R17" s="176"/>
    </row>
    <row r="18" spans="1:23" ht="14.5" x14ac:dyDescent="0.35">
      <c r="A18" s="176"/>
      <c r="B18" s="176"/>
      <c r="C18" s="176"/>
      <c r="D18" s="176"/>
      <c r="E18" s="176"/>
      <c r="F18" s="176"/>
      <c r="G18" s="176"/>
      <c r="H18" s="176"/>
      <c r="I18" s="176"/>
      <c r="J18" s="176"/>
      <c r="K18" s="176"/>
      <c r="L18" s="176"/>
      <c r="M18" s="176"/>
      <c r="N18" s="176"/>
      <c r="O18" s="176"/>
      <c r="P18" s="176"/>
      <c r="Q18" s="176"/>
      <c r="R18" s="176"/>
    </row>
    <row r="19" spans="1:23" ht="14.5" x14ac:dyDescent="0.35">
      <c r="A19" s="176"/>
      <c r="B19" s="176"/>
      <c r="C19" s="176"/>
      <c r="D19" s="176"/>
      <c r="E19" s="176"/>
      <c r="F19" s="176"/>
      <c r="G19" s="176"/>
      <c r="H19" s="176"/>
      <c r="I19" s="176"/>
      <c r="J19" s="351" t="s">
        <v>303</v>
      </c>
      <c r="K19" s="351"/>
      <c r="L19" s="351"/>
      <c r="M19" s="176"/>
      <c r="N19" s="342" t="s">
        <v>304</v>
      </c>
      <c r="O19" s="342"/>
      <c r="P19" s="342"/>
      <c r="Q19" s="342"/>
      <c r="R19" s="342"/>
    </row>
    <row r="20" spans="1:23" ht="14.5" x14ac:dyDescent="0.35">
      <c r="A20" s="176"/>
      <c r="B20" s="176"/>
      <c r="C20" s="176"/>
      <c r="D20" s="176"/>
      <c r="E20" s="176"/>
      <c r="F20" s="176"/>
      <c r="G20" s="176"/>
      <c r="H20" s="176"/>
      <c r="I20" s="176"/>
      <c r="J20" s="204" t="s">
        <v>305</v>
      </c>
      <c r="K20" s="197"/>
      <c r="L20" s="204" t="s">
        <v>295</v>
      </c>
      <c r="M20" s="176"/>
      <c r="N20" s="352" t="s">
        <v>262</v>
      </c>
      <c r="O20" s="352"/>
      <c r="P20" s="352"/>
      <c r="Q20" s="352"/>
      <c r="R20" s="205">
        <f>G5+J16+J26</f>
        <v>34</v>
      </c>
    </row>
    <row r="21" spans="1:23" ht="14.5" x14ac:dyDescent="0.35">
      <c r="A21" s="176"/>
      <c r="B21" s="176"/>
      <c r="C21" s="176"/>
      <c r="D21" s="176"/>
      <c r="E21" s="176"/>
      <c r="F21" s="176"/>
      <c r="G21" s="176"/>
      <c r="H21" s="176"/>
      <c r="I21" s="176"/>
      <c r="J21" s="184">
        <v>600</v>
      </c>
      <c r="K21" s="176"/>
      <c r="L21" s="199">
        <f>J21</f>
        <v>600</v>
      </c>
      <c r="M21" s="176"/>
      <c r="N21" s="346" t="s">
        <v>261</v>
      </c>
      <c r="O21" s="346"/>
      <c r="P21" s="346"/>
      <c r="Q21" s="346"/>
      <c r="R21" s="206">
        <v>20</v>
      </c>
    </row>
    <row r="22" spans="1:23" ht="14.5" x14ac:dyDescent="0.35">
      <c r="A22" s="176"/>
      <c r="B22" s="176"/>
      <c r="C22" s="176"/>
      <c r="D22" s="176"/>
      <c r="E22" s="176"/>
      <c r="F22" s="176"/>
      <c r="G22" s="176"/>
      <c r="H22" s="176"/>
      <c r="I22" s="176"/>
      <c r="J22" s="176"/>
      <c r="K22" s="176"/>
      <c r="L22" s="176"/>
      <c r="M22" s="176"/>
      <c r="N22" s="352" t="s">
        <v>306</v>
      </c>
      <c r="O22" s="352"/>
      <c r="P22" s="352"/>
      <c r="Q22" s="352"/>
      <c r="R22" s="206">
        <v>182</v>
      </c>
    </row>
    <row r="23" spans="1:23" ht="14.5" x14ac:dyDescent="0.35">
      <c r="A23" s="176"/>
      <c r="B23" s="176"/>
      <c r="C23" s="176"/>
      <c r="D23" s="176"/>
      <c r="E23" s="176"/>
      <c r="F23" s="176"/>
      <c r="G23" s="176"/>
      <c r="H23" s="176"/>
      <c r="I23" s="176"/>
      <c r="J23" s="176"/>
      <c r="K23" s="176"/>
      <c r="L23" s="176"/>
      <c r="M23" s="176"/>
      <c r="N23" s="346" t="s">
        <v>307</v>
      </c>
      <c r="O23" s="346"/>
      <c r="P23" s="346"/>
      <c r="Q23" s="346"/>
      <c r="R23" s="192">
        <f>R22+R20-R21</f>
        <v>196</v>
      </c>
    </row>
    <row r="24" spans="1:23" ht="14.5" x14ac:dyDescent="0.35">
      <c r="A24" s="176"/>
      <c r="B24" s="176"/>
      <c r="C24" s="176"/>
      <c r="D24" s="176"/>
      <c r="E24" s="176"/>
      <c r="F24" s="176"/>
      <c r="G24" s="176"/>
      <c r="H24" s="176"/>
      <c r="I24" s="176"/>
      <c r="J24" s="347" t="s">
        <v>308</v>
      </c>
      <c r="K24" s="347"/>
      <c r="L24" s="347"/>
      <c r="M24" s="176"/>
      <c r="N24" s="176"/>
      <c r="O24" s="176"/>
      <c r="P24" s="176"/>
      <c r="Q24" s="176"/>
      <c r="R24" s="176"/>
    </row>
    <row r="25" spans="1:23" ht="14.5" x14ac:dyDescent="0.35">
      <c r="A25" s="176"/>
      <c r="B25" s="176"/>
      <c r="C25" s="176"/>
      <c r="D25" s="176"/>
      <c r="E25" s="176"/>
      <c r="F25" s="176"/>
      <c r="G25" s="176"/>
      <c r="H25" s="176"/>
      <c r="I25" s="176"/>
      <c r="J25" s="207" t="s">
        <v>276</v>
      </c>
      <c r="K25" s="197"/>
      <c r="L25" s="207" t="s">
        <v>295</v>
      </c>
      <c r="M25" s="176"/>
      <c r="N25" s="176"/>
      <c r="O25" s="176"/>
      <c r="P25" s="176"/>
      <c r="Q25" s="176"/>
      <c r="R25" s="176"/>
    </row>
    <row r="26" spans="1:23" ht="14.5" x14ac:dyDescent="0.35">
      <c r="A26" s="176"/>
      <c r="B26" s="176"/>
      <c r="C26" s="176"/>
      <c r="D26" s="176"/>
      <c r="E26" s="176"/>
      <c r="F26" s="176"/>
      <c r="G26" s="176"/>
      <c r="H26" s="176"/>
      <c r="I26" s="176"/>
      <c r="J26" s="184"/>
      <c r="K26" s="176"/>
      <c r="L26" s="208">
        <v>10</v>
      </c>
      <c r="M26" s="176"/>
      <c r="N26" s="176"/>
      <c r="O26" s="176"/>
      <c r="P26" s="176"/>
      <c r="Q26" s="176"/>
      <c r="R26" s="176"/>
    </row>
    <row r="27" spans="1:23" ht="14.5" x14ac:dyDescent="0.35">
      <c r="A27" s="176"/>
      <c r="B27" s="176"/>
      <c r="C27" s="176"/>
      <c r="D27" s="176"/>
      <c r="E27" s="176"/>
      <c r="F27" s="176"/>
      <c r="G27" s="176"/>
      <c r="H27" s="176"/>
      <c r="I27" s="176"/>
      <c r="J27" s="176"/>
      <c r="K27" s="176"/>
      <c r="L27" s="176"/>
      <c r="M27" s="176"/>
      <c r="N27" s="176"/>
      <c r="O27" s="176"/>
      <c r="P27" s="176"/>
      <c r="Q27" s="176"/>
      <c r="R27" s="176"/>
    </row>
    <row r="28" spans="1:23" ht="14.5" x14ac:dyDescent="0.35">
      <c r="A28" s="176"/>
      <c r="B28" s="176"/>
      <c r="C28" s="176"/>
      <c r="D28" s="176"/>
      <c r="E28" s="176"/>
      <c r="F28" s="176"/>
      <c r="G28" s="176"/>
      <c r="H28" s="176"/>
      <c r="I28" s="176"/>
      <c r="J28" s="176"/>
      <c r="K28" s="176"/>
      <c r="L28" s="176"/>
      <c r="M28" s="176"/>
      <c r="N28" s="176"/>
      <c r="O28" s="176"/>
      <c r="P28" s="176"/>
      <c r="Q28" s="176"/>
      <c r="R28" s="176"/>
    </row>
    <row r="29" spans="1:23" ht="14.5" x14ac:dyDescent="0.35">
      <c r="A29" s="176"/>
      <c r="B29" s="176"/>
      <c r="C29" s="176"/>
      <c r="D29" s="176"/>
      <c r="E29" s="176"/>
      <c r="F29" s="176"/>
      <c r="G29" s="176"/>
      <c r="H29" s="176"/>
      <c r="I29" s="176"/>
      <c r="J29" s="348" t="s">
        <v>309</v>
      </c>
      <c r="K29" s="348"/>
      <c r="L29" s="348"/>
      <c r="M29" s="176"/>
      <c r="N29" s="176"/>
      <c r="O29" s="176"/>
      <c r="P29" s="176"/>
      <c r="Q29" s="209"/>
      <c r="R29" s="176"/>
      <c r="U29" s="210"/>
    </row>
    <row r="30" spans="1:23" ht="14.5" x14ac:dyDescent="0.35">
      <c r="A30" s="176"/>
      <c r="B30" s="176"/>
      <c r="C30" s="176"/>
      <c r="D30" s="176"/>
      <c r="E30" s="176"/>
      <c r="F30" s="176"/>
      <c r="G30" s="176"/>
      <c r="H30" s="176"/>
      <c r="I30" s="176"/>
      <c r="J30" s="211" t="s">
        <v>276</v>
      </c>
      <c r="K30" s="197"/>
      <c r="L30" s="211" t="s">
        <v>295</v>
      </c>
      <c r="M30" s="176"/>
      <c r="N30" s="176"/>
      <c r="O30" s="176"/>
      <c r="P30" s="176"/>
      <c r="Q30" s="209"/>
      <c r="R30" s="176"/>
      <c r="U30" s="210"/>
      <c r="W30" s="210"/>
    </row>
    <row r="31" spans="1:23" ht="14.5" x14ac:dyDescent="0.35">
      <c r="A31" s="176"/>
      <c r="B31" s="176"/>
      <c r="C31" s="176"/>
      <c r="D31" s="176"/>
      <c r="E31" s="176"/>
      <c r="F31" s="176"/>
      <c r="G31" s="176"/>
      <c r="H31" s="176"/>
      <c r="I31" s="176"/>
      <c r="J31" s="184"/>
      <c r="K31" s="176"/>
      <c r="L31" s="208"/>
      <c r="M31" s="176"/>
      <c r="N31" s="176"/>
      <c r="O31" s="176"/>
      <c r="P31" s="176"/>
      <c r="Q31" s="209"/>
      <c r="R31" s="176"/>
      <c r="U31" s="210"/>
    </row>
    <row r="32" spans="1:23" ht="14.5" x14ac:dyDescent="0.35">
      <c r="A32" s="176"/>
      <c r="B32" s="176"/>
      <c r="C32" s="176"/>
      <c r="D32" s="176"/>
      <c r="E32" s="176"/>
      <c r="F32" s="176"/>
      <c r="G32" s="176"/>
      <c r="H32" s="176"/>
      <c r="I32" s="176"/>
      <c r="J32" s="176"/>
      <c r="K32" s="176"/>
      <c r="L32" s="176"/>
      <c r="M32" s="176"/>
      <c r="N32" s="176"/>
      <c r="O32" s="176"/>
      <c r="P32" s="176"/>
      <c r="Q32" s="209"/>
      <c r="R32" s="176"/>
      <c r="U32" s="210"/>
    </row>
    <row r="33" spans="1:21" ht="14.5" x14ac:dyDescent="0.35">
      <c r="A33" s="176"/>
      <c r="B33" s="176"/>
      <c r="C33" s="176"/>
      <c r="D33" s="176"/>
      <c r="E33" s="176"/>
      <c r="F33" s="176"/>
      <c r="G33" s="176"/>
      <c r="H33" s="176"/>
      <c r="I33" s="176"/>
      <c r="J33" s="176"/>
      <c r="K33" s="176"/>
      <c r="L33" s="176"/>
      <c r="M33" s="176"/>
      <c r="N33" s="176"/>
      <c r="O33" s="176"/>
      <c r="P33" s="176"/>
      <c r="Q33" s="209"/>
      <c r="R33" s="176"/>
      <c r="U33" s="173"/>
    </row>
    <row r="34" spans="1:21" ht="14.5" x14ac:dyDescent="0.35">
      <c r="A34" s="176"/>
      <c r="B34" s="176"/>
      <c r="C34" s="176"/>
      <c r="D34" s="176"/>
      <c r="E34" s="176"/>
      <c r="F34" s="176"/>
      <c r="G34" s="176"/>
      <c r="H34" s="176"/>
      <c r="I34" s="176"/>
      <c r="J34" s="349" t="s">
        <v>310</v>
      </c>
      <c r="K34" s="349"/>
      <c r="L34" s="349"/>
      <c r="M34" s="176"/>
      <c r="N34" s="176"/>
      <c r="O34" s="176"/>
      <c r="P34" s="176"/>
      <c r="Q34" s="176"/>
      <c r="R34" s="176"/>
    </row>
    <row r="35" spans="1:21" ht="14.5" x14ac:dyDescent="0.35">
      <c r="A35" s="176"/>
      <c r="B35" s="176"/>
      <c r="C35" s="176"/>
      <c r="D35" s="176"/>
      <c r="E35" s="176"/>
      <c r="F35" s="176"/>
      <c r="G35" s="176"/>
      <c r="H35" s="176"/>
      <c r="I35" s="176"/>
      <c r="J35" s="197"/>
      <c r="K35" s="197"/>
      <c r="L35" s="212" t="s">
        <v>311</v>
      </c>
      <c r="M35" s="176"/>
      <c r="N35" s="176"/>
      <c r="O35" s="176"/>
      <c r="P35" s="176"/>
      <c r="Q35" s="176"/>
      <c r="R35" s="176"/>
    </row>
    <row r="36" spans="1:21" ht="14.5" x14ac:dyDescent="0.35">
      <c r="A36" s="176"/>
      <c r="B36" s="176"/>
      <c r="C36" s="176"/>
      <c r="D36" s="176"/>
      <c r="E36" s="176"/>
      <c r="F36" s="176"/>
      <c r="G36" s="176"/>
      <c r="H36" s="176"/>
      <c r="I36" s="176"/>
      <c r="J36" s="213"/>
      <c r="K36" s="176"/>
      <c r="L36" s="208">
        <v>48</v>
      </c>
      <c r="M36" s="176"/>
      <c r="N36" s="176"/>
      <c r="O36" s="176"/>
      <c r="P36" s="176"/>
      <c r="Q36" s="176"/>
      <c r="R36" s="176"/>
    </row>
    <row r="37" spans="1:21" ht="14.5" x14ac:dyDescent="0.35">
      <c r="A37" s="176"/>
      <c r="B37" s="176"/>
      <c r="C37" s="176"/>
      <c r="D37" s="176"/>
      <c r="E37" s="176"/>
      <c r="F37" s="176"/>
      <c r="G37" s="176"/>
      <c r="H37" s="176"/>
      <c r="I37" s="176"/>
      <c r="J37" s="176"/>
      <c r="K37" s="176"/>
      <c r="L37" s="176"/>
      <c r="M37" s="176"/>
      <c r="N37" s="176"/>
      <c r="O37" s="176"/>
      <c r="P37" s="176"/>
      <c r="Q37" s="176"/>
      <c r="R37" s="176"/>
    </row>
    <row r="38" spans="1:21" ht="14.5" hidden="1" x14ac:dyDescent="0.35">
      <c r="A38" s="176"/>
      <c r="B38" s="176"/>
      <c r="C38" s="176"/>
      <c r="D38" s="176"/>
      <c r="E38" s="176"/>
      <c r="F38" s="176"/>
      <c r="G38" s="176"/>
      <c r="H38" s="176"/>
      <c r="I38" s="176"/>
      <c r="J38" s="176"/>
      <c r="K38" s="176"/>
      <c r="L38" s="176"/>
      <c r="M38" s="176"/>
      <c r="N38" s="176"/>
      <c r="O38" s="176"/>
      <c r="P38" s="176"/>
      <c r="Q38" s="176"/>
      <c r="R38" s="176"/>
    </row>
    <row r="39" spans="1:21" ht="14.5" hidden="1" x14ac:dyDescent="0.35">
      <c r="A39" s="176"/>
      <c r="B39" s="176"/>
      <c r="C39" s="176"/>
      <c r="D39" s="176"/>
      <c r="E39" s="176"/>
      <c r="F39" s="176"/>
      <c r="G39" s="176"/>
      <c r="H39" s="176"/>
      <c r="I39" s="176"/>
      <c r="J39" s="176"/>
      <c r="K39" s="176"/>
      <c r="L39" s="176"/>
      <c r="M39" s="176"/>
      <c r="N39" s="176"/>
      <c r="O39" s="176"/>
      <c r="P39" s="176"/>
      <c r="Q39" s="176"/>
      <c r="R39" s="176"/>
    </row>
    <row r="40" spans="1:21" ht="14.5" hidden="1" x14ac:dyDescent="0.35">
      <c r="A40" s="176"/>
      <c r="B40" s="176"/>
      <c r="C40" s="176"/>
      <c r="D40" s="176"/>
      <c r="E40" s="176"/>
      <c r="F40" s="176"/>
      <c r="G40" s="176"/>
      <c r="H40" s="176"/>
      <c r="I40" s="176"/>
      <c r="J40" s="176"/>
      <c r="K40" s="176"/>
      <c r="L40" s="176"/>
      <c r="M40" s="176"/>
      <c r="N40" s="176"/>
      <c r="O40" s="176"/>
      <c r="P40" s="176"/>
      <c r="Q40" s="176"/>
      <c r="R40" s="176"/>
    </row>
    <row r="41" spans="1:21" ht="14.5" hidden="1" x14ac:dyDescent="0.35">
      <c r="A41" s="176"/>
      <c r="B41" s="176"/>
      <c r="C41" s="176"/>
      <c r="D41" s="176"/>
      <c r="E41" s="176"/>
      <c r="F41" s="176"/>
      <c r="G41" s="176"/>
      <c r="H41" s="176"/>
      <c r="I41" s="176"/>
      <c r="J41" s="176"/>
      <c r="K41" s="176"/>
      <c r="L41" s="176"/>
      <c r="M41" s="176"/>
      <c r="N41" s="176"/>
      <c r="O41" s="176"/>
      <c r="P41" s="176"/>
      <c r="Q41" s="176"/>
      <c r="R41" s="176"/>
    </row>
    <row r="42" spans="1:21" ht="14.5" hidden="1" x14ac:dyDescent="0.35">
      <c r="A42" s="176"/>
      <c r="B42" s="176"/>
      <c r="C42" s="176"/>
      <c r="D42" s="176"/>
      <c r="E42" s="176"/>
      <c r="F42" s="176"/>
      <c r="G42" s="176"/>
      <c r="H42" s="176"/>
      <c r="I42" s="176"/>
      <c r="J42" s="176"/>
      <c r="K42" s="176"/>
      <c r="L42" s="176"/>
      <c r="M42" s="176"/>
      <c r="N42" s="176"/>
      <c r="O42" s="176"/>
      <c r="P42" s="176"/>
      <c r="Q42" s="176"/>
      <c r="R42" s="176"/>
    </row>
    <row r="43" spans="1:21" ht="14.5" hidden="1" x14ac:dyDescent="0.35">
      <c r="A43" s="176"/>
      <c r="B43" s="176"/>
      <c r="C43" s="176"/>
      <c r="D43" s="176"/>
      <c r="E43" s="176"/>
      <c r="F43" s="176"/>
      <c r="G43" s="176"/>
      <c r="H43" s="176"/>
      <c r="I43" s="176"/>
      <c r="J43" s="176"/>
      <c r="K43" s="176"/>
      <c r="L43" s="176"/>
      <c r="M43" s="176"/>
      <c r="N43" s="176"/>
      <c r="O43" s="176"/>
      <c r="P43" s="176"/>
      <c r="Q43" s="176"/>
      <c r="R43" s="176"/>
    </row>
    <row r="44" spans="1:21" ht="14.5" hidden="1" x14ac:dyDescent="0.35">
      <c r="A44" s="176"/>
      <c r="B44" s="176"/>
      <c r="C44" s="176"/>
      <c r="D44" s="176"/>
      <c r="E44" s="176"/>
      <c r="F44" s="176"/>
      <c r="G44" s="176"/>
      <c r="H44" s="176"/>
      <c r="I44" s="176"/>
      <c r="J44" s="176"/>
      <c r="K44" s="176"/>
      <c r="L44" s="176"/>
      <c r="M44" s="176"/>
      <c r="N44" s="176"/>
      <c r="O44" s="176"/>
      <c r="P44" s="176"/>
      <c r="Q44" s="176"/>
      <c r="R44" s="176"/>
    </row>
    <row r="45" spans="1:21" ht="14.5" hidden="1" x14ac:dyDescent="0.35">
      <c r="A45" s="176"/>
      <c r="B45" s="176"/>
      <c r="C45" s="176"/>
      <c r="D45" s="176"/>
      <c r="E45" s="176"/>
      <c r="F45" s="176"/>
      <c r="G45" s="176"/>
      <c r="H45" s="176"/>
      <c r="I45" s="176"/>
      <c r="J45" s="176"/>
      <c r="K45" s="176"/>
      <c r="L45" s="176"/>
      <c r="M45" s="176"/>
      <c r="N45" s="176"/>
      <c r="O45" s="176"/>
      <c r="P45" s="176"/>
      <c r="Q45" s="176"/>
      <c r="R45" s="176"/>
    </row>
    <row r="46" spans="1:21" ht="14.5" hidden="1" x14ac:dyDescent="0.35">
      <c r="A46" s="176"/>
      <c r="B46" s="176"/>
      <c r="C46" s="176"/>
      <c r="D46" s="176"/>
      <c r="E46" s="176"/>
      <c r="F46" s="176"/>
      <c r="G46" s="176"/>
      <c r="H46" s="176"/>
      <c r="I46" s="176"/>
      <c r="J46" s="176"/>
      <c r="K46" s="176"/>
      <c r="L46" s="176"/>
      <c r="M46" s="176"/>
      <c r="N46" s="176"/>
      <c r="O46" s="176"/>
      <c r="P46" s="176"/>
      <c r="Q46" s="176"/>
      <c r="R46" s="176"/>
    </row>
    <row r="47" spans="1:21" ht="14.5" hidden="1" x14ac:dyDescent="0.35">
      <c r="A47" s="176"/>
      <c r="B47" s="176"/>
      <c r="C47" s="176"/>
      <c r="D47" s="176"/>
      <c r="E47" s="176"/>
      <c r="F47" s="176"/>
      <c r="G47" s="176"/>
      <c r="H47" s="176"/>
      <c r="I47" s="176"/>
      <c r="J47" s="176"/>
      <c r="K47" s="176"/>
      <c r="L47" s="176"/>
      <c r="M47" s="176"/>
      <c r="N47" s="176"/>
      <c r="O47" s="176"/>
      <c r="P47" s="176"/>
      <c r="Q47" s="176"/>
      <c r="R47" s="176"/>
    </row>
    <row r="48" spans="1:21" ht="14.5" hidden="1" x14ac:dyDescent="0.35">
      <c r="A48" s="176"/>
      <c r="B48" s="176"/>
      <c r="C48" s="176"/>
      <c r="D48" s="176"/>
      <c r="E48" s="176"/>
      <c r="F48" s="176"/>
      <c r="G48" s="176"/>
      <c r="H48" s="176"/>
      <c r="I48" s="176"/>
      <c r="J48" s="176"/>
      <c r="K48" s="176"/>
      <c r="L48" s="176"/>
      <c r="M48" s="176"/>
      <c r="N48" s="176"/>
      <c r="O48" s="176"/>
      <c r="P48" s="176"/>
      <c r="Q48" s="176"/>
      <c r="R48" s="176"/>
    </row>
    <row r="49" spans="1:18" ht="14.5" hidden="1" x14ac:dyDescent="0.35">
      <c r="A49" s="176"/>
      <c r="B49" s="176"/>
      <c r="C49" s="176"/>
      <c r="D49" s="176"/>
      <c r="E49" s="176"/>
      <c r="F49" s="176"/>
      <c r="G49" s="176"/>
      <c r="H49" s="176"/>
      <c r="I49" s="176"/>
      <c r="J49" s="176"/>
      <c r="K49" s="176"/>
      <c r="L49" s="176"/>
      <c r="M49" s="176"/>
      <c r="N49" s="176"/>
      <c r="O49" s="176"/>
      <c r="P49" s="176"/>
      <c r="Q49" s="176"/>
      <c r="R49" s="176"/>
    </row>
    <row r="50" spans="1:18" ht="14.5" hidden="1" x14ac:dyDescent="0.35">
      <c r="A50" s="176"/>
      <c r="B50" s="176"/>
      <c r="C50" s="176"/>
      <c r="D50" s="176"/>
      <c r="E50" s="176"/>
      <c r="F50" s="176"/>
      <c r="G50" s="176"/>
      <c r="H50" s="176"/>
      <c r="I50" s="176"/>
      <c r="J50" s="176"/>
      <c r="K50" s="176"/>
      <c r="L50" s="176"/>
      <c r="M50" s="176"/>
      <c r="N50" s="176"/>
      <c r="O50" s="176"/>
      <c r="P50" s="176"/>
      <c r="Q50" s="176"/>
      <c r="R50" s="176"/>
    </row>
    <row r="51" spans="1:18" ht="14.5" hidden="1" x14ac:dyDescent="0.35">
      <c r="A51" s="176"/>
      <c r="B51" s="176"/>
      <c r="C51" s="176"/>
      <c r="D51" s="176"/>
      <c r="E51" s="176"/>
      <c r="F51" s="176"/>
      <c r="G51" s="176"/>
      <c r="H51" s="176"/>
      <c r="I51" s="176"/>
      <c r="J51" s="176"/>
      <c r="K51" s="176"/>
      <c r="L51" s="176"/>
      <c r="M51" s="176"/>
      <c r="N51" s="176"/>
      <c r="O51" s="176"/>
      <c r="P51" s="176"/>
      <c r="Q51" s="176"/>
      <c r="R51" s="176"/>
    </row>
    <row r="52" spans="1:18" ht="14.5" hidden="1" x14ac:dyDescent="0.35">
      <c r="A52" s="176"/>
      <c r="B52" s="176"/>
      <c r="C52" s="176"/>
      <c r="D52" s="176"/>
      <c r="E52" s="176"/>
      <c r="F52" s="176"/>
      <c r="G52" s="176"/>
      <c r="H52" s="176"/>
      <c r="I52" s="176"/>
      <c r="J52" s="176"/>
      <c r="K52" s="176"/>
      <c r="L52" s="176"/>
      <c r="M52" s="176"/>
      <c r="N52" s="176"/>
      <c r="O52" s="176"/>
      <c r="P52" s="176"/>
      <c r="Q52" s="176"/>
      <c r="R52" s="176"/>
    </row>
    <row r="53" spans="1:18" ht="14.5" hidden="1" x14ac:dyDescent="0.35">
      <c r="A53" s="176"/>
      <c r="B53" s="176"/>
      <c r="C53" s="176"/>
      <c r="D53" s="176"/>
      <c r="E53" s="176"/>
      <c r="F53" s="176"/>
      <c r="G53" s="176"/>
      <c r="H53" s="176"/>
      <c r="I53" s="176"/>
      <c r="J53" s="176"/>
      <c r="K53" s="176"/>
      <c r="L53" s="176"/>
      <c r="M53" s="176"/>
      <c r="N53" s="176"/>
      <c r="O53" s="176"/>
      <c r="P53" s="176"/>
      <c r="Q53" s="176"/>
      <c r="R53" s="176"/>
    </row>
    <row r="54" spans="1:18" ht="14.5" hidden="1" x14ac:dyDescent="0.35">
      <c r="A54" s="176"/>
      <c r="B54" s="176"/>
      <c r="C54" s="176"/>
      <c r="D54" s="176"/>
      <c r="E54" s="176"/>
      <c r="F54" s="176"/>
      <c r="G54" s="176"/>
      <c r="H54" s="176"/>
      <c r="I54" s="176"/>
      <c r="J54" s="176"/>
      <c r="K54" s="176"/>
      <c r="L54" s="176"/>
      <c r="M54" s="176"/>
      <c r="N54" s="176"/>
      <c r="O54" s="176"/>
      <c r="P54" s="176"/>
      <c r="Q54" s="176"/>
      <c r="R54" s="176"/>
    </row>
    <row r="55" spans="1:18" ht="14.5" hidden="1" x14ac:dyDescent="0.35">
      <c r="A55" s="176"/>
      <c r="B55" s="176"/>
      <c r="C55" s="176"/>
      <c r="D55" s="176"/>
      <c r="E55" s="176"/>
      <c r="F55" s="176"/>
      <c r="G55" s="176"/>
      <c r="H55" s="176"/>
      <c r="I55" s="176"/>
      <c r="J55" s="176"/>
      <c r="K55" s="176"/>
      <c r="L55" s="176"/>
      <c r="M55" s="176"/>
      <c r="N55" s="176"/>
      <c r="O55" s="176"/>
      <c r="P55" s="176"/>
      <c r="Q55" s="176"/>
      <c r="R55" s="176"/>
    </row>
    <row r="56" spans="1:18" ht="14.5" hidden="1" x14ac:dyDescent="0.35">
      <c r="A56" s="176"/>
      <c r="B56" s="176"/>
      <c r="C56" s="176"/>
      <c r="D56" s="176"/>
      <c r="E56" s="176"/>
      <c r="F56" s="176"/>
      <c r="G56" s="176"/>
      <c r="H56" s="176"/>
      <c r="I56" s="176"/>
      <c r="J56" s="176"/>
      <c r="K56" s="176"/>
      <c r="L56" s="176"/>
      <c r="M56" s="176"/>
      <c r="N56" s="176"/>
      <c r="O56" s="176"/>
      <c r="P56" s="176"/>
      <c r="Q56" s="176"/>
      <c r="R56" s="176"/>
    </row>
    <row r="57" spans="1:18" ht="14.5" hidden="1" x14ac:dyDescent="0.35">
      <c r="A57" s="176"/>
      <c r="B57" s="176"/>
      <c r="C57" s="176"/>
      <c r="D57" s="176"/>
      <c r="E57" s="176"/>
      <c r="F57" s="176"/>
      <c r="G57" s="176"/>
      <c r="H57" s="176"/>
      <c r="I57" s="176"/>
      <c r="J57" s="176"/>
      <c r="K57" s="176"/>
      <c r="L57" s="176"/>
      <c r="M57" s="176"/>
      <c r="N57" s="176"/>
      <c r="O57" s="176"/>
      <c r="P57" s="176"/>
      <c r="Q57" s="176"/>
      <c r="R57" s="176"/>
    </row>
    <row r="58" spans="1:18" ht="14.5" hidden="1" x14ac:dyDescent="0.35">
      <c r="A58" s="176"/>
      <c r="B58" s="176"/>
      <c r="C58" s="176"/>
      <c r="D58" s="176"/>
      <c r="E58" s="176"/>
      <c r="F58" s="176"/>
      <c r="G58" s="176"/>
      <c r="H58" s="176"/>
      <c r="I58" s="176"/>
      <c r="J58" s="176"/>
      <c r="K58" s="176"/>
      <c r="L58" s="176"/>
      <c r="M58" s="176"/>
      <c r="N58" s="176"/>
      <c r="O58" s="176"/>
      <c r="P58" s="176"/>
      <c r="Q58" s="176"/>
      <c r="R58" s="176"/>
    </row>
    <row r="59" spans="1:18" ht="14.5" hidden="1" x14ac:dyDescent="0.35">
      <c r="A59" s="176"/>
      <c r="B59" s="176"/>
      <c r="C59" s="176"/>
      <c r="D59" s="176"/>
      <c r="E59" s="176"/>
      <c r="F59" s="176"/>
      <c r="G59" s="176"/>
      <c r="H59" s="176"/>
      <c r="I59" s="176"/>
      <c r="J59" s="176"/>
      <c r="K59" s="176"/>
      <c r="L59" s="176"/>
      <c r="M59" s="176"/>
      <c r="N59" s="176"/>
      <c r="O59" s="176"/>
      <c r="P59" s="176"/>
      <c r="Q59" s="176"/>
      <c r="R59" s="176"/>
    </row>
    <row r="60" spans="1:18" ht="14.5" hidden="1" x14ac:dyDescent="0.35">
      <c r="A60" s="176"/>
      <c r="B60" s="176"/>
      <c r="C60" s="176"/>
      <c r="D60" s="176"/>
      <c r="E60" s="176"/>
      <c r="F60" s="176"/>
      <c r="G60" s="176"/>
      <c r="H60" s="176"/>
      <c r="I60" s="176"/>
      <c r="J60" s="176"/>
      <c r="K60" s="176"/>
      <c r="L60" s="176"/>
      <c r="M60" s="176"/>
      <c r="N60" s="176"/>
      <c r="O60" s="176"/>
      <c r="P60" s="176"/>
      <c r="Q60" s="176"/>
      <c r="R60" s="176"/>
    </row>
    <row r="61" spans="1:18" ht="14.5" hidden="1" x14ac:dyDescent="0.35">
      <c r="A61" s="176"/>
      <c r="B61" s="176"/>
      <c r="C61" s="176"/>
      <c r="D61" s="176"/>
      <c r="E61" s="176"/>
      <c r="F61" s="176"/>
      <c r="G61" s="176"/>
      <c r="H61" s="176"/>
      <c r="I61" s="176"/>
      <c r="J61" s="176"/>
      <c r="K61" s="176"/>
      <c r="L61" s="176"/>
      <c r="M61" s="176"/>
      <c r="N61" s="176"/>
      <c r="O61" s="176"/>
      <c r="P61" s="176"/>
      <c r="Q61" s="176"/>
      <c r="R61" s="176"/>
    </row>
    <row r="62" spans="1:18" ht="14.5" hidden="1" x14ac:dyDescent="0.35">
      <c r="A62" s="176"/>
      <c r="B62" s="176"/>
      <c r="C62" s="176"/>
      <c r="D62" s="176"/>
      <c r="E62" s="176"/>
      <c r="F62" s="176"/>
      <c r="G62" s="176"/>
      <c r="H62" s="176"/>
      <c r="I62" s="176"/>
      <c r="J62" s="176"/>
      <c r="K62" s="176"/>
      <c r="L62" s="176"/>
      <c r="M62" s="176"/>
      <c r="N62" s="176"/>
      <c r="O62" s="176"/>
      <c r="P62" s="176"/>
      <c r="Q62" s="176"/>
      <c r="R62" s="176"/>
    </row>
    <row r="63" spans="1:18" ht="14.5" hidden="1" x14ac:dyDescent="0.35">
      <c r="A63" s="176"/>
      <c r="B63" s="176"/>
      <c r="C63" s="176"/>
      <c r="D63" s="176"/>
      <c r="E63" s="176"/>
      <c r="F63" s="176"/>
      <c r="G63" s="176"/>
      <c r="H63" s="176"/>
      <c r="I63" s="176"/>
      <c r="J63" s="176"/>
      <c r="K63" s="176"/>
      <c r="L63" s="176"/>
      <c r="M63" s="176"/>
      <c r="N63" s="176"/>
      <c r="O63" s="176"/>
      <c r="P63" s="176"/>
      <c r="Q63" s="176"/>
      <c r="R63" s="176"/>
    </row>
  </sheetData>
  <sheetProtection algorithmName="SHA-512" hashValue="/r7mRxYnnfXsQGONn1KMqzTEJQ0LOSh/9Yq2R3EdDHHEr4RNyE/DsRXPwdqx77NNuKJwNLJTIcJGSkZEBK6BFg==" saltValue="jOLi/u+arg7ZQxQAZWieAA==" spinCount="100000" sheet="1" objects="1" scenarios="1"/>
  <mergeCells count="16">
    <mergeCell ref="N23:Q23"/>
    <mergeCell ref="J24:L24"/>
    <mergeCell ref="J29:L29"/>
    <mergeCell ref="J34:L34"/>
    <mergeCell ref="J14:L14"/>
    <mergeCell ref="J19:L19"/>
    <mergeCell ref="N19:R19"/>
    <mergeCell ref="N20:Q20"/>
    <mergeCell ref="N21:Q21"/>
    <mergeCell ref="N22:Q22"/>
    <mergeCell ref="J9:L9"/>
    <mergeCell ref="A1:R1"/>
    <mergeCell ref="A4:H4"/>
    <mergeCell ref="J4:L4"/>
    <mergeCell ref="N4:R4"/>
    <mergeCell ref="A8:H8"/>
  </mergeCells>
  <pageMargins left="0.7" right="0.7" top="0.25910493827160491" bottom="0.75" header="0.3" footer="0.3"/>
  <pageSetup paperSize="9" scale="46"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22"/>
  <sheetViews>
    <sheetView workbookViewId="0">
      <selection activeCell="H25" sqref="H25"/>
    </sheetView>
  </sheetViews>
  <sheetFormatPr defaultRowHeight="14.5" x14ac:dyDescent="0.35"/>
  <sheetData>
    <row r="2" spans="1:1" x14ac:dyDescent="0.35">
      <c r="A2" t="s">
        <v>312</v>
      </c>
    </row>
    <row r="3" spans="1:1" x14ac:dyDescent="0.35">
      <c r="A3" t="s">
        <v>313</v>
      </c>
    </row>
    <row r="4" spans="1:1" x14ac:dyDescent="0.35">
      <c r="A4" t="s">
        <v>314</v>
      </c>
    </row>
    <row r="5" spans="1:1" x14ac:dyDescent="0.35">
      <c r="A5" t="s">
        <v>315</v>
      </c>
    </row>
    <row r="6" spans="1:1" x14ac:dyDescent="0.35">
      <c r="A6" s="149">
        <v>6700</v>
      </c>
    </row>
    <row r="7" spans="1:1" x14ac:dyDescent="0.35">
      <c r="A7" t="s">
        <v>316</v>
      </c>
    </row>
    <row r="8" spans="1:1" x14ac:dyDescent="0.35">
      <c r="A8" t="s">
        <v>317</v>
      </c>
    </row>
    <row r="9" spans="1:1" x14ac:dyDescent="0.35">
      <c r="A9" t="s">
        <v>318</v>
      </c>
    </row>
    <row r="10" spans="1:1" x14ac:dyDescent="0.35">
      <c r="A10" t="s">
        <v>319</v>
      </c>
    </row>
    <row r="11" spans="1:1" x14ac:dyDescent="0.35">
      <c r="A11" t="s">
        <v>320</v>
      </c>
    </row>
    <row r="12" spans="1:1" x14ac:dyDescent="0.35">
      <c r="A12" t="s">
        <v>321</v>
      </c>
    </row>
    <row r="13" spans="1:1" x14ac:dyDescent="0.35">
      <c r="A13" t="s">
        <v>322</v>
      </c>
    </row>
    <row r="14" spans="1:1" x14ac:dyDescent="0.35">
      <c r="A14" t="s">
        <v>323</v>
      </c>
    </row>
    <row r="15" spans="1:1" x14ac:dyDescent="0.35">
      <c r="A15" t="s">
        <v>324</v>
      </c>
    </row>
    <row r="16" spans="1:1" x14ac:dyDescent="0.35">
      <c r="A16" t="s">
        <v>325</v>
      </c>
    </row>
    <row r="17" spans="1:1" x14ac:dyDescent="0.35">
      <c r="A17" t="s">
        <v>326</v>
      </c>
    </row>
    <row r="18" spans="1:1" x14ac:dyDescent="0.35">
      <c r="A18" t="s">
        <v>327</v>
      </c>
    </row>
    <row r="19" spans="1:1" x14ac:dyDescent="0.35">
      <c r="A19" t="s">
        <v>328</v>
      </c>
    </row>
    <row r="20" spans="1:1" x14ac:dyDescent="0.35">
      <c r="A20" t="s">
        <v>329</v>
      </c>
    </row>
    <row r="21" spans="1:1" x14ac:dyDescent="0.35">
      <c r="A21" t="s">
        <v>330</v>
      </c>
    </row>
    <row r="22" spans="1:1" x14ac:dyDescent="0.35">
      <c r="A22" s="149">
        <v>5500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1D08AF1EC57F441B26AA9445629A4E4" ma:contentTypeVersion="26" ma:contentTypeDescription="Create a new document." ma:contentTypeScope="" ma:versionID="d3efab3c2aa873f61b0d81e58ce1dc6d">
  <xsd:schema xmlns:xsd="http://www.w3.org/2001/XMLSchema" xmlns:xs="http://www.w3.org/2001/XMLSchema" xmlns:p="http://schemas.microsoft.com/office/2006/metadata/properties" xmlns:ns2="329a25e9-1705-4637-a518-f1249ed4c130" xmlns:ns3="8e6f99d7-7587-4b8f-b7d1-74511520459b" targetNamespace="http://schemas.microsoft.com/office/2006/metadata/properties" ma:root="true" ma:fieldsID="0f8b0c115d683f65396cb327cf995129" ns2:_="" ns3:_="">
    <xsd:import namespace="329a25e9-1705-4637-a518-f1249ed4c130"/>
    <xsd:import namespace="8e6f99d7-7587-4b8f-b7d1-74511520459b"/>
    <xsd:element name="properties">
      <xsd:complexType>
        <xsd:sequence>
          <xsd:element name="documentManagement">
            <xsd:complexType>
              <xsd:all>
                <xsd:element ref="ns2:Doc_x002e_Type" minOccurs="0"/>
                <xsd:element ref="ns2:Doc_x002e_Status" minOccurs="0"/>
                <xsd:element ref="ns2:Category" minOccurs="0"/>
                <xsd:element ref="ns2:Year" minOccurs="0"/>
                <xsd:element ref="ns2:MediaServiceMetadata" minOccurs="0"/>
                <xsd:element ref="ns2:MediaServiceFastMetadata" minOccurs="0"/>
                <xsd:element ref="ns2:MediaServiceObjectDetectorVersions" minOccurs="0"/>
                <xsd:element ref="ns2:Language"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Description" minOccurs="0"/>
                <xsd:element ref="ns2:MediaServiceOCR" minOccurs="0"/>
                <xsd:element ref="ns3:SharedWithUsers" minOccurs="0"/>
                <xsd:element ref="ns3:SharedWithDetails" minOccurs="0"/>
                <xsd:element ref="ns2:MediaServiceLocation" minOccurs="0"/>
                <xsd:element ref="ns2:MediaLengthInSeconds" minOccurs="0"/>
                <xsd:element ref="ns2:MediaServiceSearchProperties" minOccurs="0"/>
                <xsd:element ref="ns2:MediaServiceBillingMetadata" minOccurs="0"/>
                <xsd:element ref="ns2:Reten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9a25e9-1705-4637-a518-f1249ed4c130" elementFormDefault="qualified">
    <xsd:import namespace="http://schemas.microsoft.com/office/2006/documentManagement/types"/>
    <xsd:import namespace="http://schemas.microsoft.com/office/infopath/2007/PartnerControls"/>
    <xsd:element name="Doc_x002e_Type" ma:index="8" nillable="true" ma:displayName="Doc. Type" ma:format="Dropdown" ma:internalName="Doc_x002e_Type">
      <xsd:simpleType>
        <xsd:restriction base="dms:Choice">
          <xsd:enumeration value="Official Letter"/>
          <xsd:enumeration value="Policy, procedure"/>
          <xsd:enumeration value="HSE Manual"/>
          <xsd:enumeration value="HSE Event Photos"/>
          <xsd:enumeration value="Factory layout"/>
          <xsd:enumeration value="Internal Report"/>
          <xsd:enumeration value="External Report"/>
          <xsd:enumeration value="Incident Report"/>
          <xsd:enumeration value="Accident Report"/>
          <xsd:enumeration value="Contract"/>
        </xsd:restriction>
      </xsd:simpleType>
    </xsd:element>
    <xsd:element name="Doc_x002e_Status" ma:index="9" nillable="true" ma:displayName="Doc. Status" ma:format="Dropdown" ma:internalName="Doc_x002e_Status">
      <xsd:simpleType>
        <xsd:restriction base="dms:Choice">
          <xsd:enumeration value="Approved"/>
          <xsd:enumeration value="For Reference Only"/>
        </xsd:restriction>
      </xsd:simpleType>
    </xsd:element>
    <xsd:element name="Category" ma:index="10" nillable="true" ma:displayName="Category" ma:format="Dropdown" ma:internalName="Category">
      <xsd:simpleType>
        <xsd:restriction base="dms:Choice">
          <xsd:enumeration value="Customer Audit"/>
          <xsd:enumeration value="Government Audit"/>
          <xsd:enumeration value="Internal Audit"/>
          <xsd:enumeration value="Internal Training"/>
          <xsd:enumeration value="External Training"/>
        </xsd:restriction>
      </xsd:simpleType>
    </xsd:element>
    <xsd:element name="Year" ma:index="11" nillable="true" ma:displayName="Year" ma:format="Dropdown" ma:internalName="Year">
      <xsd:simpleType>
        <xsd:union memberTypes="dms:Text">
          <xsd:simpleType>
            <xsd:restriction base="dms:Choice">
              <xsd:enumeration value="2023"/>
              <xsd:enumeration value="2022"/>
              <xsd:enumeration value="2024"/>
            </xsd:restriction>
          </xsd:simpleType>
        </xsd:un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anguage" ma:index="15" nillable="true" ma:displayName="Language" ma:format="Dropdown" ma:internalName="Language">
      <xsd:simpleType>
        <xsd:restriction base="dms:Choice">
          <xsd:enumeration value="Vietnamese"/>
          <xsd:enumeration value="English"/>
          <xsd:enumeration value="Lựa chọn 3"/>
        </xsd:restrictio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5942997-4aa2-4ea7-9542-edab702aa68b"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Description" ma:index="22" nillable="true" ma:displayName="Description" ma:format="Dropdown" ma:internalName="Description">
      <xsd:simpleType>
        <xsd:restriction base="dms:Text">
          <xsd:maxLength value="255"/>
        </xsd:restriction>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6" nillable="true" ma:displayName="Location" ma:indexed="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element name="Retention" ma:index="30" nillable="true" ma:displayName="Retention" ma:default="0" ma:format="Dropdown" ma:internalName="Retention">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8e6f99d7-7587-4b8f-b7d1-74511520459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c2be5ab-ec5f-4815-bdd7-22f825ba5ef0}" ma:internalName="TaxCatchAll" ma:showField="CatchAllData" ma:web="8e6f99d7-7587-4b8f-b7d1-74511520459b">
      <xsd:complexType>
        <xsd:complexContent>
          <xsd:extension base="dms:MultiChoiceLookup">
            <xsd:sequence>
              <xsd:element name="Value" type="dms:Lookup" maxOccurs="unbounded" minOccurs="0" nillable="true"/>
            </xsd:sequence>
          </xsd:extension>
        </xsd:complexContent>
      </xsd:complexType>
    </xsd:element>
    <xsd:element name="SharedWithUsers" ma:index="2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escription xmlns="329a25e9-1705-4637-a518-f1249ed4c130" xsi:nil="true"/>
    <Doc_x002e_Status xmlns="329a25e9-1705-4637-a518-f1249ed4c130" xsi:nil="true"/>
    <lcf76f155ced4ddcb4097134ff3c332f xmlns="329a25e9-1705-4637-a518-f1249ed4c130">
      <Terms xmlns="http://schemas.microsoft.com/office/infopath/2007/PartnerControls"/>
    </lcf76f155ced4ddcb4097134ff3c332f>
    <Year xmlns="329a25e9-1705-4637-a518-f1249ed4c130" xsi:nil="true"/>
    <Doc_x002e_Type xmlns="329a25e9-1705-4637-a518-f1249ed4c130" xsi:nil="true"/>
    <TaxCatchAll xmlns="8e6f99d7-7587-4b8f-b7d1-74511520459b" xsi:nil="true"/>
    <Category xmlns="329a25e9-1705-4637-a518-f1249ed4c130" xsi:nil="true"/>
    <Language xmlns="329a25e9-1705-4637-a518-f1249ed4c130" xsi:nil="true"/>
    <Retention xmlns="329a25e9-1705-4637-a518-f1249ed4c130">false</Retention>
  </documentManagement>
</p:properties>
</file>

<file path=customXml/itemProps1.xml><?xml version="1.0" encoding="utf-8"?>
<ds:datastoreItem xmlns:ds="http://schemas.openxmlformats.org/officeDocument/2006/customXml" ds:itemID="{5423C72F-19A4-4877-BB07-8B1DB104E952}">
  <ds:schemaRefs>
    <ds:schemaRef ds:uri="http://schemas.microsoft.com/sharepoint/v3/contenttype/forms"/>
  </ds:schemaRefs>
</ds:datastoreItem>
</file>

<file path=customXml/itemProps2.xml><?xml version="1.0" encoding="utf-8"?>
<ds:datastoreItem xmlns:ds="http://schemas.openxmlformats.org/officeDocument/2006/customXml" ds:itemID="{4AE5015E-7D42-40DC-ABAE-707131079F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9a25e9-1705-4637-a518-f1249ed4c130"/>
    <ds:schemaRef ds:uri="8e6f99d7-7587-4b8f-b7d1-7451152045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99CEAE1-2413-4B56-8629-B6429598483A}">
  <ds:schemaRefs>
    <ds:schemaRef ds:uri="http://schemas.microsoft.com/office/2006/metadata/properties"/>
    <ds:schemaRef ds:uri="http://schemas.microsoft.com/office/infopath/2007/PartnerControls"/>
    <ds:schemaRef ds:uri="329a25e9-1705-4637-a518-f1249ed4c130"/>
    <ds:schemaRef ds:uri="8e6f99d7-7587-4b8f-b7d1-74511520459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2017</vt:lpstr>
      <vt:lpstr>2018</vt:lpstr>
      <vt:lpstr>2019</vt:lpstr>
      <vt:lpstr>2024</vt:lpstr>
      <vt:lpstr>2026-TĐX</vt:lpstr>
      <vt:lpstr>2026</vt:lpstr>
      <vt:lpstr>2025</vt:lpstr>
      <vt:lpstr>Phuy</vt:lpstr>
      <vt:lpstr>Tính</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Ngoc, Ngo Thi Thuy / HSE Officer_P6</dc:creator>
  <cp:keywords/>
  <dc:description/>
  <cp:lastModifiedBy>Cong, Tran Van / HSE Officer</cp:lastModifiedBy>
  <cp:revision/>
  <dcterms:created xsi:type="dcterms:W3CDTF">2017-02-09T08:58:46Z</dcterms:created>
  <dcterms:modified xsi:type="dcterms:W3CDTF">2026-09-07T04:24:31Z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0x010100B1D08AF1EC57F441B26AA9445629A4E4</vt:lpwstr>
  </property>
  <property fmtid="{D5CDD505-2E9C-101B-9397-08002B2CF9AE}" pid="3" name="MediaServiceImageTags">
    <vt:lpwstr/>
  </property>
</Properties>
</file>