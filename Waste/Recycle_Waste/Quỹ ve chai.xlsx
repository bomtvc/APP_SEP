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hidePivotFieldList="1" defaultThemeVersion="124226"/>
  <xr:revisionPtr revIDLastSave="465" documentId="13_ncr:1_{EED6612A-81B4-489F-B874-14F5BC790CB8}" xr6:coauthVersionLast="47" xr6:coauthVersionMax="47" xr10:uidLastSave="{AE832606-3428-4745-91C0-E801C2A71B96}"/>
  <bookViews>
    <workbookView xWindow="-120" yWindow="-120" windowWidth="29040" windowHeight="15720" firstSheet="1" activeTab="1" xr2:uid="{00000000-000D-0000-FFFF-FFFF00000000}"/>
  </bookViews>
  <sheets>
    <sheet name="Phuy xúc rửa" sheetId="18" state="hidden" r:id="rId1"/>
    <sheet name="2026" sheetId="37" r:id="rId2"/>
    <sheet name="2025" sheetId="35" r:id="rId3"/>
    <sheet name="2024" sheetId="33" r:id="rId4"/>
    <sheet name="2023" sheetId="32" r:id="rId5"/>
    <sheet name="Plan 2025" sheetId="36" r:id="rId6"/>
    <sheet name="Plan 2026" sheetId="3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37" l="1"/>
  <c r="L22" i="37"/>
  <c r="L21" i="37"/>
  <c r="E17" i="37"/>
  <c r="L20" i="37"/>
  <c r="E16" i="37"/>
  <c r="L19" i="37"/>
  <c r="E15" i="37"/>
  <c r="H16" i="37"/>
  <c r="H23" i="37"/>
  <c r="H15" i="37"/>
  <c r="A23" i="37"/>
  <c r="J24" i="37" l="1"/>
  <c r="C24" i="37"/>
  <c r="L23" i="37"/>
  <c r="L18" i="37"/>
  <c r="L17" i="37"/>
  <c r="L16" i="37"/>
  <c r="L15" i="37"/>
  <c r="E24" i="37"/>
  <c r="C7" i="37" s="1"/>
  <c r="L27" i="35"/>
  <c r="H27" i="35"/>
  <c r="E17" i="35"/>
  <c r="E16" i="35"/>
  <c r="L26" i="35"/>
  <c r="H26" i="35"/>
  <c r="H14" i="35"/>
  <c r="H15" i="35"/>
  <c r="H16" i="35"/>
  <c r="H17" i="35"/>
  <c r="H18" i="35"/>
  <c r="H19" i="35"/>
  <c r="H20" i="35"/>
  <c r="H21" i="35"/>
  <c r="H22" i="35"/>
  <c r="H23" i="35"/>
  <c r="H24" i="35"/>
  <c r="H25" i="35"/>
  <c r="H13" i="35"/>
  <c r="L25" i="35"/>
  <c r="J29" i="35"/>
  <c r="L24" i="35"/>
  <c r="L22" i="35"/>
  <c r="E15" i="35"/>
  <c r="L21" i="35"/>
  <c r="L20" i="35"/>
  <c r="L19" i="35"/>
  <c r="L18" i="35"/>
  <c r="L17" i="35"/>
  <c r="L16" i="35"/>
  <c r="L15" i="35"/>
  <c r="L26" i="33"/>
  <c r="C29" i="35"/>
  <c r="L23" i="35"/>
  <c r="E23" i="35"/>
  <c r="L14" i="35"/>
  <c r="E14" i="35"/>
  <c r="L13" i="35"/>
  <c r="E13" i="35"/>
  <c r="L24" i="33"/>
  <c r="L25" i="33"/>
  <c r="L23" i="33"/>
  <c r="L22" i="33"/>
  <c r="J27" i="33"/>
  <c r="L20" i="33"/>
  <c r="L21" i="33"/>
  <c r="L19" i="33"/>
  <c r="E18" i="33"/>
  <c r="L18" i="33"/>
  <c r="E38" i="32"/>
  <c r="L24" i="37" l="1"/>
  <c r="D7" i="37" s="1"/>
  <c r="D8" i="37" s="1"/>
  <c r="C8" i="37"/>
  <c r="L29" i="35"/>
  <c r="D6" i="35" s="1"/>
  <c r="D7" i="35" s="1"/>
  <c r="E29" i="35"/>
  <c r="C6" i="35" s="1"/>
  <c r="C27" i="33"/>
  <c r="E15" i="33"/>
  <c r="E14" i="33"/>
  <c r="L12" i="33"/>
  <c r="L13" i="33"/>
  <c r="L11" i="33"/>
  <c r="L14" i="33"/>
  <c r="L15" i="33"/>
  <c r="L16" i="33"/>
  <c r="L17" i="33"/>
  <c r="E17" i="33"/>
  <c r="E16" i="33"/>
  <c r="E13" i="33"/>
  <c r="E12" i="33"/>
  <c r="E11" i="33"/>
  <c r="E21" i="32"/>
  <c r="F21" i="32" s="1"/>
  <c r="J31" i="32"/>
  <c r="C31" i="32"/>
  <c r="L30" i="32"/>
  <c r="L29" i="32"/>
  <c r="L28" i="32"/>
  <c r="L27" i="32"/>
  <c r="L26" i="32"/>
  <c r="L25" i="32"/>
  <c r="L24" i="32"/>
  <c r="L23" i="32"/>
  <c r="L22" i="32"/>
  <c r="L20" i="32"/>
  <c r="L19" i="32"/>
  <c r="L18" i="32"/>
  <c r="L17" i="32"/>
  <c r="L16" i="32"/>
  <c r="L15" i="32"/>
  <c r="L14" i="32"/>
  <c r="L13" i="32"/>
  <c r="L12" i="32"/>
  <c r="L11" i="32"/>
  <c r="L10" i="32"/>
  <c r="L9" i="32"/>
  <c r="M9" i="32" s="1"/>
  <c r="L8" i="32"/>
  <c r="M8" i="32" s="1"/>
  <c r="L7" i="32"/>
  <c r="M7" i="32" s="1"/>
  <c r="L6" i="32"/>
  <c r="M6" i="32" s="1"/>
  <c r="L5" i="32"/>
  <c r="M5" i="32" s="1"/>
  <c r="L4" i="32"/>
  <c r="M4" i="32" s="1"/>
  <c r="M31" i="32" l="1"/>
  <c r="E7" i="37"/>
  <c r="E8" i="37" s="1"/>
  <c r="E11" i="37" s="1"/>
  <c r="E6" i="35"/>
  <c r="E7" i="35" s="1"/>
  <c r="E9" i="35" s="1"/>
  <c r="C7" i="35"/>
  <c r="L27" i="33"/>
  <c r="E27" i="33"/>
  <c r="L31" i="32"/>
  <c r="E30" i="32"/>
  <c r="E29" i="32"/>
  <c r="E28" i="32"/>
  <c r="E27" i="32"/>
  <c r="E26" i="32"/>
  <c r="E25" i="32"/>
  <c r="E24" i="32"/>
  <c r="E23" i="32"/>
  <c r="E22" i="32"/>
  <c r="F22" i="32" s="1"/>
  <c r="E20" i="32"/>
  <c r="E19" i="32"/>
  <c r="F19" i="32" s="1"/>
  <c r="E18" i="32"/>
  <c r="F18" i="32" s="1"/>
  <c r="E17" i="32"/>
  <c r="F17" i="32" s="1"/>
  <c r="E16" i="32"/>
  <c r="F16" i="32" s="1"/>
  <c r="E15" i="32"/>
  <c r="F15" i="32" s="1"/>
  <c r="E14" i="32"/>
  <c r="F14" i="32" s="1"/>
  <c r="E13" i="32"/>
  <c r="F13" i="32" s="1"/>
  <c r="E12" i="32"/>
  <c r="F12" i="32" s="1"/>
  <c r="E11" i="32"/>
  <c r="F11" i="32" s="1"/>
  <c r="E10" i="32"/>
  <c r="F10" i="32" s="1"/>
  <c r="E9" i="32"/>
  <c r="F9" i="32" s="1"/>
  <c r="E8" i="32"/>
  <c r="F8" i="32" s="1"/>
  <c r="E7" i="32"/>
  <c r="E6" i="32"/>
  <c r="F6" i="32" s="1"/>
  <c r="E5" i="32"/>
  <c r="F5" i="32" s="1"/>
  <c r="E4" i="32"/>
  <c r="F4" i="32" s="1"/>
  <c r="D5" i="33" l="1"/>
  <c r="D6" i="33" s="1"/>
  <c r="C5" i="33"/>
  <c r="E31" i="32"/>
  <c r="F20" i="32"/>
  <c r="F7" i="32"/>
  <c r="AB12" i="18"/>
  <c r="C6" i="33" l="1"/>
  <c r="E5" i="33"/>
  <c r="E6" i="33" s="1"/>
  <c r="F31" i="32"/>
  <c r="E37" i="32" s="1"/>
  <c r="E39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tc={6FCE5859-BDB4-4EB3-A239-E86D10F1BE8C}</author>
  </authors>
  <commentList>
    <comment ref="E15" authorId="0" shapeId="0" xr:uid="{6FCE5859-BDB4-4EB3-A239-E86D10F1BE8C}">
      <text>
        <t>[Threaded comment]
Your version of Excel allows you to read this threaded comment; however, any edits to it will get removed if the file is opened in a newer version of Excel. Learn more: https://go.microsoft.com/fwlink/?linkid=870924
Comment:
    Anh Thuận giữ</t>
      </text>
    </comment>
  </commentList>
</comments>
</file>

<file path=xl/sharedStrings.xml><?xml version="1.0" encoding="utf-8"?>
<sst xmlns="http://schemas.openxmlformats.org/spreadsheetml/2006/main" count="228" uniqueCount="89">
  <si>
    <t xml:space="preserve">ROCHDALE SPEARS </t>
  </si>
  <si>
    <t>STT</t>
  </si>
  <si>
    <t>LOẠI CHẤT THẢI</t>
  </si>
  <si>
    <t>MÃ CTNH</t>
  </si>
  <si>
    <t>ĐƠN VỊ TÍNH</t>
  </si>
  <si>
    <t>ĐƠN GIÁ XỬ LÝ</t>
  </si>
  <si>
    <t>kg</t>
  </si>
  <si>
    <t>18 01 03</t>
  </si>
  <si>
    <t>ĐƠN GIÁ THU MUA</t>
  </si>
  <si>
    <t>Thùng nhựa keo hóa chất dính thành phần nguy hại - đế gỗ (thùng 1000 lít)</t>
  </si>
  <si>
    <t>Thùng nhựa keo hóa chất dính thành phần nguy hại - đế sắt (thùng 1000 lít)</t>
  </si>
  <si>
    <t>Thành tiền</t>
  </si>
  <si>
    <t>TỔNG TIỀN THANH TOÁN (Chưa VAT)</t>
  </si>
  <si>
    <t>Số lượng</t>
  </si>
  <si>
    <t>Thùng phuy 200 lít loại 2 (nắp nhỏ)</t>
  </si>
  <si>
    <t>PLANT 2</t>
  </si>
  <si>
    <t>NGÀY THU GOM, BÀN GIAO</t>
  </si>
  <si>
    <t>BẢNG THEO DÕI XỬ LÝ RÁC THẢI NGUY HẠI HÀNG THÁNG- HAZARDOUS WASTE TREATMENT LIST  - PLANT 2</t>
  </si>
  <si>
    <t>TOTAL AMOUNT (VND)</t>
  </si>
  <si>
    <t>Cái</t>
  </si>
  <si>
    <t>No</t>
  </si>
  <si>
    <t>Date</t>
  </si>
  <si>
    <t xml:space="preserve">Đại diện </t>
  </si>
  <si>
    <t>180102</t>
  </si>
  <si>
    <t>Total</t>
  </si>
  <si>
    <t>Viet Xanh QN</t>
  </si>
  <si>
    <t>Đơn giá</t>
  </si>
  <si>
    <t>Thành tiến</t>
  </si>
  <si>
    <t xml:space="preserve">Công Ty TNHH ROCHDALE SPEARS </t>
  </si>
  <si>
    <t>Số 
Lượng</t>
  </si>
  <si>
    <t xml:space="preserve">Chai nhựa phế liệu </t>
  </si>
  <si>
    <t xml:space="preserve">BẢNG TỔNG HỢP THU TIỀN BÁN PHẾ LIỆU NHÀ MÁY 2 </t>
  </si>
  <si>
    <t>BẢNG TỔNG HỢP THU TIỀN BÁN PHẾ LIỆU NHÀ MÁY 1</t>
  </si>
  <si>
    <t>Đã chuyển Anh Thuận 20/7/2023</t>
  </si>
  <si>
    <t>Đã chuyển Anh Thuận 18/4/2023</t>
  </si>
  <si>
    <t>Đã chuyển Anh Thuận 4/8/2023</t>
  </si>
  <si>
    <t>Đã chuyển anh Thuận</t>
  </si>
  <si>
    <t>Chi Ho tro</t>
  </si>
  <si>
    <t>Thu</t>
  </si>
  <si>
    <t>Còn lại</t>
  </si>
  <si>
    <t>Số lượng 
(Kg)</t>
  </si>
  <si>
    <t>Đơn giá
(VNĐ)</t>
  </si>
  <si>
    <t>TỔNG TIỀN QUỸ THU GOM VE CHAI ỦNG HỘ HOÀN CẢNH KHÓ KHĂN</t>
  </si>
  <si>
    <t>No.</t>
  </si>
  <si>
    <t>Tổng</t>
  </si>
  <si>
    <t>Ghi chú</t>
  </si>
  <si>
    <t>Số tiền</t>
  </si>
  <si>
    <t>Plant 1</t>
  </si>
  <si>
    <t>Plant 2</t>
  </si>
  <si>
    <t>Năm</t>
  </si>
  <si>
    <t xml:space="preserve">QUỸ VE CHAI ỦNG HỘ HOÀN CẢNH KHÓ KHĂN 2024
Plant 2 </t>
  </si>
  <si>
    <t>QUỸ VE CHAI ỦNG HỘ HOÀN CẢNH KHÓ KHĂN 2024
Plant 1</t>
  </si>
  <si>
    <t>Còn lại sau khi ủng hộ</t>
  </si>
  <si>
    <t xml:space="preserve">Update: </t>
  </si>
  <si>
    <t>QUỸ VE CHAI ỦNG HỘ HOÀN CẢNH KHÓ KHĂN 2025
Plant 1</t>
  </si>
  <si>
    <t xml:space="preserve">QUỸ VE CHAI ỦNG HỘ HOÀN CẢNH KHÓ KHĂN 2025
Plant 2 </t>
  </si>
  <si>
    <t>Hạng mục công việc</t>
  </si>
  <si>
    <t>Nội dung cụ thể</t>
  </si>
  <si>
    <t>Người phụ trách</t>
  </si>
  <si>
    <t>Deadline hoàn thành</t>
  </si>
  <si>
    <t>Tổng hợp danh sách người nhận</t>
  </si>
  <si>
    <t>Lên danh sách quà tặng</t>
  </si>
  <si>
    <t>Tổ chức trao quà</t>
  </si>
  <si>
    <t>KẾ HOẠCH CHUẨN BỊ CHƯƠNG TRÌNH TRAO QUÀ CHO NGƯỜI KHÓ KHĂN QUỸ VE CHAI</t>
  </si>
  <si>
    <t>Họ tên, bộ phận, plant, hoàn cảnh.</t>
  </si>
  <si>
    <t>Số lượng: 43 
Ngân sách dự kiến: 500.000 VNĐ/ người
Tổng: 21.500.000 VNĐ</t>
  </si>
  <si>
    <t>Thuận/ Trung</t>
  </si>
  <si>
    <t>Chuẩn bị background</t>
  </si>
  <si>
    <t>Trung</t>
  </si>
  <si>
    <t>Kích thước: 1,5x4m</t>
  </si>
  <si>
    <t>HSSE team</t>
  </si>
  <si>
    <t>Kế hoạch tổ chức buổi trao quà</t>
  </si>
  <si>
    <t>Gửi email/thông báo tới bộ phận/ người nhận</t>
  </si>
  <si>
    <t>Xác nhận lịch – thông báo thời gian, địa điểm trao quà</t>
  </si>
  <si>
    <t>Phân công nhiệm vụ, chuẩn bị hậu cần</t>
  </si>
  <si>
    <t>Phát quà – ghi nhận hình ảnh</t>
  </si>
  <si>
    <t>Chọn thời gian – địa điểm, mời các sếp.</t>
  </si>
  <si>
    <t>Union/ Trung/ Biên</t>
  </si>
  <si>
    <t>Trao quà ngày 09/07/2025 (42 người lao động)</t>
  </si>
  <si>
    <t>Quỹ còn đến hiện tại</t>
  </si>
  <si>
    <t>Tổng thu</t>
  </si>
  <si>
    <t>QUỸ VE CHAI ỦNG HỘ HOÀN CẢNH KHÓ KHĂN 2026
Plant 1</t>
  </si>
  <si>
    <t xml:space="preserve">QUỸ VE CHAI ỦNG HỘ HOÀN CẢNH KHÓ KHĂN 2026
Plant 2 </t>
  </si>
  <si>
    <t>BẢO NGỌC XANH</t>
  </si>
  <si>
    <t>Số lượng: 40
Ngân sách dự kiến: 500.000 VNĐ/ người
Tổng: 20.000.000 VNĐ</t>
  </si>
  <si>
    <t>Chọn thời gian – địa điểm, mời các sếp.
'Phân công nhiệm vụ, chuẩn bị hậu cần</t>
  </si>
  <si>
    <t>Trung/Thuận
Biên</t>
  </si>
  <si>
    <t>Trao quà ngày 12/06/2026 (41 người lao động)</t>
  </si>
  <si>
    <t>Thuận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</si>
</sst>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&quot; &quot;#,##0&quot; &quot;;&quot; (&quot;#,##0&quot;)&quot;;&quot; - &quot;;&quot; &quot;@&quot; &quot;"/>
    <numFmt numFmtId="167" formatCode="&quot; &quot;#,##0&quot; &quot;;&quot; (&quot;#,##0&quot;)&quot;;&quot; -&quot;00&quot; &quot;;&quot; &quot;@&quot; &quot;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8"/>
      <color theme="1"/>
      <name val="Times New Roman"/>
      <family val="1"/>
    </font>
    <font>
      <sz val="11"/>
      <color rgb="FF000000"/>
      <name val="Arial"/>
      <family val="2"/>
    </font>
    <font>
      <sz val="9"/>
      <color rgb="FF000000"/>
      <name val="Arial"/>
      <family val="2"/>
    </font>
    <font>
      <sz val="9"/>
      <color theme="1"/>
      <name val="Calibri"/>
      <family val="2"/>
      <scheme val="minor"/>
    </font>
    <font>
      <b/>
      <sz val="9"/>
      <color rgb="FF000000"/>
      <name val="Times New Roman"/>
      <family val="1"/>
    </font>
    <font>
      <sz val="10"/>
      <name val="Times New Roman"/>
      <family val="1"/>
    </font>
    <font>
      <sz val="9"/>
      <color rgb="FFFF0000"/>
      <name val="Calibri"/>
      <family val="2"/>
      <scheme val="minor"/>
    </font>
    <font>
      <sz val="9"/>
      <color rgb="FFFF0000"/>
      <name val="Arial"/>
      <family val="2"/>
    </font>
    <font>
      <sz val="9"/>
      <color theme="1"/>
      <name val="Lexend Deca"/>
    </font>
    <font>
      <b/>
      <sz val="9"/>
      <color rgb="FF000000"/>
      <name val="Lexend Deca"/>
    </font>
    <font>
      <sz val="9"/>
      <color rgb="FF000000"/>
      <name val="Lexend Deca"/>
    </font>
    <font>
      <b/>
      <sz val="9"/>
      <color theme="1"/>
      <name val="Lexend Deca"/>
    </font>
    <font>
      <b/>
      <sz val="11"/>
      <color rgb="FF000000"/>
      <name val="Lexend Deca"/>
    </font>
    <font>
      <i/>
      <sz val="9"/>
      <color theme="1"/>
      <name val="Lexend Deca"/>
    </font>
    <font>
      <b/>
      <sz val="18"/>
      <color theme="1"/>
      <name val="Lexend Deca"/>
    </font>
    <font>
      <sz val="11"/>
      <color theme="1"/>
      <name val="Lexend Deca"/>
    </font>
    <font>
      <b/>
      <sz val="11"/>
      <color theme="1"/>
      <name val="Lexend Deca"/>
    </font>
    <font>
      <i/>
      <sz val="9"/>
      <color rgb="FFFF0000"/>
      <name val="Lexend Deca"/>
    </font>
    <font>
      <b/>
      <sz val="12"/>
      <color theme="1"/>
      <name val="Lexend Deca"/>
    </font>
    <font>
      <sz val="12"/>
      <color theme="1"/>
      <name val="Lexend Deca"/>
    </font>
    <font>
      <sz val="9"/>
      <color indexed="81"/>
      <name val="Tahoma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FF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00B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2">
    <xf numFmtId="0" fontId="0" fillId="0" borderId="0" xfId="0"/>
    <xf numFmtId="167" fontId="2" fillId="6" borderId="13" xfId="1" applyNumberFormat="1" applyFont="1" applyFill="1" applyBorder="1" applyAlignment="1">
      <alignment vertical="center"/>
    </xf>
    <xf numFmtId="166" fontId="2" fillId="6" borderId="13" xfId="1" applyNumberFormat="1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0" borderId="0" xfId="0" applyFont="1"/>
    <xf numFmtId="14" fontId="4" fillId="3" borderId="6" xfId="0" quotePrefix="1" applyNumberFormat="1" applyFont="1" applyFill="1" applyBorder="1" applyAlignment="1">
      <alignment horizontal="center" vertical="center"/>
    </xf>
    <xf numFmtId="17" fontId="4" fillId="0" borderId="1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164" fontId="5" fillId="0" borderId="1" xfId="1" applyNumberFormat="1" applyFont="1" applyBorder="1" applyAlignment="1">
      <alignment horizontal="right" vertical="center"/>
    </xf>
    <xf numFmtId="164" fontId="5" fillId="0" borderId="1" xfId="1" applyNumberFormat="1" applyFont="1" applyBorder="1" applyAlignment="1">
      <alignment vertical="center"/>
    </xf>
    <xf numFmtId="164" fontId="5" fillId="2" borderId="1" xfId="1" applyNumberFormat="1" applyFont="1" applyFill="1" applyBorder="1" applyAlignment="1">
      <alignment vertical="center"/>
    </xf>
    <xf numFmtId="164" fontId="7" fillId="2" borderId="1" xfId="1" applyNumberFormat="1" applyFont="1" applyFill="1" applyBorder="1" applyAlignment="1">
      <alignment horizontal="right" vertical="center"/>
    </xf>
    <xf numFmtId="164" fontId="5" fillId="0" borderId="1" xfId="1" applyNumberFormat="1" applyFont="1" applyFill="1" applyBorder="1" applyAlignment="1">
      <alignment vertical="center"/>
    </xf>
    <xf numFmtId="164" fontId="5" fillId="0" borderId="0" xfId="1" applyNumberFormat="1" applyFont="1"/>
    <xf numFmtId="164" fontId="5" fillId="0" borderId="1" xfId="1" applyNumberFormat="1" applyFont="1" applyBorder="1" applyAlignment="1">
      <alignment horizontal="center" vertical="center"/>
    </xf>
    <xf numFmtId="164" fontId="5" fillId="4" borderId="1" xfId="1" applyNumberFormat="1" applyFont="1" applyFill="1" applyBorder="1" applyAlignment="1">
      <alignment vertical="center"/>
    </xf>
    <xf numFmtId="164" fontId="5" fillId="4" borderId="1" xfId="1" applyNumberFormat="1" applyFont="1" applyFill="1" applyBorder="1" applyAlignment="1">
      <alignment horizontal="right" vertical="center"/>
    </xf>
    <xf numFmtId="164" fontId="7" fillId="4" borderId="1" xfId="1" applyNumberFormat="1" applyFont="1" applyFill="1" applyBorder="1" applyAlignment="1">
      <alignment horizontal="right" vertical="center"/>
    </xf>
    <xf numFmtId="164" fontId="5" fillId="0" borderId="1" xfId="1" applyNumberFormat="1" applyFont="1" applyBorder="1" applyAlignment="1">
      <alignment vertical="center" wrapText="1"/>
    </xf>
    <xf numFmtId="164" fontId="6" fillId="0" borderId="4" xfId="1" applyNumberFormat="1" applyFont="1" applyBorder="1" applyAlignment="1">
      <alignment horizontal="right" vertical="center"/>
    </xf>
    <xf numFmtId="164" fontId="6" fillId="2" borderId="4" xfId="1" applyNumberFormat="1" applyFont="1" applyFill="1" applyBorder="1" applyAlignment="1">
      <alignment horizontal="right" vertical="center"/>
    </xf>
    <xf numFmtId="164" fontId="6" fillId="0" borderId="4" xfId="1" applyNumberFormat="1" applyFont="1" applyFill="1" applyBorder="1" applyAlignment="1">
      <alignment horizontal="right" vertical="center"/>
    </xf>
    <xf numFmtId="164" fontId="7" fillId="0" borderId="0" xfId="1" applyNumberFormat="1" applyFont="1"/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vertical="center"/>
    </xf>
    <xf numFmtId="164" fontId="5" fillId="4" borderId="8" xfId="1" applyNumberFormat="1" applyFont="1" applyFill="1" applyBorder="1" applyAlignment="1">
      <alignment horizontal="left" vertical="center"/>
    </xf>
    <xf numFmtId="164" fontId="5" fillId="4" borderId="5" xfId="1" applyNumberFormat="1" applyFont="1" applyFill="1" applyBorder="1" applyAlignment="1">
      <alignment vertical="center"/>
    </xf>
    <xf numFmtId="164" fontId="5" fillId="4" borderId="6" xfId="1" applyNumberFormat="1" applyFont="1" applyFill="1" applyBorder="1" applyAlignment="1">
      <alignment horizontal="center" vertical="center" wrapText="1"/>
    </xf>
    <xf numFmtId="164" fontId="5" fillId="0" borderId="5" xfId="1" applyNumberFormat="1" applyFont="1" applyFill="1" applyBorder="1" applyAlignment="1">
      <alignment vertical="center"/>
    </xf>
    <xf numFmtId="164" fontId="7" fillId="0" borderId="1" xfId="1" applyNumberFormat="1" applyFont="1" applyFill="1" applyBorder="1" applyAlignment="1">
      <alignment horizontal="right" vertical="center"/>
    </xf>
    <xf numFmtId="0" fontId="11" fillId="0" borderId="0" xfId="0" applyFont="1"/>
    <xf numFmtId="166" fontId="11" fillId="0" borderId="0" xfId="0" applyNumberFormat="1" applyFont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165" fontId="2" fillId="7" borderId="11" xfId="0" applyNumberFormat="1" applyFont="1" applyFill="1" applyBorder="1" applyAlignment="1">
      <alignment horizontal="center" vertical="center"/>
    </xf>
    <xf numFmtId="166" fontId="2" fillId="7" borderId="11" xfId="0" applyNumberFormat="1" applyFont="1" applyFill="1" applyBorder="1" applyAlignment="1">
      <alignment horizontal="center" vertical="center"/>
    </xf>
    <xf numFmtId="0" fontId="10" fillId="9" borderId="11" xfId="0" applyFont="1" applyFill="1" applyBorder="1" applyAlignment="1">
      <alignment horizontal="center" vertical="center" wrapText="1"/>
    </xf>
    <xf numFmtId="0" fontId="10" fillId="9" borderId="11" xfId="0" applyFont="1" applyFill="1" applyBorder="1" applyAlignment="1">
      <alignment horizontal="center" vertical="center"/>
    </xf>
    <xf numFmtId="166" fontId="10" fillId="9" borderId="11" xfId="0" applyNumberFormat="1" applyFont="1" applyFill="1" applyBorder="1" applyAlignment="1">
      <alignment horizontal="center" vertical="center"/>
    </xf>
    <xf numFmtId="166" fontId="10" fillId="4" borderId="14" xfId="0" applyNumberFormat="1" applyFont="1" applyFill="1" applyBorder="1" applyAlignment="1">
      <alignment horizontal="center" vertical="center"/>
    </xf>
    <xf numFmtId="14" fontId="13" fillId="4" borderId="1" xfId="0" quotePrefix="1" applyNumberFormat="1" applyFont="1" applyFill="1" applyBorder="1" applyAlignment="1">
      <alignment horizontal="center" vertical="center" wrapText="1"/>
    </xf>
    <xf numFmtId="164" fontId="5" fillId="0" borderId="0" xfId="0" applyNumberFormat="1" applyFont="1" applyAlignment="1">
      <alignment vertical="center"/>
    </xf>
    <xf numFmtId="17" fontId="4" fillId="0" borderId="6" xfId="0" applyNumberFormat="1" applyFont="1" applyBorder="1" applyAlignment="1">
      <alignment vertical="center"/>
    </xf>
    <xf numFmtId="165" fontId="10" fillId="0" borderId="1" xfId="0" applyNumberFormat="1" applyFont="1" applyBorder="1" applyAlignment="1">
      <alignment horizontal="center"/>
    </xf>
    <xf numFmtId="166" fontId="11" fillId="0" borderId="1" xfId="0" applyNumberFormat="1" applyFont="1" applyBorder="1" applyAlignment="1">
      <alignment horizontal="center" vertical="center"/>
    </xf>
    <xf numFmtId="166" fontId="10" fillId="5" borderId="1" xfId="0" applyNumberFormat="1" applyFont="1" applyFill="1" applyBorder="1" applyAlignment="1">
      <alignment horizontal="center"/>
    </xf>
    <xf numFmtId="166" fontId="10" fillId="0" borderId="1" xfId="0" applyNumberFormat="1" applyFont="1" applyBorder="1" applyAlignment="1">
      <alignment horizontal="center"/>
    </xf>
    <xf numFmtId="3" fontId="10" fillId="10" borderId="12" xfId="0" applyNumberFormat="1" applyFont="1" applyFill="1" applyBorder="1" applyAlignment="1">
      <alignment horizontal="center"/>
    </xf>
    <xf numFmtId="165" fontId="10" fillId="11" borderId="1" xfId="0" applyNumberFormat="1" applyFont="1" applyFill="1" applyBorder="1" applyAlignment="1">
      <alignment horizontal="center"/>
    </xf>
    <xf numFmtId="166" fontId="10" fillId="12" borderId="1" xfId="0" applyNumberFormat="1" applyFont="1" applyFill="1" applyBorder="1" applyAlignment="1">
      <alignment horizontal="center"/>
    </xf>
    <xf numFmtId="166" fontId="10" fillId="11" borderId="1" xfId="0" applyNumberFormat="1" applyFont="1" applyFill="1" applyBorder="1" applyAlignment="1">
      <alignment horizontal="center"/>
    </xf>
    <xf numFmtId="166" fontId="11" fillId="11" borderId="0" xfId="0" applyNumberFormat="1" applyFont="1" applyFill="1" applyAlignment="1">
      <alignment horizontal="center" vertical="center"/>
    </xf>
    <xf numFmtId="0" fontId="14" fillId="0" borderId="0" xfId="0" applyFont="1"/>
    <xf numFmtId="165" fontId="15" fillId="0" borderId="1" xfId="0" applyNumberFormat="1" applyFont="1" applyBorder="1" applyAlignment="1">
      <alignment horizontal="center"/>
    </xf>
    <xf numFmtId="166" fontId="14" fillId="0" borderId="0" xfId="0" applyNumberFormat="1" applyFont="1" applyAlignment="1">
      <alignment horizontal="center" vertical="center"/>
    </xf>
    <xf numFmtId="166" fontId="15" fillId="5" borderId="1" xfId="0" applyNumberFormat="1" applyFont="1" applyFill="1" applyBorder="1" applyAlignment="1">
      <alignment horizontal="center"/>
    </xf>
    <xf numFmtId="166" fontId="15" fillId="0" borderId="1" xfId="0" applyNumberFormat="1" applyFont="1" applyBorder="1" applyAlignment="1">
      <alignment horizontal="center"/>
    </xf>
    <xf numFmtId="0" fontId="12" fillId="5" borderId="15" xfId="0" applyFont="1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166" fontId="11" fillId="0" borderId="0" xfId="0" applyNumberFormat="1" applyFont="1"/>
    <xf numFmtId="166" fontId="12" fillId="5" borderId="15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6" fillId="0" borderId="0" xfId="0" applyFont="1" applyAlignment="1">
      <alignment wrapText="1"/>
    </xf>
    <xf numFmtId="165" fontId="18" fillId="0" borderId="1" xfId="0" applyNumberFormat="1" applyFont="1" applyBorder="1" applyAlignment="1">
      <alignment horizontal="center" wrapText="1"/>
    </xf>
    <xf numFmtId="166" fontId="18" fillId="5" borderId="1" xfId="0" applyNumberFormat="1" applyFont="1" applyFill="1" applyBorder="1" applyAlignment="1">
      <alignment horizontal="center" wrapText="1"/>
    </xf>
    <xf numFmtId="166" fontId="18" fillId="0" borderId="1" xfId="0" applyNumberFormat="1" applyFont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166" fontId="17" fillId="6" borderId="1" xfId="1" applyNumberFormat="1" applyFont="1" applyFill="1" applyBorder="1" applyAlignment="1">
      <alignment vertical="center" wrapText="1"/>
    </xf>
    <xf numFmtId="0" fontId="17" fillId="13" borderId="1" xfId="0" applyFont="1" applyFill="1" applyBorder="1" applyAlignment="1">
      <alignment horizontal="center" vertical="center" wrapText="1"/>
    </xf>
    <xf numFmtId="165" fontId="17" fillId="13" borderId="1" xfId="0" applyNumberFormat="1" applyFont="1" applyFill="1" applyBorder="1" applyAlignment="1">
      <alignment horizontal="center" vertical="center" wrapText="1"/>
    </xf>
    <xf numFmtId="0" fontId="17" fillId="14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wrapText="1"/>
    </xf>
    <xf numFmtId="166" fontId="16" fillId="0" borderId="1" xfId="0" applyNumberFormat="1" applyFont="1" applyBorder="1" applyAlignment="1">
      <alignment horizontal="center" vertical="center" wrapText="1"/>
    </xf>
    <xf numFmtId="167" fontId="17" fillId="6" borderId="1" xfId="1" applyNumberFormat="1" applyFont="1" applyFill="1" applyBorder="1" applyAlignment="1">
      <alignment vertical="center" wrapText="1"/>
    </xf>
    <xf numFmtId="166" fontId="17" fillId="14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3" fontId="18" fillId="0" borderId="1" xfId="0" applyNumberFormat="1" applyFont="1" applyBorder="1" applyAlignment="1">
      <alignment horizontal="center" wrapText="1"/>
    </xf>
    <xf numFmtId="0" fontId="16" fillId="0" borderId="1" xfId="0" applyFont="1" applyBorder="1" applyAlignment="1">
      <alignment horizontal="center" vertical="center" wrapText="1"/>
    </xf>
    <xf numFmtId="166" fontId="19" fillId="0" borderId="1" xfId="0" applyNumberFormat="1" applyFont="1" applyBorder="1" applyAlignment="1">
      <alignment horizontal="center" vertical="center" wrapText="1"/>
    </xf>
    <xf numFmtId="166" fontId="19" fillId="3" borderId="1" xfId="0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66" fontId="19" fillId="0" borderId="0" xfId="0" applyNumberFormat="1" applyFont="1" applyAlignment="1">
      <alignment horizontal="center" vertical="center" wrapText="1"/>
    </xf>
    <xf numFmtId="0" fontId="19" fillId="13" borderId="1" xfId="0" applyFont="1" applyFill="1" applyBorder="1" applyAlignment="1">
      <alignment horizontal="center" vertical="center" wrapText="1"/>
    </xf>
    <xf numFmtId="0" fontId="21" fillId="0" borderId="17" xfId="0" applyFont="1" applyBorder="1" applyAlignment="1">
      <alignment horizontal="right" wrapText="1"/>
    </xf>
    <xf numFmtId="14" fontId="21" fillId="0" borderId="17" xfId="0" applyNumberFormat="1" applyFont="1" applyBorder="1" applyAlignment="1">
      <alignment wrapText="1"/>
    </xf>
    <xf numFmtId="164" fontId="16" fillId="0" borderId="1" xfId="1" applyNumberFormat="1" applyFont="1" applyBorder="1" applyAlignment="1">
      <alignment horizontal="center" vertical="center" wrapText="1"/>
    </xf>
    <xf numFmtId="0" fontId="23" fillId="0" borderId="0" xfId="0" applyFont="1"/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vertical="center" wrapText="1"/>
    </xf>
    <xf numFmtId="0" fontId="23" fillId="0" borderId="1" xfId="0" quotePrefix="1" applyFont="1" applyBorder="1" applyAlignment="1">
      <alignment vertical="center" wrapText="1"/>
    </xf>
    <xf numFmtId="14" fontId="23" fillId="0" borderId="1" xfId="0" applyNumberFormat="1" applyFont="1" applyBorder="1" applyAlignment="1">
      <alignment horizontal="center" vertical="center" wrapText="1"/>
    </xf>
    <xf numFmtId="0" fontId="23" fillId="0" borderId="1" xfId="0" applyFont="1" applyBorder="1"/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4" fillId="15" borderId="1" xfId="0" applyFont="1" applyFill="1" applyBorder="1" applyAlignment="1">
      <alignment horizontal="center" vertical="center" wrapText="1"/>
    </xf>
    <xf numFmtId="166" fontId="18" fillId="5" borderId="1" xfId="0" applyNumberFormat="1" applyFont="1" applyFill="1" applyBorder="1" applyAlignment="1">
      <alignment horizontal="center" vertical="center" wrapText="1"/>
    </xf>
    <xf numFmtId="14" fontId="25" fillId="0" borderId="17" xfId="0" applyNumberFormat="1" applyFont="1" applyBorder="1" applyAlignment="1">
      <alignment horizontal="right" wrapText="1"/>
    </xf>
    <xf numFmtId="165" fontId="18" fillId="0" borderId="1" xfId="0" applyNumberFormat="1" applyFont="1" applyBorder="1" applyAlignment="1">
      <alignment horizontal="center" vertical="center" wrapText="1"/>
    </xf>
    <xf numFmtId="3" fontId="18" fillId="0" borderId="1" xfId="0" applyNumberFormat="1" applyFont="1" applyBorder="1" applyAlignment="1">
      <alignment horizontal="center" vertical="center" wrapText="1"/>
    </xf>
    <xf numFmtId="0" fontId="26" fillId="15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vertical="center" wrapText="1"/>
    </xf>
    <xf numFmtId="0" fontId="27" fillId="0" borderId="1" xfId="0" quotePrefix="1" applyFont="1" applyBorder="1" applyAlignment="1">
      <alignment vertical="center" wrapText="1"/>
    </xf>
    <xf numFmtId="14" fontId="27" fillId="0" borderId="1" xfId="0" applyNumberFormat="1" applyFont="1" applyBorder="1" applyAlignment="1">
      <alignment horizontal="center" vertical="center" wrapText="1"/>
    </xf>
    <xf numFmtId="0" fontId="27" fillId="0" borderId="1" xfId="0" applyFont="1" applyBorder="1"/>
    <xf numFmtId="0" fontId="27" fillId="0" borderId="1" xfId="0" applyFont="1" applyBorder="1" applyAlignment="1">
      <alignment horizontal="center"/>
    </xf>
    <xf numFmtId="0" fontId="19" fillId="6" borderId="1" xfId="0" applyFont="1" applyFill="1" applyBorder="1" applyAlignment="1">
      <alignment horizontal="center" wrapText="1"/>
    </xf>
    <xf numFmtId="0" fontId="17" fillId="14" borderId="1" xfId="0" applyFont="1" applyFill="1" applyBorder="1" applyAlignment="1">
      <alignment horizontal="center" vertical="center" wrapText="1"/>
    </xf>
    <xf numFmtId="166" fontId="17" fillId="13" borderId="1" xfId="0" applyNumberFormat="1" applyFont="1" applyFill="1" applyBorder="1" applyAlignment="1">
      <alignment horizontal="center" vertical="center" wrapText="1"/>
    </xf>
    <xf numFmtId="166" fontId="17" fillId="13" borderId="5" xfId="0" applyNumberFormat="1" applyFont="1" applyFill="1" applyBorder="1" applyAlignment="1">
      <alignment horizontal="center" vertical="center" wrapText="1"/>
    </xf>
    <xf numFmtId="166" fontId="17" fillId="13" borderId="6" xfId="0" applyNumberFormat="1" applyFont="1" applyFill="1" applyBorder="1" applyAlignment="1">
      <alignment horizontal="center" vertical="center" wrapText="1"/>
    </xf>
    <xf numFmtId="0" fontId="17" fillId="13" borderId="1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wrapText="1"/>
    </xf>
    <xf numFmtId="0" fontId="19" fillId="0" borderId="1" xfId="0" applyFont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6" fontId="8" fillId="0" borderId="2" xfId="0" applyNumberFormat="1" applyFont="1" applyBorder="1" applyAlignment="1">
      <alignment horizontal="center" vertical="center"/>
    </xf>
    <xf numFmtId="16" fontId="8" fillId="0" borderId="4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right" vertical="center"/>
    </xf>
    <xf numFmtId="164" fontId="3" fillId="2" borderId="4" xfId="0" applyNumberFormat="1" applyFont="1" applyFill="1" applyBorder="1" applyAlignment="1">
      <alignment horizontal="right" vertical="center"/>
    </xf>
    <xf numFmtId="164" fontId="6" fillId="0" borderId="2" xfId="1" applyNumberFormat="1" applyFont="1" applyBorder="1" applyAlignment="1">
      <alignment horizontal="left" vertical="center"/>
    </xf>
    <xf numFmtId="164" fontId="6" fillId="0" borderId="3" xfId="1" applyNumberFormat="1" applyFont="1" applyBorder="1" applyAlignment="1">
      <alignment horizontal="left" vertical="center"/>
    </xf>
    <xf numFmtId="164" fontId="6" fillId="0" borderId="4" xfId="1" applyNumberFormat="1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16" fontId="4" fillId="0" borderId="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164" fontId="5" fillId="0" borderId="6" xfId="1" applyNumberFormat="1" applyFont="1" applyBorder="1" applyAlignment="1">
      <alignment horizontal="center" vertical="center"/>
    </xf>
    <xf numFmtId="164" fontId="6" fillId="2" borderId="5" xfId="1" applyNumberFormat="1" applyFont="1" applyFill="1" applyBorder="1" applyAlignment="1">
      <alignment horizontal="center" vertical="center" wrapText="1"/>
    </xf>
    <xf numFmtId="164" fontId="6" fillId="2" borderId="6" xfId="1" applyNumberFormat="1" applyFont="1" applyFill="1" applyBorder="1" applyAlignment="1">
      <alignment horizontal="center" vertical="center" wrapText="1"/>
    </xf>
    <xf numFmtId="16" fontId="4" fillId="0" borderId="4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1" fillId="6" borderId="12" xfId="0" applyFont="1" applyFill="1" applyBorder="1"/>
    <xf numFmtId="0" fontId="12" fillId="5" borderId="15" xfId="0" applyFont="1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0" fontId="10" fillId="4" borderId="14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22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vertical="center" wrapText="1"/>
    </xf>
    <xf numFmtId="14" fontId="23" fillId="0" borderId="1" xfId="0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5" dT="2026-08-25T11:42:18.78" personId="{00000000-0000-0000-0000-000000000000}" id="{6FCE5859-BDB4-4EB3-A239-E86D10F1BE8C}">
    <text>Anh Thuận giữ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F13"/>
  <sheetViews>
    <sheetView zoomScaleNormal="100" workbookViewId="0">
      <pane xSplit="4" ySplit="7" topLeftCell="E8" activePane="bottomRight" state="frozen"/>
      <selection pane="topRight" activeCell="E1" sqref="E1"/>
      <selection pane="bottomLeft" activeCell="A7" sqref="A7"/>
      <selection pane="bottomRight" activeCell="S11" sqref="S11"/>
    </sheetView>
  </sheetViews>
  <sheetFormatPr defaultColWidth="9.140625" defaultRowHeight="12" x14ac:dyDescent="0.2"/>
  <cols>
    <col min="1" max="1" width="5.5703125" style="25" customWidth="1"/>
    <col min="2" max="2" width="46.85546875" style="6" customWidth="1"/>
    <col min="3" max="3" width="8.5703125" style="6" customWidth="1"/>
    <col min="4" max="4" width="9.42578125" style="6" customWidth="1"/>
    <col min="5" max="5" width="11" style="6" customWidth="1"/>
    <col min="6" max="8" width="9.42578125" style="6" customWidth="1"/>
    <col min="9" max="18" width="9" style="9" customWidth="1"/>
    <col min="19" max="22" width="9" style="26" customWidth="1"/>
    <col min="23" max="26" width="9" style="9" customWidth="1"/>
    <col min="27" max="27" width="10.140625" style="9" customWidth="1"/>
    <col min="28" max="28" width="15.42578125" style="9" customWidth="1"/>
    <col min="29" max="31" width="9" style="26" hidden="1" customWidth="1"/>
    <col min="32" max="32" width="13.5703125" style="26" hidden="1" customWidth="1"/>
    <col min="33" max="16384" width="9.140625" style="6"/>
  </cols>
  <sheetData>
    <row r="1" spans="1:32" s="3" customFormat="1" x14ac:dyDescent="0.2">
      <c r="A1" s="118" t="s">
        <v>0</v>
      </c>
      <c r="B1" s="118"/>
      <c r="C1" s="118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  <c r="W1" s="4"/>
      <c r="X1" s="4"/>
      <c r="Y1" s="4"/>
      <c r="Z1" s="4"/>
      <c r="AA1" s="4"/>
      <c r="AB1" s="4"/>
      <c r="AC1" s="5"/>
      <c r="AD1" s="5"/>
      <c r="AE1" s="5"/>
      <c r="AF1" s="5"/>
    </row>
    <row r="2" spans="1:32" s="3" customFormat="1" x14ac:dyDescent="0.2">
      <c r="A2" s="118" t="s">
        <v>15</v>
      </c>
      <c r="B2" s="118"/>
      <c r="C2" s="118"/>
      <c r="D2" s="118"/>
      <c r="E2" s="118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5"/>
      <c r="U2" s="5"/>
      <c r="V2" s="5"/>
      <c r="W2" s="4"/>
      <c r="X2" s="4"/>
      <c r="Y2" s="4"/>
      <c r="Z2" s="4"/>
      <c r="AA2" s="4"/>
      <c r="AB2" s="4"/>
      <c r="AC2" s="5"/>
      <c r="AD2" s="5"/>
      <c r="AE2" s="5"/>
      <c r="AF2" s="5"/>
    </row>
    <row r="3" spans="1:32" ht="32.25" customHeight="1" x14ac:dyDescent="0.2">
      <c r="A3" s="119" t="s">
        <v>17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</row>
    <row r="5" spans="1:32" ht="21.75" customHeight="1" x14ac:dyDescent="0.2">
      <c r="A5" s="120" t="s">
        <v>1</v>
      </c>
      <c r="B5" s="120" t="s">
        <v>2</v>
      </c>
      <c r="C5" s="120" t="s">
        <v>3</v>
      </c>
      <c r="D5" s="123" t="s">
        <v>5</v>
      </c>
      <c r="E5" s="126" t="s">
        <v>8</v>
      </c>
      <c r="F5" s="126" t="s">
        <v>4</v>
      </c>
      <c r="G5" s="133" t="s">
        <v>16</v>
      </c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5"/>
    </row>
    <row r="6" spans="1:32" ht="21.75" customHeight="1" x14ac:dyDescent="0.2">
      <c r="A6" s="121"/>
      <c r="B6" s="121"/>
      <c r="C6" s="121"/>
      <c r="D6" s="124"/>
      <c r="E6" s="127"/>
      <c r="F6" s="127"/>
      <c r="G6" s="131">
        <v>43797</v>
      </c>
      <c r="H6" s="132"/>
      <c r="I6" s="131">
        <v>43799</v>
      </c>
      <c r="J6" s="132"/>
      <c r="K6" s="131">
        <v>43771</v>
      </c>
      <c r="L6" s="132"/>
      <c r="M6" s="131">
        <v>43804</v>
      </c>
      <c r="N6" s="132"/>
      <c r="O6" s="131">
        <v>43808</v>
      </c>
      <c r="P6" s="132"/>
      <c r="Q6" s="129">
        <v>43811</v>
      </c>
      <c r="R6" s="130"/>
      <c r="S6" s="129">
        <v>43783</v>
      </c>
      <c r="T6" s="130"/>
      <c r="U6" s="129">
        <v>43815</v>
      </c>
      <c r="V6" s="130"/>
      <c r="W6" s="129">
        <v>43818</v>
      </c>
      <c r="X6" s="130"/>
      <c r="Y6" s="129">
        <v>43823</v>
      </c>
      <c r="Z6" s="130"/>
      <c r="AA6" s="129">
        <v>43763</v>
      </c>
      <c r="AB6" s="130"/>
      <c r="AC6" s="142"/>
      <c r="AD6" s="148"/>
      <c r="AE6" s="142"/>
      <c r="AF6" s="143"/>
    </row>
    <row r="7" spans="1:32" s="9" customFormat="1" ht="49.5" customHeight="1" x14ac:dyDescent="0.25">
      <c r="A7" s="122"/>
      <c r="B7" s="122"/>
      <c r="C7" s="122"/>
      <c r="D7" s="125"/>
      <c r="E7" s="128"/>
      <c r="F7" s="128"/>
      <c r="G7" s="7" t="s">
        <v>13</v>
      </c>
      <c r="H7" s="8" t="s">
        <v>11</v>
      </c>
      <c r="I7" s="7" t="s">
        <v>13</v>
      </c>
      <c r="J7" s="8" t="s">
        <v>11</v>
      </c>
      <c r="K7" s="43"/>
      <c r="L7" s="43"/>
      <c r="M7" s="7" t="s">
        <v>13</v>
      </c>
      <c r="N7" s="8" t="s">
        <v>11</v>
      </c>
      <c r="O7" s="7" t="s">
        <v>13</v>
      </c>
      <c r="P7" s="8" t="s">
        <v>11</v>
      </c>
      <c r="Q7" s="7" t="s">
        <v>13</v>
      </c>
      <c r="R7" s="8" t="s">
        <v>11</v>
      </c>
      <c r="S7" s="7" t="s">
        <v>13</v>
      </c>
      <c r="T7" s="8" t="s">
        <v>11</v>
      </c>
      <c r="U7" s="7" t="s">
        <v>13</v>
      </c>
      <c r="V7" s="8" t="s">
        <v>11</v>
      </c>
      <c r="W7" s="7" t="s">
        <v>13</v>
      </c>
      <c r="X7" s="8" t="s">
        <v>11</v>
      </c>
      <c r="Y7" s="7" t="s">
        <v>13</v>
      </c>
      <c r="Z7" s="8" t="s">
        <v>11</v>
      </c>
      <c r="AA7" s="7" t="s">
        <v>13</v>
      </c>
      <c r="AB7" s="8" t="s">
        <v>11</v>
      </c>
      <c r="AC7" s="7" t="s">
        <v>13</v>
      </c>
      <c r="AD7" s="8" t="s">
        <v>11</v>
      </c>
      <c r="AE7" s="7" t="s">
        <v>13</v>
      </c>
      <c r="AF7" s="8" t="s">
        <v>11</v>
      </c>
    </row>
    <row r="8" spans="1:32" s="15" customFormat="1" ht="27.75" customHeight="1" x14ac:dyDescent="0.2">
      <c r="A8" s="16"/>
      <c r="B8" s="27" t="s">
        <v>14</v>
      </c>
      <c r="C8" s="41" t="s">
        <v>23</v>
      </c>
      <c r="D8" s="28">
        <v>35000</v>
      </c>
      <c r="E8" s="29">
        <v>100000</v>
      </c>
      <c r="F8" s="18" t="s">
        <v>19</v>
      </c>
      <c r="G8" s="18"/>
      <c r="H8" s="17"/>
      <c r="I8" s="17"/>
      <c r="J8" s="17"/>
      <c r="K8" s="17"/>
      <c r="L8" s="17"/>
      <c r="M8" s="17"/>
      <c r="N8" s="19"/>
      <c r="O8" s="19"/>
      <c r="P8" s="19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</row>
    <row r="9" spans="1:32" s="15" customFormat="1" ht="34.5" customHeight="1" x14ac:dyDescent="0.2">
      <c r="A9" s="144">
        <v>2</v>
      </c>
      <c r="B9" s="20" t="s">
        <v>9</v>
      </c>
      <c r="C9" s="146" t="s">
        <v>7</v>
      </c>
      <c r="D9" s="30">
        <v>175000</v>
      </c>
      <c r="E9" s="11">
        <v>500000</v>
      </c>
      <c r="F9" s="10" t="s">
        <v>6</v>
      </c>
      <c r="G9" s="10"/>
      <c r="H9" s="17"/>
      <c r="I9" s="11"/>
      <c r="J9" s="17"/>
      <c r="K9" s="11"/>
      <c r="L9" s="17"/>
      <c r="M9" s="12"/>
      <c r="N9" s="13"/>
      <c r="O9" s="13"/>
      <c r="P9" s="31"/>
      <c r="Q9" s="14"/>
      <c r="R9" s="14"/>
      <c r="S9" s="12"/>
      <c r="T9" s="12"/>
      <c r="U9" s="12"/>
      <c r="V9" s="17"/>
      <c r="W9" s="12"/>
      <c r="X9" s="14"/>
      <c r="Y9" s="14"/>
      <c r="Z9" s="14"/>
      <c r="AA9" s="14"/>
      <c r="AB9" s="14"/>
      <c r="AC9" s="12"/>
      <c r="AD9" s="14"/>
      <c r="AE9" s="12"/>
      <c r="AF9" s="12"/>
    </row>
    <row r="10" spans="1:32" s="15" customFormat="1" ht="31.5" customHeight="1" x14ac:dyDescent="0.2">
      <c r="A10" s="145"/>
      <c r="B10" s="20" t="s">
        <v>10</v>
      </c>
      <c r="C10" s="147"/>
      <c r="D10" s="30">
        <v>175000</v>
      </c>
      <c r="E10" s="11">
        <v>650000</v>
      </c>
      <c r="F10" s="10" t="s">
        <v>6</v>
      </c>
      <c r="G10" s="10"/>
      <c r="H10" s="17"/>
      <c r="I10" s="11"/>
      <c r="J10" s="17"/>
      <c r="K10" s="11"/>
      <c r="L10" s="17"/>
      <c r="M10" s="12"/>
      <c r="N10" s="13"/>
      <c r="O10" s="13"/>
      <c r="P10" s="31"/>
      <c r="Q10" s="14"/>
      <c r="R10" s="14"/>
      <c r="S10" s="12"/>
      <c r="T10" s="12"/>
      <c r="U10" s="12"/>
      <c r="V10" s="17"/>
      <c r="W10" s="12"/>
      <c r="X10" s="14"/>
      <c r="Y10" s="14"/>
      <c r="Z10" s="14"/>
      <c r="AA10" s="14"/>
      <c r="AB10" s="14"/>
      <c r="AC10" s="12"/>
      <c r="AD10" s="14"/>
      <c r="AE10" s="12"/>
      <c r="AF10" s="12"/>
    </row>
    <row r="11" spans="1:32" s="24" customFormat="1" ht="27.75" customHeight="1" x14ac:dyDescent="0.2">
      <c r="A11" s="138" t="s">
        <v>12</v>
      </c>
      <c r="B11" s="139"/>
      <c r="C11" s="139"/>
      <c r="D11" s="139"/>
      <c r="E11" s="139"/>
      <c r="F11" s="140"/>
      <c r="G11" s="21"/>
      <c r="H11" s="21"/>
      <c r="I11" s="21"/>
      <c r="J11" s="21"/>
      <c r="K11" s="21"/>
      <c r="L11" s="21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3"/>
      <c r="X11" s="23"/>
      <c r="Y11" s="23"/>
      <c r="Z11" s="23"/>
      <c r="AA11" s="23"/>
      <c r="AB11" s="23"/>
      <c r="AC11" s="22"/>
      <c r="AD11" s="22"/>
      <c r="AE11" s="22"/>
      <c r="AF11" s="22"/>
    </row>
    <row r="12" spans="1:32" ht="38.25" customHeight="1" x14ac:dyDescent="0.2">
      <c r="B12" s="141" t="s">
        <v>18</v>
      </c>
      <c r="C12" s="141"/>
      <c r="D12" s="141"/>
      <c r="E12" s="141"/>
      <c r="F12" s="141"/>
      <c r="G12" s="141"/>
      <c r="H12" s="141"/>
      <c r="I12" s="141"/>
      <c r="AB12" s="42">
        <f>X11+V11+T11+R11+P11+N11+J11+H11+L11+Z11</f>
        <v>0</v>
      </c>
      <c r="AC12" s="136"/>
      <c r="AD12" s="136"/>
      <c r="AE12" s="136"/>
      <c r="AF12" s="137"/>
    </row>
    <row r="13" spans="1:32" x14ac:dyDescent="0.2">
      <c r="AB13" s="42"/>
    </row>
  </sheetData>
  <mergeCells count="28">
    <mergeCell ref="AC12:AF12"/>
    <mergeCell ref="A11:F11"/>
    <mergeCell ref="B12:I12"/>
    <mergeCell ref="I6:J6"/>
    <mergeCell ref="M6:N6"/>
    <mergeCell ref="Q6:R6"/>
    <mergeCell ref="S6:T6"/>
    <mergeCell ref="U6:V6"/>
    <mergeCell ref="W6:X6"/>
    <mergeCell ref="AE6:AF6"/>
    <mergeCell ref="A9:A10"/>
    <mergeCell ref="C9:C10"/>
    <mergeCell ref="AC6:AD6"/>
    <mergeCell ref="G6:H6"/>
    <mergeCell ref="A1:C1"/>
    <mergeCell ref="A2:E2"/>
    <mergeCell ref="A3:AF3"/>
    <mergeCell ref="A5:A7"/>
    <mergeCell ref="B5:B7"/>
    <mergeCell ref="C5:C7"/>
    <mergeCell ref="D5:D7"/>
    <mergeCell ref="E5:E7"/>
    <mergeCell ref="F5:F7"/>
    <mergeCell ref="Y6:Z6"/>
    <mergeCell ref="O6:P6"/>
    <mergeCell ref="AA6:AB6"/>
    <mergeCell ref="G5:AF5"/>
    <mergeCell ref="K6:L6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62295-03A0-41DF-B034-847BC37962EC}">
  <dimension ref="A1:N25"/>
  <sheetViews>
    <sheetView showGridLines="0" tabSelected="1" zoomScaleNormal="100" zoomScaleSheetLayoutView="100" workbookViewId="0">
      <selection activeCell="V22" sqref="V22"/>
    </sheetView>
  </sheetViews>
  <sheetFormatPr defaultColWidth="9.140625" defaultRowHeight="16.5" x14ac:dyDescent="0.4"/>
  <cols>
    <col min="1" max="1" width="5.140625" style="67" customWidth="1"/>
    <col min="2" max="2" width="14.140625" style="63" customWidth="1"/>
    <col min="3" max="3" width="12.140625" style="63" bestFit="1" customWidth="1"/>
    <col min="4" max="4" width="13.28515625" style="63" bestFit="1" customWidth="1"/>
    <col min="5" max="5" width="14.28515625" style="63" customWidth="1"/>
    <col min="6" max="6" width="14.5703125" style="63" customWidth="1"/>
    <col min="7" max="7" width="2.85546875" style="63" customWidth="1"/>
    <col min="8" max="8" width="4.42578125" style="63" customWidth="1"/>
    <col min="9" max="9" width="12.28515625" style="63" customWidth="1"/>
    <col min="10" max="11" width="11.85546875" style="63" customWidth="1"/>
    <col min="12" max="12" width="13.5703125" style="63" customWidth="1"/>
    <col min="13" max="13" width="9.5703125" style="63" customWidth="1"/>
    <col min="14" max="16384" width="9.140625" style="63"/>
  </cols>
  <sheetData>
    <row r="1" spans="1:14" ht="23.45" customHeight="1" x14ac:dyDescent="0.4">
      <c r="A1" s="114" t="s">
        <v>42</v>
      </c>
      <c r="B1" s="114"/>
      <c r="C1" s="114"/>
      <c r="D1" s="114"/>
      <c r="E1" s="114"/>
      <c r="F1" s="114"/>
    </row>
    <row r="2" spans="1:14" ht="17.100000000000001" customHeight="1" x14ac:dyDescent="0.4">
      <c r="E2" s="85" t="s">
        <v>53</v>
      </c>
      <c r="F2" s="98">
        <v>46227</v>
      </c>
    </row>
    <row r="3" spans="1:14" ht="24.6" customHeight="1" x14ac:dyDescent="0.4">
      <c r="A3" s="84" t="s">
        <v>43</v>
      </c>
      <c r="B3" s="84" t="s">
        <v>49</v>
      </c>
      <c r="C3" s="84" t="s">
        <v>47</v>
      </c>
      <c r="D3" s="84" t="s">
        <v>48</v>
      </c>
      <c r="E3" s="84" t="s">
        <v>46</v>
      </c>
      <c r="F3" s="84" t="s">
        <v>45</v>
      </c>
    </row>
    <row r="4" spans="1:14" ht="32.1" customHeight="1" x14ac:dyDescent="0.4">
      <c r="A4" s="78">
        <v>1</v>
      </c>
      <c r="B4" s="78">
        <v>2023</v>
      </c>
      <c r="C4" s="78"/>
      <c r="D4" s="73"/>
      <c r="E4" s="73">
        <v>3290000</v>
      </c>
      <c r="F4" s="78" t="s">
        <v>52</v>
      </c>
    </row>
    <row r="5" spans="1:14" ht="32.1" customHeight="1" x14ac:dyDescent="0.4">
      <c r="A5" s="78">
        <v>2</v>
      </c>
      <c r="B5" s="78">
        <v>2024</v>
      </c>
      <c r="C5" s="87">
        <v>2910000</v>
      </c>
      <c r="D5" s="73">
        <v>19720000</v>
      </c>
      <c r="E5" s="73">
        <v>22630000</v>
      </c>
      <c r="F5" s="78"/>
    </row>
    <row r="6" spans="1:14" ht="32.1" customHeight="1" x14ac:dyDescent="0.4">
      <c r="A6" s="78">
        <v>3</v>
      </c>
      <c r="B6" s="78">
        <v>2025</v>
      </c>
      <c r="C6" s="87">
        <v>4145000</v>
      </c>
      <c r="D6" s="73">
        <v>20990000</v>
      </c>
      <c r="E6" s="73">
        <v>25135000</v>
      </c>
      <c r="F6" s="78"/>
    </row>
    <row r="7" spans="1:14" ht="32.450000000000003" customHeight="1" x14ac:dyDescent="0.4">
      <c r="A7" s="78">
        <v>4</v>
      </c>
      <c r="B7" s="78">
        <v>2026</v>
      </c>
      <c r="C7" s="73">
        <f>E24</f>
        <v>1410000</v>
      </c>
      <c r="D7" s="73">
        <f>L24</f>
        <v>7405000</v>
      </c>
      <c r="E7" s="73">
        <f>SUM(C7:D7)</f>
        <v>8815000</v>
      </c>
      <c r="F7" s="78"/>
    </row>
    <row r="8" spans="1:14" ht="27.6" customHeight="1" x14ac:dyDescent="0.4">
      <c r="A8" s="115" t="s">
        <v>80</v>
      </c>
      <c r="B8" s="115"/>
      <c r="C8" s="79">
        <f>SUM(C4:C7)</f>
        <v>8465000</v>
      </c>
      <c r="D8" s="79">
        <f>SUM(D4:D7)</f>
        <v>48115000</v>
      </c>
      <c r="E8" s="79">
        <f>SUM(E4:E7)</f>
        <v>59870000</v>
      </c>
      <c r="F8" s="81"/>
    </row>
    <row r="9" spans="1:14" ht="27.6" customHeight="1" x14ac:dyDescent="0.4">
      <c r="A9" s="115" t="s">
        <v>78</v>
      </c>
      <c r="B9" s="115"/>
      <c r="C9" s="115"/>
      <c r="D9" s="115"/>
      <c r="E9" s="79">
        <v>21000000</v>
      </c>
      <c r="F9" s="81"/>
    </row>
    <row r="10" spans="1:14" ht="27.6" customHeight="1" x14ac:dyDescent="0.4">
      <c r="A10" s="115" t="s">
        <v>87</v>
      </c>
      <c r="B10" s="115"/>
      <c r="C10" s="115"/>
      <c r="D10" s="115"/>
      <c r="E10" s="79">
        <v>20500000</v>
      </c>
      <c r="F10" s="81"/>
    </row>
    <row r="11" spans="1:14" ht="23.25" customHeight="1" x14ac:dyDescent="0.4">
      <c r="A11" s="116" t="s">
        <v>79</v>
      </c>
      <c r="B11" s="116"/>
      <c r="C11" s="116"/>
      <c r="D11" s="116"/>
      <c r="E11" s="80">
        <f>E8-E9-E10</f>
        <v>18370000</v>
      </c>
      <c r="F11" s="79"/>
    </row>
    <row r="12" spans="1:14" ht="48.6" customHeight="1" x14ac:dyDescent="0.4">
      <c r="A12" s="117" t="s">
        <v>81</v>
      </c>
      <c r="B12" s="117"/>
      <c r="C12" s="117"/>
      <c r="D12" s="117"/>
      <c r="E12" s="117"/>
      <c r="F12" s="117"/>
      <c r="H12" s="117" t="s">
        <v>82</v>
      </c>
      <c r="I12" s="117"/>
      <c r="J12" s="117"/>
      <c r="K12" s="117"/>
      <c r="L12" s="117"/>
      <c r="M12" s="117"/>
    </row>
    <row r="13" spans="1:14" s="76" customFormat="1" ht="24" customHeight="1" x14ac:dyDescent="0.25">
      <c r="A13" s="69" t="s">
        <v>20</v>
      </c>
      <c r="B13" s="70" t="s">
        <v>21</v>
      </c>
      <c r="C13" s="109" t="s">
        <v>30</v>
      </c>
      <c r="D13" s="109"/>
      <c r="E13" s="109"/>
      <c r="F13" s="110" t="s">
        <v>45</v>
      </c>
      <c r="H13" s="69" t="s">
        <v>20</v>
      </c>
      <c r="I13" s="70" t="s">
        <v>21</v>
      </c>
      <c r="J13" s="109" t="s">
        <v>30</v>
      </c>
      <c r="K13" s="109"/>
      <c r="L13" s="109"/>
      <c r="M13" s="111" t="s">
        <v>45</v>
      </c>
    </row>
    <row r="14" spans="1:14" s="76" customFormat="1" ht="33" customHeight="1" x14ac:dyDescent="0.25">
      <c r="A14" s="113" t="s">
        <v>83</v>
      </c>
      <c r="B14" s="113"/>
      <c r="C14" s="71" t="s">
        <v>40</v>
      </c>
      <c r="D14" s="71" t="s">
        <v>41</v>
      </c>
      <c r="E14" s="75" t="s">
        <v>11</v>
      </c>
      <c r="F14" s="110"/>
      <c r="H14" s="113" t="s">
        <v>83</v>
      </c>
      <c r="I14" s="113"/>
      <c r="J14" s="71" t="s">
        <v>40</v>
      </c>
      <c r="K14" s="71" t="s">
        <v>41</v>
      </c>
      <c r="L14" s="75" t="s">
        <v>11</v>
      </c>
      <c r="M14" s="112"/>
    </row>
    <row r="15" spans="1:14" ht="24" customHeight="1" x14ac:dyDescent="0.4">
      <c r="A15" s="72">
        <v>1</v>
      </c>
      <c r="B15" s="64">
        <v>46060</v>
      </c>
      <c r="C15" s="73">
        <v>90</v>
      </c>
      <c r="D15" s="77">
        <v>5000</v>
      </c>
      <c r="E15" s="65">
        <f>C15*D15</f>
        <v>450000</v>
      </c>
      <c r="F15" s="66"/>
      <c r="H15" s="72">
        <f>IF(I15="","",COUNTA($I$15:I15))</f>
        <v>1</v>
      </c>
      <c r="I15" s="64">
        <v>46043</v>
      </c>
      <c r="J15" s="73">
        <v>280</v>
      </c>
      <c r="K15" s="77">
        <v>5000</v>
      </c>
      <c r="L15" s="65">
        <f t="shared" ref="L15:L23" si="0">K15*J15</f>
        <v>1400000</v>
      </c>
      <c r="M15" s="66"/>
      <c r="N15" s="63" t="s">
        <v>88</v>
      </c>
    </row>
    <row r="16" spans="1:14" ht="24" customHeight="1" x14ac:dyDescent="0.4">
      <c r="A16" s="72">
        <v>2</v>
      </c>
      <c r="B16" s="64">
        <v>46151</v>
      </c>
      <c r="C16" s="73">
        <v>108</v>
      </c>
      <c r="D16" s="77">
        <v>5000</v>
      </c>
      <c r="E16" s="65">
        <f>C16*D16</f>
        <v>540000</v>
      </c>
      <c r="F16" s="66"/>
      <c r="H16" s="72">
        <f>IF(I16="","",COUNTA($I$15:I16))</f>
        <v>2</v>
      </c>
      <c r="I16" s="64">
        <v>46060</v>
      </c>
      <c r="J16" s="73">
        <v>196</v>
      </c>
      <c r="K16" s="77">
        <v>5000</v>
      </c>
      <c r="L16" s="65">
        <f t="shared" si="0"/>
        <v>980000</v>
      </c>
      <c r="M16" s="66"/>
      <c r="N16" s="63" t="s">
        <v>88</v>
      </c>
    </row>
    <row r="17" spans="1:14" ht="24" customHeight="1" x14ac:dyDescent="0.4">
      <c r="A17" s="72">
        <v>3</v>
      </c>
      <c r="B17" s="64">
        <v>46227</v>
      </c>
      <c r="C17" s="73">
        <v>54</v>
      </c>
      <c r="D17" s="77">
        <v>5000</v>
      </c>
      <c r="E17" s="65">
        <f>C17*D17</f>
        <v>270000</v>
      </c>
      <c r="F17" s="66"/>
      <c r="H17" s="72">
        <v>3</v>
      </c>
      <c r="I17" s="99">
        <v>46098</v>
      </c>
      <c r="J17" s="73">
        <v>125</v>
      </c>
      <c r="K17" s="100">
        <v>5000</v>
      </c>
      <c r="L17" s="97">
        <f t="shared" si="0"/>
        <v>625000</v>
      </c>
      <c r="M17" s="66"/>
      <c r="N17" s="63" t="s">
        <v>88</v>
      </c>
    </row>
    <row r="18" spans="1:14" ht="24" customHeight="1" x14ac:dyDescent="0.4">
      <c r="A18" s="72">
        <v>4</v>
      </c>
      <c r="B18" s="64">
        <v>46259</v>
      </c>
      <c r="C18" s="73">
        <v>30</v>
      </c>
      <c r="D18" s="77">
        <v>5000</v>
      </c>
      <c r="E18" s="65">
        <f>C18*D18</f>
        <v>150000</v>
      </c>
      <c r="F18" s="66"/>
      <c r="H18" s="72">
        <v>4</v>
      </c>
      <c r="I18" s="64">
        <v>46115</v>
      </c>
      <c r="J18" s="73">
        <v>150</v>
      </c>
      <c r="K18" s="100">
        <v>5000</v>
      </c>
      <c r="L18" s="65">
        <f t="shared" si="0"/>
        <v>750000</v>
      </c>
      <c r="M18" s="66"/>
      <c r="N18" s="63" t="s">
        <v>68</v>
      </c>
    </row>
    <row r="19" spans="1:14" ht="24" customHeight="1" x14ac:dyDescent="0.4">
      <c r="A19" s="72"/>
      <c r="B19" s="64"/>
      <c r="C19" s="73"/>
      <c r="D19" s="77"/>
      <c r="E19" s="65"/>
      <c r="F19" s="66"/>
      <c r="H19" s="72">
        <v>5</v>
      </c>
      <c r="I19" s="64">
        <v>46151</v>
      </c>
      <c r="J19" s="73">
        <v>330</v>
      </c>
      <c r="K19" s="100">
        <v>5000</v>
      </c>
      <c r="L19" s="65">
        <f t="shared" si="0"/>
        <v>1650000</v>
      </c>
      <c r="M19" s="66"/>
      <c r="N19" s="63" t="s">
        <v>68</v>
      </c>
    </row>
    <row r="20" spans="1:14" ht="24" customHeight="1" x14ac:dyDescent="0.4">
      <c r="A20" s="72"/>
      <c r="B20" s="64"/>
      <c r="C20" s="73"/>
      <c r="D20" s="77"/>
      <c r="E20" s="65"/>
      <c r="F20" s="66"/>
      <c r="H20" s="72">
        <v>6</v>
      </c>
      <c r="I20" s="64">
        <v>46190</v>
      </c>
      <c r="J20" s="73">
        <v>200</v>
      </c>
      <c r="K20" s="100">
        <v>5000</v>
      </c>
      <c r="L20" s="65">
        <f t="shared" si="0"/>
        <v>1000000</v>
      </c>
      <c r="M20" s="66"/>
      <c r="N20" s="63" t="s">
        <v>68</v>
      </c>
    </row>
    <row r="21" spans="1:14" ht="24" customHeight="1" x14ac:dyDescent="0.4">
      <c r="A21" s="72"/>
      <c r="B21" s="64"/>
      <c r="C21" s="73"/>
      <c r="D21" s="77"/>
      <c r="E21" s="65"/>
      <c r="F21" s="66"/>
      <c r="H21" s="72">
        <v>7</v>
      </c>
      <c r="I21" s="64">
        <v>46227</v>
      </c>
      <c r="J21" s="73">
        <v>90</v>
      </c>
      <c r="K21" s="100">
        <v>5000</v>
      </c>
      <c r="L21" s="65">
        <f t="shared" si="0"/>
        <v>450000</v>
      </c>
      <c r="M21" s="66"/>
      <c r="N21" s="63" t="s">
        <v>68</v>
      </c>
    </row>
    <row r="22" spans="1:14" ht="24" customHeight="1" x14ac:dyDescent="0.4">
      <c r="A22" s="72"/>
      <c r="B22" s="64"/>
      <c r="C22" s="73"/>
      <c r="D22" s="77"/>
      <c r="E22" s="65"/>
      <c r="F22" s="66"/>
      <c r="H22" s="72">
        <v>8</v>
      </c>
      <c r="I22" s="64">
        <v>46259</v>
      </c>
      <c r="J22" s="73">
        <v>110</v>
      </c>
      <c r="K22" s="100">
        <v>5000</v>
      </c>
      <c r="L22" s="65">
        <f t="shared" si="0"/>
        <v>550000</v>
      </c>
      <c r="M22" s="66"/>
      <c r="N22" s="63" t="s">
        <v>68</v>
      </c>
    </row>
    <row r="23" spans="1:14" ht="24" customHeight="1" x14ac:dyDescent="0.4">
      <c r="A23" s="72" t="str">
        <f>IF(B23="","",COUNTA($B$15:B23))</f>
        <v/>
      </c>
      <c r="B23" s="64"/>
      <c r="C23" s="73"/>
      <c r="D23" s="77"/>
      <c r="E23" s="65"/>
      <c r="F23" s="66"/>
      <c r="H23" s="72" t="str">
        <f>IF(I23="","",COUNTA($I$15:I23))</f>
        <v/>
      </c>
      <c r="I23" s="64"/>
      <c r="J23" s="73"/>
      <c r="K23" s="77"/>
      <c r="L23" s="65">
        <f t="shared" si="0"/>
        <v>0</v>
      </c>
      <c r="M23" s="66"/>
    </row>
    <row r="24" spans="1:14" ht="26.25" customHeight="1" x14ac:dyDescent="0.4">
      <c r="A24" s="108" t="s">
        <v>24</v>
      </c>
      <c r="B24" s="108"/>
      <c r="C24" s="74">
        <f>SUM(C15:C23)</f>
        <v>282</v>
      </c>
      <c r="D24" s="74"/>
      <c r="E24" s="68">
        <f>SUM(E15:E23)</f>
        <v>1410000</v>
      </c>
      <c r="F24" s="68"/>
      <c r="H24" s="108" t="s">
        <v>24</v>
      </c>
      <c r="I24" s="108"/>
      <c r="J24" s="74">
        <f>SUM(J15:J23)</f>
        <v>1481</v>
      </c>
      <c r="K24" s="74"/>
      <c r="L24" s="68">
        <f>SUM(L15:L23)</f>
        <v>7405000</v>
      </c>
      <c r="M24" s="68"/>
    </row>
    <row r="25" spans="1:14" x14ac:dyDescent="0.4">
      <c r="H25" s="67"/>
    </row>
  </sheetData>
  <mergeCells count="15">
    <mergeCell ref="M13:M14"/>
    <mergeCell ref="A14:B14"/>
    <mergeCell ref="H14:I14"/>
    <mergeCell ref="A1:F1"/>
    <mergeCell ref="A8:B8"/>
    <mergeCell ref="A9:D9"/>
    <mergeCell ref="A11:D11"/>
    <mergeCell ref="A12:F12"/>
    <mergeCell ref="H12:M12"/>
    <mergeCell ref="A10:D10"/>
    <mergeCell ref="A24:B24"/>
    <mergeCell ref="H24:I24"/>
    <mergeCell ref="C13:E13"/>
    <mergeCell ref="F13:F14"/>
    <mergeCell ref="J13:L13"/>
  </mergeCells>
  <pageMargins left="0.19" right="0.17" top="0.5" bottom="0.75" header="0.3" footer="0.3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79FD9-A415-4651-BE22-C3F667185814}">
  <dimension ref="A1:M30"/>
  <sheetViews>
    <sheetView showGridLines="0" topLeftCell="A10" zoomScaleNormal="100" zoomScaleSheetLayoutView="100" workbookViewId="0">
      <selection activeCell="J29" activeCellId="1" sqref="C29 J29"/>
    </sheetView>
  </sheetViews>
  <sheetFormatPr defaultColWidth="9.140625" defaultRowHeight="16.5" x14ac:dyDescent="0.4"/>
  <cols>
    <col min="1" max="1" width="5.140625" style="67" customWidth="1"/>
    <col min="2" max="2" width="14.140625" style="63" customWidth="1"/>
    <col min="3" max="3" width="12.140625" style="63" bestFit="1" customWidth="1"/>
    <col min="4" max="4" width="13.28515625" style="63" bestFit="1" customWidth="1"/>
    <col min="5" max="5" width="14.28515625" style="63" customWidth="1"/>
    <col min="6" max="6" width="19.140625" style="63" bestFit="1" customWidth="1"/>
    <col min="7" max="7" width="2.85546875" style="63" customWidth="1"/>
    <col min="8" max="8" width="4.42578125" style="63" customWidth="1"/>
    <col min="9" max="9" width="12.28515625" style="63" customWidth="1"/>
    <col min="10" max="11" width="11.85546875" style="63" customWidth="1"/>
    <col min="12" max="12" width="13.5703125" style="63" customWidth="1"/>
    <col min="13" max="13" width="9.5703125" style="63" customWidth="1"/>
    <col min="14" max="16384" width="9.140625" style="63"/>
  </cols>
  <sheetData>
    <row r="1" spans="1:13" ht="23.45" customHeight="1" x14ac:dyDescent="0.4">
      <c r="A1" s="114" t="s">
        <v>42</v>
      </c>
      <c r="B1" s="114"/>
      <c r="C1" s="114"/>
      <c r="D1" s="114"/>
      <c r="E1" s="114"/>
      <c r="F1" s="114"/>
    </row>
    <row r="2" spans="1:13" ht="17.100000000000001" customHeight="1" x14ac:dyDescent="0.4">
      <c r="E2" s="85" t="s">
        <v>53</v>
      </c>
      <c r="F2" s="98">
        <v>46016</v>
      </c>
    </row>
    <row r="3" spans="1:13" ht="24.6" customHeight="1" x14ac:dyDescent="0.4">
      <c r="A3" s="84" t="s">
        <v>43</v>
      </c>
      <c r="B3" s="84" t="s">
        <v>49</v>
      </c>
      <c r="C3" s="84" t="s">
        <v>47</v>
      </c>
      <c r="D3" s="84" t="s">
        <v>48</v>
      </c>
      <c r="E3" s="84" t="s">
        <v>46</v>
      </c>
      <c r="F3" s="84" t="s">
        <v>45</v>
      </c>
    </row>
    <row r="4" spans="1:13" ht="32.1" customHeight="1" x14ac:dyDescent="0.4">
      <c r="A4" s="78">
        <v>1</v>
      </c>
      <c r="B4" s="78">
        <v>2023</v>
      </c>
      <c r="C4" s="78"/>
      <c r="D4" s="73"/>
      <c r="E4" s="73">
        <v>3290000</v>
      </c>
      <c r="F4" s="78" t="s">
        <v>52</v>
      </c>
    </row>
    <row r="5" spans="1:13" ht="32.1" customHeight="1" x14ac:dyDescent="0.4">
      <c r="A5" s="78">
        <v>2</v>
      </c>
      <c r="B5" s="78">
        <v>2024</v>
      </c>
      <c r="C5" s="87">
        <v>2910000</v>
      </c>
      <c r="D5" s="73">
        <v>19720000</v>
      </c>
      <c r="E5" s="73">
        <v>22630000</v>
      </c>
      <c r="F5" s="78"/>
    </row>
    <row r="6" spans="1:13" ht="32.450000000000003" customHeight="1" x14ac:dyDescent="0.4">
      <c r="A6" s="78">
        <v>3</v>
      </c>
      <c r="B6" s="78">
        <v>2025</v>
      </c>
      <c r="C6" s="73">
        <f>E29</f>
        <v>4145000</v>
      </c>
      <c r="D6" s="73">
        <f>L29</f>
        <v>20990000</v>
      </c>
      <c r="E6" s="73">
        <f>SUM(C6:D6)</f>
        <v>25135000</v>
      </c>
      <c r="F6" s="78"/>
    </row>
    <row r="7" spans="1:13" ht="27.6" customHeight="1" x14ac:dyDescent="0.4">
      <c r="A7" s="115" t="s">
        <v>80</v>
      </c>
      <c r="B7" s="115"/>
      <c r="C7" s="79">
        <f>SUM(C4:C6)</f>
        <v>7055000</v>
      </c>
      <c r="D7" s="79">
        <f>SUM(D4:D6)</f>
        <v>40710000</v>
      </c>
      <c r="E7" s="79">
        <f>SUM(E4:E6)</f>
        <v>51055000</v>
      </c>
      <c r="F7" s="81"/>
    </row>
    <row r="8" spans="1:13" ht="27.6" customHeight="1" x14ac:dyDescent="0.4">
      <c r="A8" s="115" t="s">
        <v>78</v>
      </c>
      <c r="B8" s="115"/>
      <c r="C8" s="115"/>
      <c r="D8" s="115"/>
      <c r="E8" s="79">
        <v>21000000</v>
      </c>
      <c r="F8" s="81"/>
    </row>
    <row r="9" spans="1:13" ht="23.25" customHeight="1" x14ac:dyDescent="0.4">
      <c r="A9" s="116" t="s">
        <v>79</v>
      </c>
      <c r="B9" s="116"/>
      <c r="C9" s="116"/>
      <c r="D9" s="116"/>
      <c r="E9" s="80">
        <f>E7-E8</f>
        <v>30055000</v>
      </c>
      <c r="F9" s="81"/>
    </row>
    <row r="10" spans="1:13" ht="48.6" customHeight="1" x14ac:dyDescent="0.4">
      <c r="A10" s="117" t="s">
        <v>54</v>
      </c>
      <c r="B10" s="117"/>
      <c r="C10" s="117"/>
      <c r="D10" s="117"/>
      <c r="E10" s="117"/>
      <c r="F10" s="117"/>
      <c r="H10" s="117" t="s">
        <v>55</v>
      </c>
      <c r="I10" s="117"/>
      <c r="J10" s="117"/>
      <c r="K10" s="117"/>
      <c r="L10" s="117"/>
      <c r="M10" s="117"/>
    </row>
    <row r="11" spans="1:13" s="76" customFormat="1" ht="24" customHeight="1" x14ac:dyDescent="0.25">
      <c r="A11" s="69" t="s">
        <v>20</v>
      </c>
      <c r="B11" s="70" t="s">
        <v>21</v>
      </c>
      <c r="C11" s="109" t="s">
        <v>30</v>
      </c>
      <c r="D11" s="109"/>
      <c r="E11" s="109"/>
      <c r="F11" s="110" t="s">
        <v>45</v>
      </c>
      <c r="H11" s="69" t="s">
        <v>20</v>
      </c>
      <c r="I11" s="70" t="s">
        <v>21</v>
      </c>
      <c r="J11" s="109" t="s">
        <v>30</v>
      </c>
      <c r="K11" s="109"/>
      <c r="L11" s="109"/>
      <c r="M11" s="111" t="s">
        <v>45</v>
      </c>
    </row>
    <row r="12" spans="1:13" s="76" customFormat="1" ht="33" customHeight="1" x14ac:dyDescent="0.25">
      <c r="A12" s="113" t="s">
        <v>25</v>
      </c>
      <c r="B12" s="113"/>
      <c r="C12" s="71" t="s">
        <v>40</v>
      </c>
      <c r="D12" s="71" t="s">
        <v>41</v>
      </c>
      <c r="E12" s="75" t="s">
        <v>11</v>
      </c>
      <c r="F12" s="110"/>
      <c r="H12" s="113" t="s">
        <v>25</v>
      </c>
      <c r="I12" s="113"/>
      <c r="J12" s="71" t="s">
        <v>40</v>
      </c>
      <c r="K12" s="71" t="s">
        <v>41</v>
      </c>
      <c r="L12" s="75" t="s">
        <v>11</v>
      </c>
      <c r="M12" s="112"/>
    </row>
    <row r="13" spans="1:13" ht="24" customHeight="1" x14ac:dyDescent="0.4">
      <c r="A13" s="72">
        <v>1</v>
      </c>
      <c r="B13" s="64">
        <v>45776</v>
      </c>
      <c r="C13" s="73">
        <v>200</v>
      </c>
      <c r="D13" s="77">
        <v>5000</v>
      </c>
      <c r="E13" s="65">
        <f t="shared" ref="E13" si="0">D13*C13</f>
        <v>1000000</v>
      </c>
      <c r="F13" s="66"/>
      <c r="H13" s="72">
        <f>ROW()-12</f>
        <v>1</v>
      </c>
      <c r="I13" s="64">
        <v>45668</v>
      </c>
      <c r="J13" s="73">
        <v>340</v>
      </c>
      <c r="K13" s="77">
        <v>5000</v>
      </c>
      <c r="L13" s="65">
        <f t="shared" ref="L13:L24" si="1">K13*J13</f>
        <v>1700000</v>
      </c>
      <c r="M13" s="66"/>
    </row>
    <row r="14" spans="1:13" ht="24" customHeight="1" x14ac:dyDescent="0.4">
      <c r="A14" s="72">
        <v>2</v>
      </c>
      <c r="B14" s="64">
        <v>45810</v>
      </c>
      <c r="C14" s="73">
        <v>170</v>
      </c>
      <c r="D14" s="77">
        <v>5000</v>
      </c>
      <c r="E14" s="65">
        <f>D14*C14</f>
        <v>850000</v>
      </c>
      <c r="F14" s="66"/>
      <c r="H14" s="72">
        <f t="shared" ref="H14:H27" si="2">ROW()-12</f>
        <v>2</v>
      </c>
      <c r="I14" s="64">
        <v>45681</v>
      </c>
      <c r="J14" s="73">
        <v>240</v>
      </c>
      <c r="K14" s="77">
        <v>5000</v>
      </c>
      <c r="L14" s="65">
        <f t="shared" si="1"/>
        <v>1200000</v>
      </c>
      <c r="M14" s="66"/>
    </row>
    <row r="15" spans="1:13" ht="24" customHeight="1" x14ac:dyDescent="0.4">
      <c r="A15" s="72">
        <v>3</v>
      </c>
      <c r="B15" s="64">
        <v>45859</v>
      </c>
      <c r="C15" s="73">
        <v>240</v>
      </c>
      <c r="D15" s="77">
        <v>5000</v>
      </c>
      <c r="E15" s="65">
        <f>D15*C15</f>
        <v>1200000</v>
      </c>
      <c r="F15" s="66"/>
      <c r="H15" s="72">
        <f t="shared" si="2"/>
        <v>3</v>
      </c>
      <c r="I15" s="64">
        <v>45719</v>
      </c>
      <c r="J15" s="73">
        <v>214</v>
      </c>
      <c r="K15" s="77">
        <v>5000</v>
      </c>
      <c r="L15" s="65">
        <f t="shared" ref="L15:L22" si="3">K15*J15</f>
        <v>1070000</v>
      </c>
      <c r="M15" s="66"/>
    </row>
    <row r="16" spans="1:13" ht="24" customHeight="1" x14ac:dyDescent="0.4">
      <c r="A16" s="72">
        <v>4</v>
      </c>
      <c r="B16" s="64">
        <v>45915</v>
      </c>
      <c r="C16" s="73">
        <v>93</v>
      </c>
      <c r="D16" s="77">
        <v>5000</v>
      </c>
      <c r="E16" s="65">
        <f>D16*C16</f>
        <v>465000</v>
      </c>
      <c r="F16" s="66"/>
      <c r="H16" s="72">
        <f t="shared" si="2"/>
        <v>4</v>
      </c>
      <c r="I16" s="64">
        <v>45740</v>
      </c>
      <c r="J16" s="73">
        <v>348</v>
      </c>
      <c r="K16" s="77">
        <v>5000</v>
      </c>
      <c r="L16" s="65">
        <f t="shared" si="3"/>
        <v>1740000</v>
      </c>
      <c r="M16" s="66"/>
    </row>
    <row r="17" spans="1:13" ht="24" customHeight="1" x14ac:dyDescent="0.4">
      <c r="A17" s="72">
        <v>5</v>
      </c>
      <c r="B17" s="64">
        <v>45993</v>
      </c>
      <c r="C17" s="73">
        <v>126</v>
      </c>
      <c r="D17" s="77">
        <v>5000</v>
      </c>
      <c r="E17" s="65">
        <f>D17*C17</f>
        <v>630000</v>
      </c>
      <c r="F17" s="66"/>
      <c r="H17" s="72">
        <f t="shared" si="2"/>
        <v>5</v>
      </c>
      <c r="I17" s="64">
        <v>45761</v>
      </c>
      <c r="J17" s="73">
        <v>390</v>
      </c>
      <c r="K17" s="77">
        <v>5000</v>
      </c>
      <c r="L17" s="65">
        <f t="shared" si="3"/>
        <v>1950000</v>
      </c>
      <c r="M17" s="66"/>
    </row>
    <row r="18" spans="1:13" ht="24" customHeight="1" x14ac:dyDescent="0.4">
      <c r="A18" s="72">
        <v>6</v>
      </c>
      <c r="B18" s="64"/>
      <c r="C18" s="73"/>
      <c r="D18" s="77"/>
      <c r="E18" s="65"/>
      <c r="F18" s="66"/>
      <c r="H18" s="72">
        <f t="shared" si="2"/>
        <v>6</v>
      </c>
      <c r="I18" s="64">
        <v>45776</v>
      </c>
      <c r="J18" s="73">
        <v>240</v>
      </c>
      <c r="K18" s="77">
        <v>5000</v>
      </c>
      <c r="L18" s="65">
        <f t="shared" si="3"/>
        <v>1200000</v>
      </c>
      <c r="M18" s="66"/>
    </row>
    <row r="19" spans="1:13" ht="24" customHeight="1" x14ac:dyDescent="0.4">
      <c r="A19" s="72">
        <v>7</v>
      </c>
      <c r="B19" s="64"/>
      <c r="C19" s="73"/>
      <c r="D19" s="77"/>
      <c r="E19" s="65"/>
      <c r="F19" s="66"/>
      <c r="H19" s="72">
        <f t="shared" si="2"/>
        <v>7</v>
      </c>
      <c r="I19" s="64">
        <v>45792</v>
      </c>
      <c r="J19" s="73">
        <v>286</v>
      </c>
      <c r="K19" s="77">
        <v>5000</v>
      </c>
      <c r="L19" s="65">
        <f t="shared" si="3"/>
        <v>1430000</v>
      </c>
      <c r="M19" s="66"/>
    </row>
    <row r="20" spans="1:13" ht="24" customHeight="1" x14ac:dyDescent="0.4">
      <c r="A20" s="72">
        <v>8</v>
      </c>
      <c r="B20" s="64"/>
      <c r="C20" s="73"/>
      <c r="D20" s="77"/>
      <c r="E20" s="65"/>
      <c r="F20" s="66"/>
      <c r="H20" s="72">
        <f t="shared" si="2"/>
        <v>8</v>
      </c>
      <c r="I20" s="64">
        <v>45810</v>
      </c>
      <c r="J20" s="73">
        <v>310</v>
      </c>
      <c r="K20" s="77">
        <v>5000</v>
      </c>
      <c r="L20" s="65">
        <f t="shared" si="3"/>
        <v>1550000</v>
      </c>
      <c r="M20" s="66"/>
    </row>
    <row r="21" spans="1:13" ht="24" customHeight="1" x14ac:dyDescent="0.4">
      <c r="A21" s="72">
        <v>9</v>
      </c>
      <c r="B21" s="64"/>
      <c r="C21" s="73"/>
      <c r="D21" s="77"/>
      <c r="E21" s="65"/>
      <c r="F21" s="66"/>
      <c r="H21" s="72">
        <f t="shared" si="2"/>
        <v>9</v>
      </c>
      <c r="I21" s="64">
        <v>45833</v>
      </c>
      <c r="J21" s="73">
        <v>270</v>
      </c>
      <c r="K21" s="77">
        <v>5000</v>
      </c>
      <c r="L21" s="97">
        <f t="shared" si="3"/>
        <v>1350000</v>
      </c>
      <c r="M21" s="66"/>
    </row>
    <row r="22" spans="1:13" ht="24" customHeight="1" x14ac:dyDescent="0.4">
      <c r="A22" s="72"/>
      <c r="B22" s="64"/>
      <c r="C22" s="73"/>
      <c r="D22" s="77"/>
      <c r="E22" s="65"/>
      <c r="F22" s="66"/>
      <c r="H22" s="72">
        <f t="shared" si="2"/>
        <v>10</v>
      </c>
      <c r="I22" s="64">
        <v>45859</v>
      </c>
      <c r="J22" s="73">
        <v>230</v>
      </c>
      <c r="K22" s="77">
        <v>5000</v>
      </c>
      <c r="L22" s="97">
        <f t="shared" si="3"/>
        <v>1150000</v>
      </c>
      <c r="M22" s="66"/>
    </row>
    <row r="23" spans="1:13" ht="24" customHeight="1" x14ac:dyDescent="0.4">
      <c r="A23" s="72"/>
      <c r="B23" s="64"/>
      <c r="C23" s="73"/>
      <c r="D23" s="77"/>
      <c r="E23" s="65">
        <f>D23*C23</f>
        <v>0</v>
      </c>
      <c r="F23" s="66"/>
      <c r="H23" s="72">
        <f t="shared" si="2"/>
        <v>11</v>
      </c>
      <c r="I23" s="64">
        <v>45888</v>
      </c>
      <c r="J23" s="73">
        <v>320</v>
      </c>
      <c r="K23" s="77">
        <v>5000</v>
      </c>
      <c r="L23" s="97">
        <f t="shared" si="1"/>
        <v>1600000</v>
      </c>
      <c r="M23" s="66"/>
    </row>
    <row r="24" spans="1:13" ht="24" customHeight="1" x14ac:dyDescent="0.4">
      <c r="A24" s="72"/>
      <c r="B24" s="64"/>
      <c r="C24" s="73"/>
      <c r="D24" s="77"/>
      <c r="E24" s="65"/>
      <c r="F24" s="66"/>
      <c r="H24" s="72">
        <f t="shared" si="2"/>
        <v>12</v>
      </c>
      <c r="I24" s="64">
        <v>45915</v>
      </c>
      <c r="J24" s="73">
        <v>245</v>
      </c>
      <c r="K24" s="77">
        <v>5000</v>
      </c>
      <c r="L24" s="97">
        <f t="shared" si="1"/>
        <v>1225000</v>
      </c>
      <c r="M24" s="66"/>
    </row>
    <row r="25" spans="1:13" ht="24" customHeight="1" x14ac:dyDescent="0.4">
      <c r="A25" s="72"/>
      <c r="B25" s="64"/>
      <c r="C25" s="73"/>
      <c r="D25" s="77"/>
      <c r="E25" s="65"/>
      <c r="F25" s="66"/>
      <c r="H25" s="72">
        <f t="shared" si="2"/>
        <v>13</v>
      </c>
      <c r="I25" s="64">
        <v>45936</v>
      </c>
      <c r="J25" s="73">
        <v>220</v>
      </c>
      <c r="K25" s="77">
        <v>5000</v>
      </c>
      <c r="L25" s="97">
        <f t="shared" ref="L25:L27" si="4">K25*J25</f>
        <v>1100000</v>
      </c>
      <c r="M25" s="66"/>
    </row>
    <row r="26" spans="1:13" ht="24" customHeight="1" x14ac:dyDescent="0.4">
      <c r="A26" s="72"/>
      <c r="B26" s="64"/>
      <c r="C26" s="73"/>
      <c r="D26" s="77"/>
      <c r="E26" s="65"/>
      <c r="F26" s="66"/>
      <c r="H26" s="72">
        <f t="shared" si="2"/>
        <v>14</v>
      </c>
      <c r="I26" s="64">
        <v>45971</v>
      </c>
      <c r="J26" s="73">
        <v>390</v>
      </c>
      <c r="K26" s="77">
        <v>5000</v>
      </c>
      <c r="L26" s="97">
        <f t="shared" si="4"/>
        <v>1950000</v>
      </c>
      <c r="M26" s="66"/>
    </row>
    <row r="27" spans="1:13" ht="24" customHeight="1" x14ac:dyDescent="0.4">
      <c r="A27" s="72"/>
      <c r="B27" s="64"/>
      <c r="C27" s="73"/>
      <c r="D27" s="77"/>
      <c r="E27" s="65"/>
      <c r="F27" s="66"/>
      <c r="H27" s="72">
        <f t="shared" si="2"/>
        <v>15</v>
      </c>
      <c r="I27" s="64">
        <v>45993</v>
      </c>
      <c r="J27" s="73">
        <v>155</v>
      </c>
      <c r="K27" s="77">
        <v>5000</v>
      </c>
      <c r="L27" s="97">
        <f t="shared" si="4"/>
        <v>775000</v>
      </c>
      <c r="M27" s="66"/>
    </row>
    <row r="28" spans="1:13" ht="24" customHeight="1" x14ac:dyDescent="0.4">
      <c r="A28" s="72"/>
      <c r="B28" s="64"/>
      <c r="C28" s="73"/>
      <c r="D28" s="77"/>
      <c r="E28" s="65"/>
      <c r="F28" s="66"/>
      <c r="H28" s="72"/>
      <c r="I28" s="64"/>
      <c r="J28" s="73"/>
      <c r="K28" s="77"/>
      <c r="L28" s="97"/>
      <c r="M28" s="66"/>
    </row>
    <row r="29" spans="1:13" ht="26.25" customHeight="1" x14ac:dyDescent="0.4">
      <c r="A29" s="108" t="s">
        <v>24</v>
      </c>
      <c r="B29" s="108"/>
      <c r="C29" s="74">
        <f>SUM(C13:C23)</f>
        <v>829</v>
      </c>
      <c r="D29" s="74"/>
      <c r="E29" s="68">
        <f>SUM(E13:E23)</f>
        <v>4145000</v>
      </c>
      <c r="F29" s="68"/>
      <c r="H29" s="108" t="s">
        <v>24</v>
      </c>
      <c r="I29" s="108"/>
      <c r="J29" s="74">
        <f>SUM(J13:J28)</f>
        <v>4198</v>
      </c>
      <c r="K29" s="74"/>
      <c r="L29" s="68">
        <f>SUM(L13:L28)</f>
        <v>20990000</v>
      </c>
      <c r="M29" s="68"/>
    </row>
    <row r="30" spans="1:13" x14ac:dyDescent="0.4">
      <c r="H30" s="67"/>
    </row>
  </sheetData>
  <mergeCells count="14">
    <mergeCell ref="A29:B29"/>
    <mergeCell ref="H29:I29"/>
    <mergeCell ref="A1:F1"/>
    <mergeCell ref="A7:B7"/>
    <mergeCell ref="A10:F10"/>
    <mergeCell ref="H10:M10"/>
    <mergeCell ref="C11:E11"/>
    <mergeCell ref="F11:F12"/>
    <mergeCell ref="J11:L11"/>
    <mergeCell ref="M11:M12"/>
    <mergeCell ref="A12:B12"/>
    <mergeCell ref="H12:I12"/>
    <mergeCell ref="A8:D8"/>
    <mergeCell ref="A9:D9"/>
  </mergeCells>
  <pageMargins left="0.19" right="0.17" top="0.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BF00B-59D5-4157-AA81-82A1DB273CFF}">
  <dimension ref="A1:M28"/>
  <sheetViews>
    <sheetView showGridLines="0" topLeftCell="A13" zoomScaleNormal="100" zoomScaleSheetLayoutView="100" workbookViewId="0">
      <selection activeCell="B5" sqref="B5:E5"/>
    </sheetView>
  </sheetViews>
  <sheetFormatPr defaultColWidth="9.140625" defaultRowHeight="16.5" x14ac:dyDescent="0.4"/>
  <cols>
    <col min="1" max="1" width="5.140625" style="67" customWidth="1"/>
    <col min="2" max="2" width="12.42578125" style="63" customWidth="1"/>
    <col min="3" max="4" width="11.28515625" style="63" customWidth="1"/>
    <col min="5" max="5" width="12.7109375" style="63" customWidth="1"/>
    <col min="6" max="6" width="10.85546875" style="63" customWidth="1"/>
    <col min="7" max="7" width="2.85546875" style="63" customWidth="1"/>
    <col min="8" max="8" width="4.42578125" style="63" customWidth="1"/>
    <col min="9" max="9" width="12.28515625" style="63" customWidth="1"/>
    <col min="10" max="11" width="11.85546875" style="63" customWidth="1"/>
    <col min="12" max="12" width="13.5703125" style="63" customWidth="1"/>
    <col min="13" max="13" width="9.5703125" style="63" customWidth="1"/>
    <col min="14" max="16384" width="9.140625" style="63"/>
  </cols>
  <sheetData>
    <row r="1" spans="1:13" ht="23.45" customHeight="1" x14ac:dyDescent="0.4">
      <c r="A1" s="114" t="s">
        <v>42</v>
      </c>
      <c r="B1" s="114"/>
      <c r="C1" s="114"/>
      <c r="D1" s="114"/>
      <c r="E1" s="114"/>
      <c r="F1" s="114"/>
    </row>
    <row r="2" spans="1:13" ht="17.100000000000001" customHeight="1" x14ac:dyDescent="0.4">
      <c r="E2" s="85" t="s">
        <v>53</v>
      </c>
      <c r="F2" s="86">
        <v>45646</v>
      </c>
    </row>
    <row r="3" spans="1:13" ht="24.6" customHeight="1" x14ac:dyDescent="0.4">
      <c r="A3" s="84" t="s">
        <v>43</v>
      </c>
      <c r="B3" s="84" t="s">
        <v>49</v>
      </c>
      <c r="C3" s="84" t="s">
        <v>47</v>
      </c>
      <c r="D3" s="84" t="s">
        <v>48</v>
      </c>
      <c r="E3" s="84" t="s">
        <v>46</v>
      </c>
      <c r="F3" s="84" t="s">
        <v>45</v>
      </c>
    </row>
    <row r="4" spans="1:13" ht="32.1" customHeight="1" x14ac:dyDescent="0.4">
      <c r="A4" s="78">
        <v>1</v>
      </c>
      <c r="B4" s="78">
        <v>2023</v>
      </c>
      <c r="C4" s="78"/>
      <c r="D4" s="73"/>
      <c r="E4" s="73">
        <v>3290000</v>
      </c>
      <c r="F4" s="78" t="s">
        <v>52</v>
      </c>
    </row>
    <row r="5" spans="1:13" ht="32.450000000000003" customHeight="1" x14ac:dyDescent="0.4">
      <c r="A5" s="78">
        <v>2</v>
      </c>
      <c r="B5" s="78">
        <v>2024</v>
      </c>
      <c r="C5" s="73">
        <f>E27</f>
        <v>2910000</v>
      </c>
      <c r="D5" s="73">
        <f>L27</f>
        <v>19720000</v>
      </c>
      <c r="E5" s="73">
        <f>SUM(C5:D5)</f>
        <v>22630000</v>
      </c>
      <c r="F5" s="78"/>
    </row>
    <row r="6" spans="1:13" ht="27.6" customHeight="1" x14ac:dyDescent="0.4">
      <c r="A6" s="149" t="s">
        <v>44</v>
      </c>
      <c r="B6" s="150"/>
      <c r="C6" s="79">
        <f t="shared" ref="C6" si="0">SUM(C4:C5)</f>
        <v>2910000</v>
      </c>
      <c r="D6" s="79">
        <f t="shared" ref="D6" si="1">SUM(D4:D5)</f>
        <v>19720000</v>
      </c>
      <c r="E6" s="80">
        <f>SUM(E4:E5)</f>
        <v>25920000</v>
      </c>
      <c r="F6" s="81"/>
    </row>
    <row r="7" spans="1:13" x14ac:dyDescent="0.4">
      <c r="A7" s="82"/>
      <c r="B7" s="82"/>
      <c r="C7" s="83"/>
      <c r="D7" s="83"/>
      <c r="E7" s="82"/>
      <c r="F7" s="82"/>
    </row>
    <row r="8" spans="1:13" ht="48.6" customHeight="1" x14ac:dyDescent="0.4">
      <c r="A8" s="117" t="s">
        <v>51</v>
      </c>
      <c r="B8" s="117"/>
      <c r="C8" s="117"/>
      <c r="D8" s="117"/>
      <c r="E8" s="117"/>
      <c r="F8" s="117"/>
      <c r="H8" s="117" t="s">
        <v>50</v>
      </c>
      <c r="I8" s="117"/>
      <c r="J8" s="117"/>
      <c r="K8" s="117"/>
      <c r="L8" s="117"/>
      <c r="M8" s="117"/>
    </row>
    <row r="9" spans="1:13" s="76" customFormat="1" ht="24" customHeight="1" x14ac:dyDescent="0.25">
      <c r="A9" s="69" t="s">
        <v>20</v>
      </c>
      <c r="B9" s="70" t="s">
        <v>21</v>
      </c>
      <c r="C9" s="109" t="s">
        <v>30</v>
      </c>
      <c r="D9" s="109"/>
      <c r="E9" s="109"/>
      <c r="F9" s="111" t="s">
        <v>45</v>
      </c>
      <c r="H9" s="69" t="s">
        <v>20</v>
      </c>
      <c r="I9" s="70" t="s">
        <v>21</v>
      </c>
      <c r="J9" s="109" t="s">
        <v>30</v>
      </c>
      <c r="K9" s="109"/>
      <c r="L9" s="109"/>
      <c r="M9" s="111" t="s">
        <v>45</v>
      </c>
    </row>
    <row r="10" spans="1:13" s="76" customFormat="1" ht="33" customHeight="1" x14ac:dyDescent="0.25">
      <c r="A10" s="113" t="s">
        <v>25</v>
      </c>
      <c r="B10" s="113"/>
      <c r="C10" s="71" t="s">
        <v>40</v>
      </c>
      <c r="D10" s="71" t="s">
        <v>41</v>
      </c>
      <c r="E10" s="75" t="s">
        <v>11</v>
      </c>
      <c r="F10" s="112"/>
      <c r="H10" s="113" t="s">
        <v>25</v>
      </c>
      <c r="I10" s="113"/>
      <c r="J10" s="71" t="s">
        <v>40</v>
      </c>
      <c r="K10" s="71" t="s">
        <v>41</v>
      </c>
      <c r="L10" s="75" t="s">
        <v>11</v>
      </c>
      <c r="M10" s="112"/>
    </row>
    <row r="11" spans="1:13" ht="24" customHeight="1" x14ac:dyDescent="0.4">
      <c r="A11" s="72">
        <v>1</v>
      </c>
      <c r="B11" s="64">
        <v>45324</v>
      </c>
      <c r="C11" s="73">
        <v>179</v>
      </c>
      <c r="D11" s="77">
        <v>5000</v>
      </c>
      <c r="E11" s="65">
        <f t="shared" ref="E11:E18" si="2">D11*C11</f>
        <v>895000</v>
      </c>
      <c r="F11" s="66"/>
      <c r="H11" s="72">
        <v>1</v>
      </c>
      <c r="I11" s="64">
        <v>45324</v>
      </c>
      <c r="J11" s="73">
        <v>263</v>
      </c>
      <c r="K11" s="77">
        <v>5000</v>
      </c>
      <c r="L11" s="65">
        <f t="shared" ref="L11:L16" si="3">K11*J11</f>
        <v>1315000</v>
      </c>
      <c r="M11" s="66"/>
    </row>
    <row r="12" spans="1:13" ht="24" customHeight="1" x14ac:dyDescent="0.4">
      <c r="A12" s="72">
        <v>2</v>
      </c>
      <c r="B12" s="64">
        <v>45397</v>
      </c>
      <c r="C12" s="73">
        <v>82</v>
      </c>
      <c r="D12" s="77">
        <v>5000</v>
      </c>
      <c r="E12" s="65">
        <f>D12*C12</f>
        <v>410000</v>
      </c>
      <c r="F12" s="66"/>
      <c r="H12" s="72">
        <v>2</v>
      </c>
      <c r="I12" s="64">
        <v>45362</v>
      </c>
      <c r="J12" s="73">
        <v>260</v>
      </c>
      <c r="K12" s="77">
        <v>5000</v>
      </c>
      <c r="L12" s="65">
        <f t="shared" si="3"/>
        <v>1300000</v>
      </c>
      <c r="M12" s="66"/>
    </row>
    <row r="13" spans="1:13" ht="24" customHeight="1" x14ac:dyDescent="0.4">
      <c r="A13" s="72">
        <v>3</v>
      </c>
      <c r="B13" s="64">
        <v>45418</v>
      </c>
      <c r="C13" s="73">
        <v>183</v>
      </c>
      <c r="D13" s="77">
        <v>5000</v>
      </c>
      <c r="E13" s="65">
        <f>D13*C13</f>
        <v>915000</v>
      </c>
      <c r="F13" s="66"/>
      <c r="H13" s="72">
        <v>3</v>
      </c>
      <c r="I13" s="64">
        <v>45371</v>
      </c>
      <c r="J13" s="73">
        <v>190</v>
      </c>
      <c r="K13" s="77">
        <v>5000</v>
      </c>
      <c r="L13" s="65">
        <f t="shared" si="3"/>
        <v>950000</v>
      </c>
      <c r="M13" s="66"/>
    </row>
    <row r="14" spans="1:13" ht="24" customHeight="1" x14ac:dyDescent="0.4">
      <c r="A14" s="72">
        <v>4</v>
      </c>
      <c r="B14" s="64">
        <v>45483</v>
      </c>
      <c r="C14" s="73">
        <v>138</v>
      </c>
      <c r="D14" s="77">
        <v>5000</v>
      </c>
      <c r="E14" s="66">
        <f>D14*C14</f>
        <v>690000</v>
      </c>
      <c r="F14" s="66"/>
      <c r="H14" s="72">
        <v>4</v>
      </c>
      <c r="I14" s="64">
        <v>45397</v>
      </c>
      <c r="J14" s="73">
        <v>380</v>
      </c>
      <c r="K14" s="77">
        <v>5000</v>
      </c>
      <c r="L14" s="66">
        <f t="shared" si="3"/>
        <v>1900000</v>
      </c>
      <c r="M14" s="66"/>
    </row>
    <row r="15" spans="1:13" ht="24" customHeight="1" x14ac:dyDescent="0.4">
      <c r="A15" s="72">
        <v>5</v>
      </c>
      <c r="B15" s="64"/>
      <c r="C15" s="73"/>
      <c r="D15" s="77">
        <v>5000</v>
      </c>
      <c r="E15" s="66">
        <f>D15*C15</f>
        <v>0</v>
      </c>
      <c r="F15" s="66"/>
      <c r="H15" s="72">
        <v>5</v>
      </c>
      <c r="I15" s="64">
        <v>45418</v>
      </c>
      <c r="J15" s="73">
        <v>221</v>
      </c>
      <c r="K15" s="77">
        <v>5000</v>
      </c>
      <c r="L15" s="66">
        <f t="shared" si="3"/>
        <v>1105000</v>
      </c>
      <c r="M15" s="66"/>
    </row>
    <row r="16" spans="1:13" ht="24" customHeight="1" x14ac:dyDescent="0.4">
      <c r="A16" s="72">
        <v>6</v>
      </c>
      <c r="B16" s="64"/>
      <c r="C16" s="73"/>
      <c r="D16" s="77">
        <v>5000</v>
      </c>
      <c r="E16" s="66">
        <f>D16*C16</f>
        <v>0</v>
      </c>
      <c r="F16" s="66"/>
      <c r="H16" s="72">
        <v>6</v>
      </c>
      <c r="I16" s="64">
        <v>45441</v>
      </c>
      <c r="J16" s="73">
        <v>247</v>
      </c>
      <c r="K16" s="77">
        <v>5000</v>
      </c>
      <c r="L16" s="66">
        <f t="shared" si="3"/>
        <v>1235000</v>
      </c>
      <c r="M16" s="66"/>
    </row>
    <row r="17" spans="1:13" ht="24" customHeight="1" x14ac:dyDescent="0.4">
      <c r="A17" s="72">
        <v>7</v>
      </c>
      <c r="B17" s="64"/>
      <c r="C17" s="73"/>
      <c r="D17" s="77">
        <v>5000</v>
      </c>
      <c r="E17" s="66">
        <f t="shared" si="2"/>
        <v>0</v>
      </c>
      <c r="F17" s="66"/>
      <c r="H17" s="72">
        <v>7</v>
      </c>
      <c r="I17" s="64">
        <v>45462</v>
      </c>
      <c r="J17" s="73">
        <v>156</v>
      </c>
      <c r="K17" s="77">
        <v>5000</v>
      </c>
      <c r="L17" s="66">
        <f t="shared" ref="L17:L22" si="4">K17*J17</f>
        <v>780000</v>
      </c>
      <c r="M17" s="66"/>
    </row>
    <row r="18" spans="1:13" ht="24" customHeight="1" x14ac:dyDescent="0.4">
      <c r="A18" s="72">
        <v>8</v>
      </c>
      <c r="B18" s="64"/>
      <c r="C18" s="73"/>
      <c r="D18" s="77">
        <v>5000</v>
      </c>
      <c r="E18" s="66">
        <f t="shared" si="2"/>
        <v>0</v>
      </c>
      <c r="F18" s="66"/>
      <c r="H18" s="72">
        <v>8</v>
      </c>
      <c r="I18" s="64">
        <v>45483</v>
      </c>
      <c r="J18" s="73">
        <v>253</v>
      </c>
      <c r="K18" s="77">
        <v>5000</v>
      </c>
      <c r="L18" s="66">
        <f t="shared" si="4"/>
        <v>1265000</v>
      </c>
      <c r="M18" s="66"/>
    </row>
    <row r="19" spans="1:13" ht="24" customHeight="1" x14ac:dyDescent="0.4">
      <c r="A19" s="72"/>
      <c r="B19" s="64"/>
      <c r="C19" s="73"/>
      <c r="D19" s="77"/>
      <c r="E19" s="66"/>
      <c r="F19" s="66"/>
      <c r="H19" s="72">
        <v>9</v>
      </c>
      <c r="I19" s="64">
        <v>45504</v>
      </c>
      <c r="J19" s="73">
        <v>243</v>
      </c>
      <c r="K19" s="77">
        <v>5000</v>
      </c>
      <c r="L19" s="66">
        <f t="shared" si="4"/>
        <v>1215000</v>
      </c>
      <c r="M19" s="66"/>
    </row>
    <row r="20" spans="1:13" ht="24" customHeight="1" x14ac:dyDescent="0.4">
      <c r="A20" s="72"/>
      <c r="B20" s="64"/>
      <c r="C20" s="73"/>
      <c r="D20" s="77"/>
      <c r="E20" s="66"/>
      <c r="F20" s="66"/>
      <c r="H20" s="72">
        <v>10</v>
      </c>
      <c r="I20" s="64">
        <v>45513</v>
      </c>
      <c r="J20" s="73">
        <v>177</v>
      </c>
      <c r="K20" s="77">
        <v>5000</v>
      </c>
      <c r="L20" s="66">
        <f t="shared" ref="L20" si="5">K20*J20</f>
        <v>885000</v>
      </c>
      <c r="M20" s="66"/>
    </row>
    <row r="21" spans="1:13" ht="24" customHeight="1" x14ac:dyDescent="0.4">
      <c r="A21" s="72"/>
      <c r="B21" s="64"/>
      <c r="C21" s="73"/>
      <c r="D21" s="77"/>
      <c r="E21" s="66"/>
      <c r="F21" s="66"/>
      <c r="H21" s="72">
        <v>11</v>
      </c>
      <c r="I21" s="64">
        <v>45532</v>
      </c>
      <c r="J21" s="73">
        <v>140</v>
      </c>
      <c r="K21" s="77">
        <v>5000</v>
      </c>
      <c r="L21" s="66">
        <f t="shared" si="4"/>
        <v>700000</v>
      </c>
      <c r="M21" s="66"/>
    </row>
    <row r="22" spans="1:13" ht="24" customHeight="1" x14ac:dyDescent="0.4">
      <c r="A22" s="72"/>
      <c r="B22" s="64"/>
      <c r="C22" s="73"/>
      <c r="D22" s="77"/>
      <c r="E22" s="66"/>
      <c r="F22" s="66"/>
      <c r="H22" s="72">
        <v>12</v>
      </c>
      <c r="I22" s="64">
        <v>45556</v>
      </c>
      <c r="J22" s="73">
        <v>261</v>
      </c>
      <c r="K22" s="77">
        <v>5000</v>
      </c>
      <c r="L22" s="66">
        <f t="shared" si="4"/>
        <v>1305000</v>
      </c>
      <c r="M22" s="66"/>
    </row>
    <row r="23" spans="1:13" ht="24" customHeight="1" x14ac:dyDescent="0.4">
      <c r="A23" s="72"/>
      <c r="B23" s="64"/>
      <c r="C23" s="73"/>
      <c r="D23" s="77"/>
      <c r="E23" s="66"/>
      <c r="F23" s="66"/>
      <c r="H23" s="72">
        <v>13</v>
      </c>
      <c r="I23" s="64">
        <v>45574</v>
      </c>
      <c r="J23" s="73">
        <v>280</v>
      </c>
      <c r="K23" s="77">
        <v>5000</v>
      </c>
      <c r="L23" s="66">
        <f t="shared" ref="L23:L26" si="6">K23*J23</f>
        <v>1400000</v>
      </c>
      <c r="M23" s="66"/>
    </row>
    <row r="24" spans="1:13" ht="24" customHeight="1" x14ac:dyDescent="0.4">
      <c r="A24" s="72"/>
      <c r="B24" s="64"/>
      <c r="C24" s="73"/>
      <c r="D24" s="77"/>
      <c r="E24" s="66"/>
      <c r="F24" s="66"/>
      <c r="H24" s="72">
        <v>14</v>
      </c>
      <c r="I24" s="64">
        <v>45591</v>
      </c>
      <c r="J24" s="73">
        <v>288</v>
      </c>
      <c r="K24" s="77">
        <v>5000</v>
      </c>
      <c r="L24" s="66">
        <f t="shared" si="6"/>
        <v>1440000</v>
      </c>
      <c r="M24" s="66"/>
    </row>
    <row r="25" spans="1:13" ht="24" customHeight="1" x14ac:dyDescent="0.4">
      <c r="A25" s="72"/>
      <c r="B25" s="64"/>
      <c r="C25" s="73"/>
      <c r="D25" s="77"/>
      <c r="E25" s="66"/>
      <c r="F25" s="66"/>
      <c r="H25" s="72">
        <v>15</v>
      </c>
      <c r="I25" s="64">
        <v>45623</v>
      </c>
      <c r="J25" s="73">
        <v>343</v>
      </c>
      <c r="K25" s="77">
        <v>5000</v>
      </c>
      <c r="L25" s="66">
        <f t="shared" si="6"/>
        <v>1715000</v>
      </c>
      <c r="M25" s="66"/>
    </row>
    <row r="26" spans="1:13" ht="24" customHeight="1" x14ac:dyDescent="0.4">
      <c r="A26" s="72"/>
      <c r="B26" s="64"/>
      <c r="C26" s="73"/>
      <c r="D26" s="77"/>
      <c r="E26" s="66"/>
      <c r="F26" s="66"/>
      <c r="H26" s="72">
        <v>16</v>
      </c>
      <c r="I26" s="64">
        <v>45646</v>
      </c>
      <c r="J26" s="73">
        <v>242</v>
      </c>
      <c r="K26" s="77">
        <v>5000</v>
      </c>
      <c r="L26" s="66">
        <f t="shared" si="6"/>
        <v>1210000</v>
      </c>
      <c r="M26" s="66"/>
    </row>
    <row r="27" spans="1:13" x14ac:dyDescent="0.4">
      <c r="A27" s="108" t="s">
        <v>24</v>
      </c>
      <c r="B27" s="108"/>
      <c r="C27" s="74">
        <f>SUM(C11:C17)</f>
        <v>582</v>
      </c>
      <c r="D27" s="74"/>
      <c r="E27" s="68">
        <f>SUM(E11:E18)</f>
        <v>2910000</v>
      </c>
      <c r="F27" s="68"/>
      <c r="H27" s="108" t="s">
        <v>24</v>
      </c>
      <c r="I27" s="108"/>
      <c r="J27" s="74">
        <f>SUM(J11:J22)</f>
        <v>2791</v>
      </c>
      <c r="K27" s="74"/>
      <c r="L27" s="68">
        <f>SUM(L11:L26)</f>
        <v>19720000</v>
      </c>
      <c r="M27" s="68"/>
    </row>
    <row r="28" spans="1:13" x14ac:dyDescent="0.4">
      <c r="H28" s="67"/>
    </row>
  </sheetData>
  <mergeCells count="12">
    <mergeCell ref="H27:I27"/>
    <mergeCell ref="A27:B27"/>
    <mergeCell ref="J9:L9"/>
    <mergeCell ref="C9:E9"/>
    <mergeCell ref="H10:I10"/>
    <mergeCell ref="A10:B10"/>
    <mergeCell ref="M9:M10"/>
    <mergeCell ref="F9:F10"/>
    <mergeCell ref="A1:F1"/>
    <mergeCell ref="A6:B6"/>
    <mergeCell ref="H8:M8"/>
    <mergeCell ref="A8:F8"/>
  </mergeCells>
  <pageMargins left="0.19" right="0.17" top="0.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A5EA5-2F80-4CEC-9105-63379CD966EE}">
  <dimension ref="A1:N39"/>
  <sheetViews>
    <sheetView zoomScaleNormal="100" zoomScaleSheetLayoutView="100" workbookViewId="0">
      <selection activeCell="H41" sqref="H41"/>
    </sheetView>
  </sheetViews>
  <sheetFormatPr defaultColWidth="9.140625" defaultRowHeight="12" x14ac:dyDescent="0.2"/>
  <cols>
    <col min="1" max="1" width="3.140625" style="32" customWidth="1"/>
    <col min="2" max="2" width="9.140625" style="32" customWidth="1"/>
    <col min="3" max="3" width="6.85546875" style="32" customWidth="1"/>
    <col min="4" max="4" width="9.140625" style="32" customWidth="1"/>
    <col min="5" max="5" width="26.85546875" style="32" customWidth="1"/>
    <col min="6" max="6" width="11.85546875" style="32" customWidth="1"/>
    <col min="7" max="7" width="9.140625" style="32"/>
    <col min="8" max="8" width="6.42578125" style="62" customWidth="1"/>
    <col min="9" max="13" width="9.140625" style="32"/>
    <col min="14" max="14" width="24.85546875" style="32" hidden="1" customWidth="1"/>
    <col min="15" max="16384" width="9.140625" style="32"/>
  </cols>
  <sheetData>
    <row r="1" spans="1:14" ht="48.6" customHeight="1" x14ac:dyDescent="0.2">
      <c r="A1" s="151" t="s">
        <v>31</v>
      </c>
      <c r="B1" s="151"/>
      <c r="C1" s="151"/>
      <c r="D1" s="151"/>
      <c r="E1" s="151"/>
      <c r="F1" s="151"/>
      <c r="G1" s="151"/>
      <c r="H1" s="151" t="s">
        <v>32</v>
      </c>
      <c r="I1" s="151"/>
      <c r="J1" s="151"/>
      <c r="K1" s="151"/>
      <c r="L1" s="151"/>
      <c r="M1" s="151"/>
      <c r="N1" s="151"/>
    </row>
    <row r="2" spans="1:14" ht="24" customHeight="1" x14ac:dyDescent="0.2">
      <c r="A2" s="34" t="s">
        <v>20</v>
      </c>
      <c r="B2" s="35" t="s">
        <v>21</v>
      </c>
      <c r="C2" s="156" t="s">
        <v>30</v>
      </c>
      <c r="D2" s="156"/>
      <c r="E2" s="156"/>
      <c r="F2" s="36" t="s">
        <v>24</v>
      </c>
      <c r="H2" s="34" t="s">
        <v>20</v>
      </c>
      <c r="I2" s="35" t="s">
        <v>21</v>
      </c>
      <c r="J2" s="156" t="s">
        <v>30</v>
      </c>
      <c r="K2" s="156"/>
      <c r="L2" s="156"/>
      <c r="M2" s="36" t="s">
        <v>24</v>
      </c>
    </row>
    <row r="3" spans="1:14" ht="33" customHeight="1" x14ac:dyDescent="0.2">
      <c r="A3" s="155" t="s">
        <v>25</v>
      </c>
      <c r="B3" s="155"/>
      <c r="C3" s="37" t="s">
        <v>29</v>
      </c>
      <c r="D3" s="38" t="s">
        <v>26</v>
      </c>
      <c r="E3" s="39" t="s">
        <v>27</v>
      </c>
      <c r="F3" s="40"/>
      <c r="H3" s="155" t="s">
        <v>25</v>
      </c>
      <c r="I3" s="155"/>
      <c r="J3" s="37" t="s">
        <v>29</v>
      </c>
      <c r="K3" s="38" t="s">
        <v>26</v>
      </c>
      <c r="L3" s="39" t="s">
        <v>27</v>
      </c>
      <c r="M3" s="40"/>
    </row>
    <row r="4" spans="1:14" x14ac:dyDescent="0.2">
      <c r="A4" s="32">
        <v>1</v>
      </c>
      <c r="B4" s="44">
        <v>44924</v>
      </c>
      <c r="C4" s="45">
        <v>264</v>
      </c>
      <c r="D4" s="48">
        <v>5000</v>
      </c>
      <c r="E4" s="46">
        <f t="shared" ref="E4:E19" si="0">D4*C4</f>
        <v>1320000</v>
      </c>
      <c r="F4" s="47">
        <f t="shared" ref="F4:F22" si="1">E4</f>
        <v>1320000</v>
      </c>
      <c r="H4" s="62">
        <v>1</v>
      </c>
      <c r="I4" s="44">
        <v>45034</v>
      </c>
      <c r="J4" s="45">
        <v>79</v>
      </c>
      <c r="K4" s="48">
        <v>5000</v>
      </c>
      <c r="L4" s="46">
        <f t="shared" ref="L4:L19" si="2">K4*J4</f>
        <v>395000</v>
      </c>
      <c r="M4" s="47">
        <f t="shared" ref="M4:M9" si="3">L4</f>
        <v>395000</v>
      </c>
      <c r="N4" s="32" t="s">
        <v>34</v>
      </c>
    </row>
    <row r="5" spans="1:14" x14ac:dyDescent="0.2">
      <c r="A5" s="32">
        <v>2</v>
      </c>
      <c r="B5" s="44">
        <v>44939</v>
      </c>
      <c r="C5" s="45">
        <v>151</v>
      </c>
      <c r="D5" s="48">
        <v>5000</v>
      </c>
      <c r="E5" s="46">
        <f t="shared" si="0"/>
        <v>755000</v>
      </c>
      <c r="F5" s="47">
        <f t="shared" si="1"/>
        <v>755000</v>
      </c>
      <c r="H5" s="62">
        <v>2</v>
      </c>
      <c r="I5" s="44">
        <v>45077</v>
      </c>
      <c r="J5" s="45">
        <v>119</v>
      </c>
      <c r="K5" s="48">
        <v>5000</v>
      </c>
      <c r="L5" s="46">
        <f t="shared" si="2"/>
        <v>595000</v>
      </c>
      <c r="M5" s="47">
        <f t="shared" si="3"/>
        <v>595000</v>
      </c>
      <c r="N5" s="32" t="s">
        <v>33</v>
      </c>
    </row>
    <row r="6" spans="1:14" x14ac:dyDescent="0.2">
      <c r="A6" s="32">
        <v>3</v>
      </c>
      <c r="B6" s="44">
        <v>44988</v>
      </c>
      <c r="C6" s="45">
        <v>328</v>
      </c>
      <c r="D6" s="48">
        <v>5000</v>
      </c>
      <c r="E6" s="46">
        <f t="shared" si="0"/>
        <v>1640000</v>
      </c>
      <c r="F6" s="47">
        <f t="shared" si="1"/>
        <v>1640000</v>
      </c>
      <c r="H6" s="62">
        <v>3</v>
      </c>
      <c r="I6" s="44">
        <v>45138</v>
      </c>
      <c r="J6" s="45">
        <v>154</v>
      </c>
      <c r="K6" s="48">
        <v>5000</v>
      </c>
      <c r="L6" s="46">
        <f t="shared" si="2"/>
        <v>770000</v>
      </c>
      <c r="M6" s="47">
        <f t="shared" si="3"/>
        <v>770000</v>
      </c>
      <c r="N6" s="32" t="s">
        <v>35</v>
      </c>
    </row>
    <row r="7" spans="1:14" x14ac:dyDescent="0.2">
      <c r="A7" s="32">
        <v>4</v>
      </c>
      <c r="B7" s="44">
        <v>45015</v>
      </c>
      <c r="C7" s="45">
        <v>400</v>
      </c>
      <c r="D7" s="48">
        <v>5000</v>
      </c>
      <c r="E7" s="46">
        <f t="shared" si="0"/>
        <v>2000000</v>
      </c>
      <c r="F7" s="47">
        <f t="shared" si="1"/>
        <v>2000000</v>
      </c>
      <c r="H7" s="62">
        <v>4</v>
      </c>
      <c r="I7" s="44">
        <v>45199</v>
      </c>
      <c r="J7" s="45">
        <v>137</v>
      </c>
      <c r="K7" s="48">
        <v>5000</v>
      </c>
      <c r="L7" s="46">
        <f t="shared" si="2"/>
        <v>685000</v>
      </c>
      <c r="M7" s="47">
        <f t="shared" si="3"/>
        <v>685000</v>
      </c>
      <c r="N7" s="32" t="s">
        <v>36</v>
      </c>
    </row>
    <row r="8" spans="1:14" x14ac:dyDescent="0.2">
      <c r="A8" s="32">
        <v>5</v>
      </c>
      <c r="B8" s="44">
        <v>45034</v>
      </c>
      <c r="C8" s="33">
        <v>323</v>
      </c>
      <c r="D8" s="48">
        <v>5000</v>
      </c>
      <c r="E8" s="46">
        <f t="shared" si="0"/>
        <v>1615000</v>
      </c>
      <c r="F8" s="47">
        <f t="shared" si="1"/>
        <v>1615000</v>
      </c>
      <c r="H8" s="62">
        <v>5</v>
      </c>
      <c r="I8" s="44">
        <v>45258</v>
      </c>
      <c r="J8" s="33">
        <v>123</v>
      </c>
      <c r="K8" s="48">
        <v>5000</v>
      </c>
      <c r="L8" s="46">
        <f t="shared" si="2"/>
        <v>615000</v>
      </c>
      <c r="M8" s="47">
        <f t="shared" si="3"/>
        <v>615000</v>
      </c>
      <c r="N8" s="32" t="s">
        <v>36</v>
      </c>
    </row>
    <row r="9" spans="1:14" x14ac:dyDescent="0.2">
      <c r="A9" s="32">
        <v>6</v>
      </c>
      <c r="B9" s="44">
        <v>45054</v>
      </c>
      <c r="C9" s="33">
        <v>167</v>
      </c>
      <c r="D9" s="48">
        <v>5000</v>
      </c>
      <c r="E9" s="46">
        <f t="shared" si="0"/>
        <v>835000</v>
      </c>
      <c r="F9" s="47">
        <f t="shared" si="1"/>
        <v>835000</v>
      </c>
      <c r="H9" s="62">
        <v>6</v>
      </c>
      <c r="I9" s="44">
        <v>45324</v>
      </c>
      <c r="J9" s="33">
        <v>179</v>
      </c>
      <c r="K9" s="48">
        <v>5000</v>
      </c>
      <c r="L9" s="46">
        <f t="shared" si="2"/>
        <v>895000</v>
      </c>
      <c r="M9" s="47">
        <f t="shared" si="3"/>
        <v>895000</v>
      </c>
    </row>
    <row r="10" spans="1:14" ht="11.45" customHeight="1" x14ac:dyDescent="0.2">
      <c r="A10" s="32">
        <v>7</v>
      </c>
      <c r="B10" s="44">
        <v>45075</v>
      </c>
      <c r="C10" s="33">
        <v>361</v>
      </c>
      <c r="D10" s="48">
        <v>5000</v>
      </c>
      <c r="E10" s="46">
        <f>D10*C10</f>
        <v>1805000</v>
      </c>
      <c r="F10" s="47">
        <f t="shared" si="1"/>
        <v>1805000</v>
      </c>
      <c r="H10" s="62">
        <v>7</v>
      </c>
      <c r="I10" s="44"/>
      <c r="J10" s="33"/>
      <c r="K10" s="48">
        <v>5000</v>
      </c>
      <c r="L10" s="46">
        <f>K10*J10</f>
        <v>0</v>
      </c>
      <c r="M10" s="47"/>
    </row>
    <row r="11" spans="1:14" x14ac:dyDescent="0.2">
      <c r="A11" s="32">
        <v>8</v>
      </c>
      <c r="B11" s="44">
        <v>45084</v>
      </c>
      <c r="C11" s="33">
        <v>210</v>
      </c>
      <c r="D11" s="48">
        <v>5000</v>
      </c>
      <c r="E11" s="46">
        <f>D11*C11</f>
        <v>1050000</v>
      </c>
      <c r="F11" s="47">
        <f t="shared" si="1"/>
        <v>1050000</v>
      </c>
      <c r="H11" s="62">
        <v>8</v>
      </c>
      <c r="I11" s="44"/>
      <c r="J11" s="33"/>
      <c r="K11" s="48">
        <v>5000</v>
      </c>
      <c r="L11" s="46">
        <f>K11*J11</f>
        <v>0</v>
      </c>
      <c r="M11" s="47"/>
    </row>
    <row r="12" spans="1:14" x14ac:dyDescent="0.2">
      <c r="A12" s="32">
        <v>9</v>
      </c>
      <c r="B12" s="44">
        <v>45138</v>
      </c>
      <c r="C12" s="33">
        <v>264</v>
      </c>
      <c r="D12" s="48">
        <v>5000</v>
      </c>
      <c r="E12" s="46">
        <f>D12*C12</f>
        <v>1320000</v>
      </c>
      <c r="F12" s="47">
        <f t="shared" si="1"/>
        <v>1320000</v>
      </c>
      <c r="H12" s="62">
        <v>9</v>
      </c>
      <c r="I12" s="44"/>
      <c r="J12" s="33"/>
      <c r="K12" s="48">
        <v>5000</v>
      </c>
      <c r="L12" s="46">
        <f>K12*J12</f>
        <v>0</v>
      </c>
      <c r="M12" s="47"/>
    </row>
    <row r="13" spans="1:14" x14ac:dyDescent="0.2">
      <c r="A13" s="32">
        <v>10</v>
      </c>
      <c r="B13" s="44">
        <v>45159</v>
      </c>
      <c r="C13" s="33">
        <v>263</v>
      </c>
      <c r="D13" s="48">
        <v>5000</v>
      </c>
      <c r="E13" s="46">
        <f>D13*C13</f>
        <v>1315000</v>
      </c>
      <c r="F13" s="47">
        <f t="shared" si="1"/>
        <v>1315000</v>
      </c>
      <c r="H13" s="62">
        <v>10</v>
      </c>
      <c r="I13" s="44"/>
      <c r="J13" s="33"/>
      <c r="K13" s="48">
        <v>5000</v>
      </c>
      <c r="L13" s="46">
        <f>K13*J13</f>
        <v>0</v>
      </c>
      <c r="M13" s="47"/>
    </row>
    <row r="14" spans="1:14" x14ac:dyDescent="0.2">
      <c r="A14" s="32">
        <v>11</v>
      </c>
      <c r="B14" s="44">
        <v>45182</v>
      </c>
      <c r="C14" s="33">
        <v>230</v>
      </c>
      <c r="D14" s="48">
        <v>5000</v>
      </c>
      <c r="E14" s="46">
        <f t="shared" si="0"/>
        <v>1150000</v>
      </c>
      <c r="F14" s="47">
        <f t="shared" si="1"/>
        <v>1150000</v>
      </c>
      <c r="H14" s="62">
        <v>11</v>
      </c>
      <c r="I14" s="44"/>
      <c r="J14" s="33"/>
      <c r="K14" s="48">
        <v>5000</v>
      </c>
      <c r="L14" s="46">
        <f t="shared" si="2"/>
        <v>0</v>
      </c>
      <c r="M14" s="47"/>
    </row>
    <row r="15" spans="1:14" x14ac:dyDescent="0.2">
      <c r="A15" s="32">
        <v>12</v>
      </c>
      <c r="B15" s="44">
        <v>45199</v>
      </c>
      <c r="C15" s="33">
        <v>205</v>
      </c>
      <c r="D15" s="48">
        <v>5000</v>
      </c>
      <c r="E15" s="46">
        <f t="shared" si="0"/>
        <v>1025000</v>
      </c>
      <c r="F15" s="47">
        <f t="shared" si="1"/>
        <v>1025000</v>
      </c>
      <c r="H15" s="62">
        <v>12</v>
      </c>
      <c r="I15" s="44"/>
      <c r="J15" s="33"/>
      <c r="K15" s="48">
        <v>5000</v>
      </c>
      <c r="L15" s="46">
        <f t="shared" si="2"/>
        <v>0</v>
      </c>
      <c r="M15" s="47"/>
    </row>
    <row r="16" spans="1:14" x14ac:dyDescent="0.2">
      <c r="A16" s="32">
        <v>13</v>
      </c>
      <c r="B16" s="44">
        <v>45218</v>
      </c>
      <c r="C16" s="52">
        <v>245</v>
      </c>
      <c r="D16" s="48">
        <v>5000</v>
      </c>
      <c r="E16" s="50">
        <f t="shared" si="0"/>
        <v>1225000</v>
      </c>
      <c r="F16" s="47">
        <f t="shared" si="1"/>
        <v>1225000</v>
      </c>
      <c r="H16" s="62">
        <v>13</v>
      </c>
      <c r="I16" s="49"/>
      <c r="J16" s="52"/>
      <c r="K16" s="48">
        <v>5000</v>
      </c>
      <c r="L16" s="50">
        <f t="shared" si="2"/>
        <v>0</v>
      </c>
      <c r="M16" s="51"/>
    </row>
    <row r="17" spans="1:13" x14ac:dyDescent="0.2">
      <c r="A17" s="32">
        <v>14</v>
      </c>
      <c r="B17" s="44">
        <v>45238</v>
      </c>
      <c r="C17" s="33">
        <v>224</v>
      </c>
      <c r="D17" s="48">
        <v>5000</v>
      </c>
      <c r="E17" s="46">
        <f t="shared" si="0"/>
        <v>1120000</v>
      </c>
      <c r="F17" s="47">
        <f t="shared" si="1"/>
        <v>1120000</v>
      </c>
      <c r="H17" s="62">
        <v>14</v>
      </c>
      <c r="I17" s="44"/>
      <c r="J17" s="33"/>
      <c r="K17" s="48">
        <v>5000</v>
      </c>
      <c r="L17" s="46">
        <f t="shared" si="2"/>
        <v>0</v>
      </c>
      <c r="M17" s="47"/>
    </row>
    <row r="18" spans="1:13" x14ac:dyDescent="0.2">
      <c r="A18" s="32">
        <v>15</v>
      </c>
      <c r="B18" s="44">
        <v>45258</v>
      </c>
      <c r="C18" s="33">
        <v>278</v>
      </c>
      <c r="D18" s="48">
        <v>5000</v>
      </c>
      <c r="E18" s="46">
        <f t="shared" si="0"/>
        <v>1390000</v>
      </c>
      <c r="F18" s="47">
        <f t="shared" si="1"/>
        <v>1390000</v>
      </c>
      <c r="H18" s="62">
        <v>15</v>
      </c>
      <c r="I18" s="44"/>
      <c r="J18" s="33"/>
      <c r="K18" s="48">
        <v>5000</v>
      </c>
      <c r="L18" s="46">
        <f t="shared" si="2"/>
        <v>0</v>
      </c>
      <c r="M18" s="47"/>
    </row>
    <row r="19" spans="1:13" x14ac:dyDescent="0.2">
      <c r="A19" s="32">
        <v>16</v>
      </c>
      <c r="B19" s="44">
        <v>45275</v>
      </c>
      <c r="C19" s="33">
        <v>234</v>
      </c>
      <c r="D19" s="48">
        <v>5000</v>
      </c>
      <c r="E19" s="46">
        <f t="shared" si="0"/>
        <v>1170000</v>
      </c>
      <c r="F19" s="47">
        <f t="shared" si="1"/>
        <v>1170000</v>
      </c>
      <c r="H19" s="62">
        <v>16</v>
      </c>
      <c r="I19" s="44"/>
      <c r="J19" s="33"/>
      <c r="K19" s="48">
        <v>5000</v>
      </c>
      <c r="L19" s="46">
        <f t="shared" si="2"/>
        <v>0</v>
      </c>
      <c r="M19" s="47"/>
    </row>
    <row r="20" spans="1:13" x14ac:dyDescent="0.2">
      <c r="A20" s="32">
        <v>17</v>
      </c>
      <c r="B20" s="44">
        <v>45302</v>
      </c>
      <c r="C20" s="33">
        <v>240</v>
      </c>
      <c r="D20" s="48">
        <v>5000</v>
      </c>
      <c r="E20" s="46">
        <f>D20*C20</f>
        <v>1200000</v>
      </c>
      <c r="F20" s="47">
        <f t="shared" si="1"/>
        <v>1200000</v>
      </c>
      <c r="H20" s="62">
        <v>17</v>
      </c>
      <c r="I20" s="44"/>
      <c r="J20" s="33"/>
      <c r="K20" s="48">
        <v>5000</v>
      </c>
      <c r="L20" s="46">
        <f>K20*J20</f>
        <v>0</v>
      </c>
      <c r="M20" s="47"/>
    </row>
    <row r="21" spans="1:13" x14ac:dyDescent="0.2">
      <c r="B21" s="44"/>
      <c r="C21" s="33"/>
      <c r="D21" s="48">
        <v>5000</v>
      </c>
      <c r="E21" s="46">
        <f>D21*C21</f>
        <v>0</v>
      </c>
      <c r="F21" s="47">
        <f t="shared" ref="F21" si="4">E21</f>
        <v>0</v>
      </c>
      <c r="I21" s="44"/>
      <c r="J21" s="33"/>
      <c r="K21" s="48"/>
      <c r="L21" s="46"/>
      <c r="M21" s="47"/>
    </row>
    <row r="22" spans="1:13" x14ac:dyDescent="0.2">
      <c r="A22" s="32">
        <v>18</v>
      </c>
      <c r="B22" s="44"/>
      <c r="C22" s="33"/>
      <c r="D22" s="48">
        <v>5000</v>
      </c>
      <c r="E22" s="46">
        <f>D22*C22</f>
        <v>0</v>
      </c>
      <c r="F22" s="47">
        <f t="shared" si="1"/>
        <v>0</v>
      </c>
      <c r="H22" s="62">
        <v>18</v>
      </c>
      <c r="I22" s="44"/>
      <c r="J22" s="33"/>
      <c r="K22" s="48">
        <v>5000</v>
      </c>
      <c r="L22" s="46">
        <f>K22*J22</f>
        <v>0</v>
      </c>
      <c r="M22" s="47"/>
    </row>
    <row r="23" spans="1:13" s="53" customFormat="1" x14ac:dyDescent="0.2">
      <c r="A23" s="32">
        <v>19</v>
      </c>
      <c r="B23" s="54"/>
      <c r="C23" s="55"/>
      <c r="D23" s="48">
        <v>5000</v>
      </c>
      <c r="E23" s="56">
        <f>D23*C23</f>
        <v>0</v>
      </c>
      <c r="F23" s="57"/>
      <c r="H23" s="62">
        <v>19</v>
      </c>
      <c r="I23" s="54"/>
      <c r="J23" s="55"/>
      <c r="K23" s="48">
        <v>5000</v>
      </c>
      <c r="L23" s="56">
        <f>K23*J23</f>
        <v>0</v>
      </c>
      <c r="M23" s="57"/>
    </row>
    <row r="24" spans="1:13" x14ac:dyDescent="0.2">
      <c r="A24" s="32">
        <v>20</v>
      </c>
      <c r="B24" s="44"/>
      <c r="C24" s="33"/>
      <c r="D24" s="48">
        <v>5000</v>
      </c>
      <c r="E24" s="46">
        <f>D24*C24</f>
        <v>0</v>
      </c>
      <c r="F24" s="47"/>
      <c r="H24" s="62">
        <v>20</v>
      </c>
      <c r="I24" s="44"/>
      <c r="J24" s="33"/>
      <c r="K24" s="48">
        <v>5000</v>
      </c>
      <c r="L24" s="46">
        <f>K24*J24</f>
        <v>0</v>
      </c>
      <c r="M24" s="47"/>
    </row>
    <row r="25" spans="1:13" x14ac:dyDescent="0.2">
      <c r="A25" s="32">
        <v>21</v>
      </c>
      <c r="B25" s="44"/>
      <c r="C25" s="33"/>
      <c r="D25" s="48">
        <v>5000</v>
      </c>
      <c r="E25" s="46">
        <f t="shared" ref="E25:E30" si="5">D25*C25</f>
        <v>0</v>
      </c>
      <c r="F25" s="47"/>
      <c r="H25" s="62">
        <v>21</v>
      </c>
      <c r="I25" s="44"/>
      <c r="J25" s="33"/>
      <c r="K25" s="48">
        <v>5000</v>
      </c>
      <c r="L25" s="46">
        <f t="shared" ref="L25:L30" si="6">K25*J25</f>
        <v>0</v>
      </c>
      <c r="M25" s="47"/>
    </row>
    <row r="26" spans="1:13" x14ac:dyDescent="0.2">
      <c r="A26" s="32">
        <v>22</v>
      </c>
      <c r="B26" s="44"/>
      <c r="C26" s="33"/>
      <c r="D26" s="48">
        <v>5000</v>
      </c>
      <c r="E26" s="46">
        <f t="shared" si="5"/>
        <v>0</v>
      </c>
      <c r="F26" s="47"/>
      <c r="H26" s="62">
        <v>22</v>
      </c>
      <c r="I26" s="44"/>
      <c r="J26" s="33"/>
      <c r="K26" s="48">
        <v>5000</v>
      </c>
      <c r="L26" s="46">
        <f t="shared" si="6"/>
        <v>0</v>
      </c>
      <c r="M26" s="47"/>
    </row>
    <row r="27" spans="1:13" x14ac:dyDescent="0.2">
      <c r="A27" s="32">
        <v>23</v>
      </c>
      <c r="B27" s="44"/>
      <c r="C27" s="33"/>
      <c r="D27" s="48">
        <v>5000</v>
      </c>
      <c r="E27" s="46">
        <f t="shared" si="5"/>
        <v>0</v>
      </c>
      <c r="F27" s="47"/>
      <c r="H27" s="62">
        <v>23</v>
      </c>
      <c r="I27" s="44"/>
      <c r="J27" s="33"/>
      <c r="K27" s="48">
        <v>5000</v>
      </c>
      <c r="L27" s="46">
        <f t="shared" si="6"/>
        <v>0</v>
      </c>
      <c r="M27" s="47"/>
    </row>
    <row r="28" spans="1:13" x14ac:dyDescent="0.2">
      <c r="A28" s="32">
        <v>24</v>
      </c>
      <c r="B28" s="44"/>
      <c r="C28" s="33"/>
      <c r="D28" s="48">
        <v>5000</v>
      </c>
      <c r="E28" s="46">
        <f t="shared" si="5"/>
        <v>0</v>
      </c>
      <c r="F28" s="47"/>
      <c r="H28" s="62">
        <v>24</v>
      </c>
      <c r="I28" s="44"/>
      <c r="J28" s="33"/>
      <c r="K28" s="48">
        <v>5000</v>
      </c>
      <c r="L28" s="46">
        <f t="shared" si="6"/>
        <v>0</v>
      </c>
      <c r="M28" s="47"/>
    </row>
    <row r="29" spans="1:13" x14ac:dyDescent="0.2">
      <c r="A29" s="32">
        <v>25</v>
      </c>
      <c r="B29" s="44"/>
      <c r="C29" s="33"/>
      <c r="D29" s="48">
        <v>5000</v>
      </c>
      <c r="E29" s="46">
        <f t="shared" si="5"/>
        <v>0</v>
      </c>
      <c r="F29" s="47"/>
      <c r="H29" s="62">
        <v>25</v>
      </c>
      <c r="I29" s="44"/>
      <c r="J29" s="33"/>
      <c r="K29" s="48">
        <v>5000</v>
      </c>
      <c r="L29" s="46">
        <f t="shared" si="6"/>
        <v>0</v>
      </c>
      <c r="M29" s="47"/>
    </row>
    <row r="30" spans="1:13" x14ac:dyDescent="0.2">
      <c r="A30" s="32">
        <v>26</v>
      </c>
      <c r="B30" s="44"/>
      <c r="C30" s="33"/>
      <c r="D30" s="48">
        <v>5000</v>
      </c>
      <c r="E30" s="46">
        <f t="shared" si="5"/>
        <v>0</v>
      </c>
      <c r="F30" s="47"/>
      <c r="G30" s="60"/>
      <c r="H30" s="62">
        <v>26</v>
      </c>
      <c r="I30" s="44"/>
      <c r="J30" s="33"/>
      <c r="K30" s="48">
        <v>5000</v>
      </c>
      <c r="L30" s="46">
        <f t="shared" si="6"/>
        <v>0</v>
      </c>
      <c r="M30" s="47"/>
    </row>
    <row r="31" spans="1:13" x14ac:dyDescent="0.2">
      <c r="A31" s="152"/>
      <c r="B31" s="152"/>
      <c r="C31" s="1">
        <f>SUM(C4:C30)</f>
        <v>4387</v>
      </c>
      <c r="D31" s="1"/>
      <c r="E31" s="2">
        <f>SUM(E4:E30)</f>
        <v>21935000</v>
      </c>
      <c r="F31" s="2">
        <f>SUM(F4:F30)</f>
        <v>21935000</v>
      </c>
      <c r="H31" s="152"/>
      <c r="I31" s="152"/>
      <c r="J31" s="1">
        <f>SUM(J4:J30)</f>
        <v>791</v>
      </c>
      <c r="K31" s="1"/>
      <c r="L31" s="2">
        <f>SUM(L4:L30)</f>
        <v>3955000</v>
      </c>
      <c r="M31" s="2">
        <f>SUM(M4:M30)</f>
        <v>3955000</v>
      </c>
    </row>
    <row r="32" spans="1:13" x14ac:dyDescent="0.2">
      <c r="B32" s="153" t="s">
        <v>22</v>
      </c>
      <c r="C32" s="153"/>
      <c r="D32" s="153"/>
      <c r="E32" s="153"/>
      <c r="F32" s="61"/>
      <c r="I32" s="153" t="s">
        <v>22</v>
      </c>
      <c r="J32" s="153"/>
      <c r="K32" s="153"/>
      <c r="L32" s="153"/>
      <c r="M32" s="58"/>
    </row>
    <row r="33" spans="2:13" x14ac:dyDescent="0.2">
      <c r="B33" s="154" t="s">
        <v>28</v>
      </c>
      <c r="C33" s="154"/>
      <c r="D33" s="154"/>
      <c r="E33" s="154"/>
      <c r="F33" s="59"/>
      <c r="I33" s="154" t="s">
        <v>28</v>
      </c>
      <c r="J33" s="154"/>
      <c r="K33" s="154"/>
      <c r="L33" s="154"/>
      <c r="M33" s="59"/>
    </row>
    <row r="36" spans="2:13" x14ac:dyDescent="0.2">
      <c r="F36" s="60"/>
    </row>
    <row r="37" spans="2:13" x14ac:dyDescent="0.2">
      <c r="D37" s="32" t="s">
        <v>38</v>
      </c>
      <c r="E37" s="60">
        <f>F31+M31</f>
        <v>25890000</v>
      </c>
    </row>
    <row r="38" spans="2:13" x14ac:dyDescent="0.2">
      <c r="D38" s="32" t="s">
        <v>37</v>
      </c>
      <c r="E38" s="60">
        <f>22600000</f>
        <v>22600000</v>
      </c>
    </row>
    <row r="39" spans="2:13" x14ac:dyDescent="0.2">
      <c r="D39" s="32" t="s">
        <v>39</v>
      </c>
      <c r="E39" s="60">
        <f>E37-E38</f>
        <v>3290000</v>
      </c>
    </row>
  </sheetData>
  <mergeCells count="12">
    <mergeCell ref="I33:L33"/>
    <mergeCell ref="H1:N1"/>
    <mergeCell ref="J2:L2"/>
    <mergeCell ref="H3:I3"/>
    <mergeCell ref="H31:I31"/>
    <mergeCell ref="I32:L32"/>
    <mergeCell ref="A1:G1"/>
    <mergeCell ref="A31:B31"/>
    <mergeCell ref="B32:E32"/>
    <mergeCell ref="B33:E33"/>
    <mergeCell ref="A3:B3"/>
    <mergeCell ref="C2:E2"/>
  </mergeCells>
  <pageMargins left="0.19" right="0.17" top="0.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543DF-E110-409F-9618-0AE29BB11C0A}">
  <dimension ref="A1:F10"/>
  <sheetViews>
    <sheetView showGridLines="0" zoomScale="70" zoomScaleNormal="70" workbookViewId="0">
      <selection activeCell="J10" sqref="J10"/>
    </sheetView>
  </sheetViews>
  <sheetFormatPr defaultColWidth="9.140625" defaultRowHeight="21" x14ac:dyDescent="0.5"/>
  <cols>
    <col min="1" max="1" width="13.28515625" style="94" customWidth="1"/>
    <col min="2" max="2" width="46.5703125" style="88" customWidth="1"/>
    <col min="3" max="3" width="44" style="88" customWidth="1"/>
    <col min="4" max="4" width="30.5703125" style="95" customWidth="1"/>
    <col min="5" max="5" width="20.28515625" style="95" customWidth="1"/>
    <col min="6" max="6" width="13.28515625" style="88" customWidth="1"/>
    <col min="7" max="16384" width="9.140625" style="88"/>
  </cols>
  <sheetData>
    <row r="1" spans="1:6" ht="33" x14ac:dyDescent="0.5">
      <c r="A1" s="158" t="s">
        <v>63</v>
      </c>
      <c r="B1" s="158"/>
      <c r="C1" s="158"/>
      <c r="D1" s="158"/>
      <c r="E1" s="158"/>
      <c r="F1" s="158"/>
    </row>
    <row r="3" spans="1:6" ht="42" x14ac:dyDescent="0.5">
      <c r="A3" s="96" t="s">
        <v>1</v>
      </c>
      <c r="B3" s="96" t="s">
        <v>56</v>
      </c>
      <c r="C3" s="96" t="s">
        <v>57</v>
      </c>
      <c r="D3" s="96" t="s">
        <v>58</v>
      </c>
      <c r="E3" s="96" t="s">
        <v>59</v>
      </c>
      <c r="F3" s="96" t="s">
        <v>45</v>
      </c>
    </row>
    <row r="4" spans="1:6" ht="61.5" customHeight="1" x14ac:dyDescent="0.5">
      <c r="A4" s="89">
        <v>2</v>
      </c>
      <c r="B4" s="90" t="s">
        <v>60</v>
      </c>
      <c r="C4" s="91" t="s">
        <v>64</v>
      </c>
      <c r="D4" s="89" t="s">
        <v>77</v>
      </c>
      <c r="E4" s="92">
        <v>45831</v>
      </c>
      <c r="F4" s="93"/>
    </row>
    <row r="5" spans="1:6" ht="61.5" customHeight="1" x14ac:dyDescent="0.5">
      <c r="A5" s="89">
        <v>4</v>
      </c>
      <c r="B5" s="90" t="s">
        <v>61</v>
      </c>
      <c r="C5" s="91" t="s">
        <v>65</v>
      </c>
      <c r="D5" s="89" t="s">
        <v>66</v>
      </c>
      <c r="E5" s="92">
        <v>45841</v>
      </c>
      <c r="F5" s="93"/>
    </row>
    <row r="6" spans="1:6" ht="61.5" customHeight="1" x14ac:dyDescent="0.5">
      <c r="A6" s="89">
        <v>5</v>
      </c>
      <c r="B6" s="90" t="s">
        <v>67</v>
      </c>
      <c r="C6" s="90" t="s">
        <v>69</v>
      </c>
      <c r="D6" s="89" t="s">
        <v>68</v>
      </c>
      <c r="E6" s="92">
        <v>45843</v>
      </c>
      <c r="F6" s="93"/>
    </row>
    <row r="7" spans="1:6" ht="61.5" customHeight="1" x14ac:dyDescent="0.5">
      <c r="A7" s="159">
        <v>6</v>
      </c>
      <c r="B7" s="160" t="s">
        <v>71</v>
      </c>
      <c r="C7" s="91" t="s">
        <v>76</v>
      </c>
      <c r="D7" s="159" t="s">
        <v>70</v>
      </c>
      <c r="E7" s="161">
        <v>45843</v>
      </c>
      <c r="F7" s="157"/>
    </row>
    <row r="8" spans="1:6" ht="61.5" customHeight="1" x14ac:dyDescent="0.5">
      <c r="A8" s="159"/>
      <c r="B8" s="160"/>
      <c r="C8" s="91" t="s">
        <v>74</v>
      </c>
      <c r="D8" s="159"/>
      <c r="E8" s="159"/>
      <c r="F8" s="157"/>
    </row>
    <row r="9" spans="1:6" ht="61.5" customHeight="1" x14ac:dyDescent="0.5">
      <c r="A9" s="89">
        <v>7</v>
      </c>
      <c r="B9" s="90" t="s">
        <v>72</v>
      </c>
      <c r="C9" s="91" t="s">
        <v>73</v>
      </c>
      <c r="D9" s="89" t="s">
        <v>70</v>
      </c>
      <c r="E9" s="92">
        <v>45843</v>
      </c>
      <c r="F9" s="93"/>
    </row>
    <row r="10" spans="1:6" ht="61.5" customHeight="1" x14ac:dyDescent="0.5">
      <c r="A10" s="89">
        <v>9</v>
      </c>
      <c r="B10" s="90" t="s">
        <v>62</v>
      </c>
      <c r="C10" s="91" t="s">
        <v>75</v>
      </c>
      <c r="D10" s="89" t="s">
        <v>70</v>
      </c>
      <c r="E10" s="92">
        <v>45847</v>
      </c>
      <c r="F10" s="93"/>
    </row>
  </sheetData>
  <mergeCells count="6">
    <mergeCell ref="F7:F8"/>
    <mergeCell ref="A1:F1"/>
    <mergeCell ref="A7:A8"/>
    <mergeCell ref="B7:B8"/>
    <mergeCell ref="D7:D8"/>
    <mergeCell ref="E7:E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739E7-2380-4DC7-965E-1ADC19297DA2}">
  <dimension ref="A1:F9"/>
  <sheetViews>
    <sheetView showGridLines="0" zoomScale="70" zoomScaleNormal="70" workbookViewId="0">
      <selection activeCell="I20" sqref="I20"/>
    </sheetView>
  </sheetViews>
  <sheetFormatPr defaultColWidth="9.140625" defaultRowHeight="21" x14ac:dyDescent="0.5"/>
  <cols>
    <col min="1" max="1" width="13.28515625" style="94" customWidth="1"/>
    <col min="2" max="2" width="46.5703125" style="88" customWidth="1"/>
    <col min="3" max="3" width="44" style="88" customWidth="1"/>
    <col min="4" max="4" width="30.5703125" style="95" customWidth="1"/>
    <col min="5" max="5" width="20.28515625" style="95" customWidth="1"/>
    <col min="6" max="6" width="13.28515625" style="88" customWidth="1"/>
    <col min="7" max="16384" width="9.140625" style="88"/>
  </cols>
  <sheetData>
    <row r="1" spans="1:6" ht="33" x14ac:dyDescent="0.5">
      <c r="A1" s="158" t="s">
        <v>63</v>
      </c>
      <c r="B1" s="158"/>
      <c r="C1" s="158"/>
      <c r="D1" s="158"/>
      <c r="E1" s="158"/>
      <c r="F1" s="158"/>
    </row>
    <row r="3" spans="1:6" ht="43.5" x14ac:dyDescent="0.5">
      <c r="A3" s="101" t="s">
        <v>1</v>
      </c>
      <c r="B3" s="101" t="s">
        <v>56</v>
      </c>
      <c r="C3" s="101" t="s">
        <v>57</v>
      </c>
      <c r="D3" s="101" t="s">
        <v>58</v>
      </c>
      <c r="E3" s="101" t="s">
        <v>59</v>
      </c>
      <c r="F3" s="101" t="s">
        <v>45</v>
      </c>
    </row>
    <row r="4" spans="1:6" ht="61.5" customHeight="1" x14ac:dyDescent="0.5">
      <c r="A4" s="102">
        <v>2</v>
      </c>
      <c r="B4" s="103" t="s">
        <v>60</v>
      </c>
      <c r="C4" s="104" t="s">
        <v>64</v>
      </c>
      <c r="D4" s="102" t="s">
        <v>86</v>
      </c>
      <c r="E4" s="105">
        <v>46150</v>
      </c>
      <c r="F4" s="106"/>
    </row>
    <row r="5" spans="1:6" ht="91.5" customHeight="1" x14ac:dyDescent="0.5">
      <c r="A5" s="102">
        <v>4</v>
      </c>
      <c r="B5" s="103" t="s">
        <v>61</v>
      </c>
      <c r="C5" s="104" t="s">
        <v>84</v>
      </c>
      <c r="D5" s="102" t="s">
        <v>66</v>
      </c>
      <c r="E5" s="105">
        <v>46150</v>
      </c>
      <c r="F5" s="106"/>
    </row>
    <row r="6" spans="1:6" ht="61.5" customHeight="1" x14ac:dyDescent="0.5">
      <c r="A6" s="102">
        <v>5</v>
      </c>
      <c r="B6" s="103" t="s">
        <v>67</v>
      </c>
      <c r="C6" s="103" t="s">
        <v>69</v>
      </c>
      <c r="D6" s="102" t="s">
        <v>68</v>
      </c>
      <c r="E6" s="105">
        <v>46150</v>
      </c>
      <c r="F6" s="106"/>
    </row>
    <row r="7" spans="1:6" ht="61.5" customHeight="1" x14ac:dyDescent="0.5">
      <c r="A7" s="102">
        <v>6</v>
      </c>
      <c r="B7" s="103" t="s">
        <v>71</v>
      </c>
      <c r="C7" s="104" t="s">
        <v>85</v>
      </c>
      <c r="D7" s="102" t="s">
        <v>70</v>
      </c>
      <c r="E7" s="105">
        <v>46150</v>
      </c>
      <c r="F7" s="107"/>
    </row>
    <row r="8" spans="1:6" ht="61.5" customHeight="1" x14ac:dyDescent="0.5">
      <c r="A8" s="102">
        <v>7</v>
      </c>
      <c r="B8" s="103" t="s">
        <v>72</v>
      </c>
      <c r="C8" s="104" t="s">
        <v>73</v>
      </c>
      <c r="D8" s="102" t="s">
        <v>70</v>
      </c>
      <c r="E8" s="105">
        <v>46154</v>
      </c>
      <c r="F8" s="106"/>
    </row>
    <row r="9" spans="1:6" ht="61.5" customHeight="1" x14ac:dyDescent="0.5">
      <c r="A9" s="102">
        <v>9</v>
      </c>
      <c r="B9" s="103" t="s">
        <v>62</v>
      </c>
      <c r="C9" s="104" t="s">
        <v>75</v>
      </c>
      <c r="D9" s="102" t="s">
        <v>70</v>
      </c>
      <c r="E9" s="105"/>
      <c r="F9" s="106"/>
    </row>
  </sheetData>
  <mergeCells count="1">
    <mergeCell ref="A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D08AF1EC57F441B26AA9445629A4E4" ma:contentTypeVersion="26" ma:contentTypeDescription="Create a new document." ma:contentTypeScope="" ma:versionID="d3efab3c2aa873f61b0d81e58ce1dc6d">
  <xsd:schema xmlns:xsd="http://www.w3.org/2001/XMLSchema" xmlns:xs="http://www.w3.org/2001/XMLSchema" xmlns:p="http://schemas.microsoft.com/office/2006/metadata/properties" xmlns:ns2="329a25e9-1705-4637-a518-f1249ed4c130" xmlns:ns3="8e6f99d7-7587-4b8f-b7d1-74511520459b" targetNamespace="http://schemas.microsoft.com/office/2006/metadata/properties" ma:root="true" ma:fieldsID="0f8b0c115d683f65396cb327cf995129" ns2:_="" ns3:_="">
    <xsd:import namespace="329a25e9-1705-4637-a518-f1249ed4c130"/>
    <xsd:import namespace="8e6f99d7-7587-4b8f-b7d1-74511520459b"/>
    <xsd:element name="properties">
      <xsd:complexType>
        <xsd:sequence>
          <xsd:element name="documentManagement">
            <xsd:complexType>
              <xsd:all>
                <xsd:element ref="ns2:Doc_x002e_Type" minOccurs="0"/>
                <xsd:element ref="ns2:Doc_x002e_Status" minOccurs="0"/>
                <xsd:element ref="ns2:Category" minOccurs="0"/>
                <xsd:element ref="ns2:Year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anguag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Reten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9a25e9-1705-4637-a518-f1249ed4c130" elementFormDefault="qualified">
    <xsd:import namespace="http://schemas.microsoft.com/office/2006/documentManagement/types"/>
    <xsd:import namespace="http://schemas.microsoft.com/office/infopath/2007/PartnerControls"/>
    <xsd:element name="Doc_x002e_Type" ma:index="8" nillable="true" ma:displayName="Doc. Type" ma:format="Dropdown" ma:internalName="Doc_x002e_Type">
      <xsd:simpleType>
        <xsd:restriction base="dms:Choice">
          <xsd:enumeration value="Official Letter"/>
          <xsd:enumeration value="Policy, procedure"/>
          <xsd:enumeration value="HSE Manual"/>
          <xsd:enumeration value="HSE Event Photos"/>
          <xsd:enumeration value="Factory layout"/>
          <xsd:enumeration value="Internal Report"/>
          <xsd:enumeration value="External Report"/>
          <xsd:enumeration value="Incident Report"/>
          <xsd:enumeration value="Accident Report"/>
          <xsd:enumeration value="Contract"/>
        </xsd:restriction>
      </xsd:simpleType>
    </xsd:element>
    <xsd:element name="Doc_x002e_Status" ma:index="9" nillable="true" ma:displayName="Doc. Status" ma:format="Dropdown" ma:internalName="Doc_x002e_Status">
      <xsd:simpleType>
        <xsd:restriction base="dms:Choice">
          <xsd:enumeration value="Approved"/>
          <xsd:enumeration value="For Reference Only"/>
        </xsd:restriction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Customer Audit"/>
          <xsd:enumeration value="Government Audit"/>
          <xsd:enumeration value="Internal Audit"/>
          <xsd:enumeration value="Internal Training"/>
          <xsd:enumeration value="External Training"/>
        </xsd:restriction>
      </xsd:simpleType>
    </xsd:element>
    <xsd:element name="Year" ma:index="11" nillable="true" ma:displayName="Year" ma:format="Dropdown" ma:internalName="Year">
      <xsd:simpleType>
        <xsd:union memberTypes="dms:Text">
          <xsd:simpleType>
            <xsd:restriction base="dms:Choice">
              <xsd:enumeration value="2023"/>
              <xsd:enumeration value="2022"/>
              <xsd:enumeration value="2024"/>
            </xsd:restriction>
          </xsd:simpleType>
        </xsd:un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anguage" ma:index="15" nillable="true" ma:displayName="Language" ma:format="Dropdown" ma:internalName="Language">
      <xsd:simpleType>
        <xsd:restriction base="dms:Choice">
          <xsd:enumeration value="Vietnamese"/>
          <xsd:enumeration value="English"/>
          <xsd:enumeration value="Lựa chọn 3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42997-4aa2-4ea7-9542-edab702aa6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2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Retention" ma:index="30" nillable="true" ma:displayName="Retention" ma:default="0" ma:format="Dropdown" ma:internalName="Retentio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6f99d7-7587-4b8f-b7d1-74511520459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c2be5ab-ec5f-4815-bdd7-22f825ba5ef0}" ma:internalName="TaxCatchAll" ma:showField="CatchAllData" ma:web="8e6f99d7-7587-4b8f-b7d1-7451152045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 xmlns="329a25e9-1705-4637-a518-f1249ed4c130" xsi:nil="true"/>
    <Doc_x002e_Status xmlns="329a25e9-1705-4637-a518-f1249ed4c130" xsi:nil="true"/>
    <lcf76f155ced4ddcb4097134ff3c332f xmlns="329a25e9-1705-4637-a518-f1249ed4c130">
      <Terms xmlns="http://schemas.microsoft.com/office/infopath/2007/PartnerControls"/>
    </lcf76f155ced4ddcb4097134ff3c332f>
    <Year xmlns="329a25e9-1705-4637-a518-f1249ed4c130" xsi:nil="true"/>
    <Doc_x002e_Type xmlns="329a25e9-1705-4637-a518-f1249ed4c130" xsi:nil="true"/>
    <TaxCatchAll xmlns="8e6f99d7-7587-4b8f-b7d1-74511520459b" xsi:nil="true"/>
    <Category xmlns="329a25e9-1705-4637-a518-f1249ed4c130" xsi:nil="true"/>
    <Language xmlns="329a25e9-1705-4637-a518-f1249ed4c130" xsi:nil="true"/>
    <Retention xmlns="329a25e9-1705-4637-a518-f1249ed4c130">false</Retention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FC49A5-7A32-432E-B996-FCBB0656FB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9a25e9-1705-4637-a518-f1249ed4c130"/>
    <ds:schemaRef ds:uri="8e6f99d7-7587-4b8f-b7d1-7451152045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7D8313-421C-4CAB-9A1A-D6BF32AF88F4}">
  <ds:schemaRefs>
    <ds:schemaRef ds:uri="http://schemas.microsoft.com/office/2006/metadata/properties"/>
    <ds:schemaRef ds:uri="http://schemas.microsoft.com/office/infopath/2007/PartnerControls"/>
    <ds:schemaRef ds:uri="329a25e9-1705-4637-a518-f1249ed4c130"/>
    <ds:schemaRef ds:uri="8e6f99d7-7587-4b8f-b7d1-74511520459b"/>
  </ds:schemaRefs>
</ds:datastoreItem>
</file>

<file path=customXml/itemProps3.xml><?xml version="1.0" encoding="utf-8"?>
<ds:datastoreItem xmlns:ds="http://schemas.openxmlformats.org/officeDocument/2006/customXml" ds:itemID="{F1DD1D72-5FD8-467F-B14D-A53CA23E263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Phuy xúc rửa</vt:lpstr>
      <vt:lpstr>2026</vt:lpstr>
      <vt:lpstr>2025</vt:lpstr>
      <vt:lpstr>2024</vt:lpstr>
      <vt:lpstr>2023</vt:lpstr>
      <vt:lpstr>Plan 2025</vt:lpstr>
      <vt:lpstr>Plan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2026-08-25T11:46:23Z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0x010100B1D08AF1EC57F441B26AA9445629A4E4</vt:lpwstr>
  </property>
  <property fmtid="{D5CDD505-2E9C-101B-9397-08002B2CF9AE}" pid="3" name="MediaServiceImageTags">
    <vt:lpwstr/>
  </property>
</Properties>
</file>