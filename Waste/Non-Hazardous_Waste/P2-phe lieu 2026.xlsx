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hidePivotFieldList="1" defaultThemeVersion="124226"/>
  <xr:revisionPtr revIDLastSave="220" documentId="13_ncr:1_{5B571A41-7A09-479C-9418-D3696271F36D}" xr6:coauthVersionLast="47" xr6:coauthVersionMax="47" xr10:uidLastSave="{8297BFF6-39AE-4999-A7CF-2490AC2033D5}"/>
  <bookViews>
    <workbookView xWindow="-110" yWindow="-110" windowWidth="19420" windowHeight="10300" firstSheet="1" activeTab="8" xr2:uid="{00000000-000D-0000-FFFF-FFFF00000000}"/>
  </bookViews>
  <sheets>
    <sheet name="Phuy xúc rửa" sheetId="18" state="hidden" r:id="rId1"/>
    <sheet name="Jan" sheetId="34" r:id="rId2"/>
    <sheet name="Feb, " sheetId="47" r:id="rId3"/>
    <sheet name="Mar." sheetId="48" r:id="rId4"/>
    <sheet name="Apr." sheetId="49" r:id="rId5"/>
    <sheet name="May." sheetId="50" r:id="rId6"/>
    <sheet name="June.)" sheetId="51" r:id="rId7"/>
    <sheet name="July," sheetId="52" r:id="rId8"/>
    <sheet name="Aug," sheetId="53" r:id="rId9"/>
    <sheet name="Feb" sheetId="35" state="hidden" r:id="rId10"/>
    <sheet name="Mar" sheetId="36" state="hidden" r:id="rId11"/>
    <sheet name="Apr" sheetId="37" state="hidden" r:id="rId12"/>
    <sheet name="May" sheetId="38" state="hidden" r:id="rId13"/>
    <sheet name="June" sheetId="39" state="hidden" r:id="rId14"/>
    <sheet name="July" sheetId="40" state="hidden" r:id="rId15"/>
    <sheet name="Aug" sheetId="41" state="hidden" r:id="rId16"/>
    <sheet name="Sep" sheetId="43" state="hidden" r:id="rId17"/>
    <sheet name="OCt" sheetId="44" state="hidden" r:id="rId18"/>
    <sheet name="Nov" sheetId="45" state="hidden" r:id="rId19"/>
    <sheet name="Dec" sheetId="46" state="hidden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4" i="53" l="1"/>
  <c r="I34" i="53"/>
  <c r="F34" i="53"/>
  <c r="C34" i="53"/>
  <c r="N33" i="53"/>
  <c r="K33" i="53"/>
  <c r="H33" i="53"/>
  <c r="E33" i="53"/>
  <c r="N32" i="53"/>
  <c r="K32" i="53"/>
  <c r="H32" i="53"/>
  <c r="E32" i="53"/>
  <c r="N31" i="53"/>
  <c r="K31" i="53"/>
  <c r="H31" i="53"/>
  <c r="E31" i="53"/>
  <c r="N30" i="53"/>
  <c r="K30" i="53"/>
  <c r="H30" i="53"/>
  <c r="E30" i="53"/>
  <c r="N29" i="53"/>
  <c r="K29" i="53"/>
  <c r="H29" i="53"/>
  <c r="E29" i="53"/>
  <c r="N28" i="53"/>
  <c r="K28" i="53"/>
  <c r="H28" i="53"/>
  <c r="E28" i="53"/>
  <c r="N27" i="53"/>
  <c r="K27" i="53"/>
  <c r="H27" i="53"/>
  <c r="E27" i="53"/>
  <c r="N26" i="53"/>
  <c r="K26" i="53"/>
  <c r="H26" i="53"/>
  <c r="E26" i="53"/>
  <c r="N25" i="53"/>
  <c r="K25" i="53"/>
  <c r="H25" i="53"/>
  <c r="E25" i="53"/>
  <c r="N24" i="53"/>
  <c r="K24" i="53"/>
  <c r="H24" i="53"/>
  <c r="E24" i="53"/>
  <c r="N23" i="53"/>
  <c r="K23" i="53"/>
  <c r="H23" i="53"/>
  <c r="E23" i="53"/>
  <c r="N22" i="53"/>
  <c r="K22" i="53"/>
  <c r="H22" i="53"/>
  <c r="E22" i="53"/>
  <c r="N21" i="53"/>
  <c r="K21" i="53"/>
  <c r="H21" i="53"/>
  <c r="E21" i="53"/>
  <c r="N20" i="53"/>
  <c r="K20" i="53"/>
  <c r="H20" i="53"/>
  <c r="E20" i="53"/>
  <c r="N19" i="53"/>
  <c r="K19" i="53"/>
  <c r="H19" i="53"/>
  <c r="E19" i="53"/>
  <c r="N18" i="53"/>
  <c r="K18" i="53"/>
  <c r="H18" i="53"/>
  <c r="E18" i="53"/>
  <c r="N17" i="53"/>
  <c r="K17" i="53"/>
  <c r="H17" i="53"/>
  <c r="E17" i="53"/>
  <c r="N16" i="53"/>
  <c r="K16" i="53"/>
  <c r="H16" i="53"/>
  <c r="E16" i="53"/>
  <c r="N15" i="53"/>
  <c r="K15" i="53"/>
  <c r="H15" i="53"/>
  <c r="E15" i="53"/>
  <c r="N14" i="53"/>
  <c r="K14" i="53"/>
  <c r="H14" i="53"/>
  <c r="E14" i="53"/>
  <c r="N13" i="53"/>
  <c r="K13" i="53"/>
  <c r="H13" i="53"/>
  <c r="E13" i="53"/>
  <c r="N12" i="53"/>
  <c r="K12" i="53"/>
  <c r="H12" i="53"/>
  <c r="E12" i="53"/>
  <c r="N11" i="53"/>
  <c r="K11" i="53"/>
  <c r="H11" i="53"/>
  <c r="E11" i="53"/>
  <c r="N10" i="53"/>
  <c r="K10" i="53"/>
  <c r="H10" i="53"/>
  <c r="E10" i="53"/>
  <c r="N9" i="53"/>
  <c r="K9" i="53"/>
  <c r="H9" i="53"/>
  <c r="E9" i="53"/>
  <c r="N8" i="53"/>
  <c r="K8" i="53"/>
  <c r="H8" i="53"/>
  <c r="E8" i="53"/>
  <c r="N7" i="53"/>
  <c r="K7" i="53"/>
  <c r="H7" i="53"/>
  <c r="E7" i="53"/>
  <c r="N6" i="53"/>
  <c r="K6" i="53"/>
  <c r="H6" i="53"/>
  <c r="E6" i="53"/>
  <c r="N5" i="53"/>
  <c r="K5" i="53"/>
  <c r="H5" i="53"/>
  <c r="E5" i="53"/>
  <c r="O5" i="53" s="1"/>
  <c r="N4" i="53"/>
  <c r="K4" i="53"/>
  <c r="K34" i="53" s="1"/>
  <c r="H4" i="53"/>
  <c r="E4" i="53"/>
  <c r="O4" i="53" s="1"/>
  <c r="F34" i="52"/>
  <c r="C34" i="52"/>
  <c r="K10" i="52"/>
  <c r="L34" i="52"/>
  <c r="I34" i="52"/>
  <c r="N33" i="52"/>
  <c r="K33" i="52"/>
  <c r="H33" i="52"/>
  <c r="E33" i="52"/>
  <c r="N32" i="52"/>
  <c r="K32" i="52"/>
  <c r="H32" i="52"/>
  <c r="E32" i="52"/>
  <c r="N31" i="52"/>
  <c r="K31" i="52"/>
  <c r="H31" i="52"/>
  <c r="E31" i="52"/>
  <c r="N30" i="52"/>
  <c r="K30" i="52"/>
  <c r="H30" i="52"/>
  <c r="E30" i="52"/>
  <c r="N29" i="52"/>
  <c r="K29" i="52"/>
  <c r="H29" i="52"/>
  <c r="E29" i="52"/>
  <c r="N28" i="52"/>
  <c r="K28" i="52"/>
  <c r="H28" i="52"/>
  <c r="E28" i="52"/>
  <c r="N27" i="52"/>
  <c r="K27" i="52"/>
  <c r="H27" i="52"/>
  <c r="E27" i="52"/>
  <c r="N26" i="52"/>
  <c r="K26" i="52"/>
  <c r="H26" i="52"/>
  <c r="E26" i="52"/>
  <c r="N25" i="52"/>
  <c r="K25" i="52"/>
  <c r="H25" i="52"/>
  <c r="E25" i="52"/>
  <c r="N24" i="52"/>
  <c r="K24" i="52"/>
  <c r="H24" i="52"/>
  <c r="E24" i="52"/>
  <c r="N23" i="52"/>
  <c r="K23" i="52"/>
  <c r="H23" i="52"/>
  <c r="E23" i="52"/>
  <c r="N22" i="52"/>
  <c r="K22" i="52"/>
  <c r="H22" i="52"/>
  <c r="E22" i="52"/>
  <c r="N21" i="52"/>
  <c r="K21" i="52"/>
  <c r="H21" i="52"/>
  <c r="E21" i="52"/>
  <c r="N20" i="52"/>
  <c r="K20" i="52"/>
  <c r="H20" i="52"/>
  <c r="E20" i="52"/>
  <c r="O20" i="52" s="1"/>
  <c r="N19" i="52"/>
  <c r="K19" i="52"/>
  <c r="H19" i="52"/>
  <c r="E19" i="52"/>
  <c r="N18" i="52"/>
  <c r="K18" i="52"/>
  <c r="H18" i="52"/>
  <c r="E18" i="52"/>
  <c r="N17" i="52"/>
  <c r="K17" i="52"/>
  <c r="H17" i="52"/>
  <c r="E17" i="52"/>
  <c r="N16" i="52"/>
  <c r="K16" i="52"/>
  <c r="H16" i="52"/>
  <c r="E16" i="52"/>
  <c r="O16" i="52" s="1"/>
  <c r="N15" i="52"/>
  <c r="K15" i="52"/>
  <c r="H15" i="52"/>
  <c r="E15" i="52"/>
  <c r="N14" i="52"/>
  <c r="K14" i="52"/>
  <c r="H14" i="52"/>
  <c r="E14" i="52"/>
  <c r="N13" i="52"/>
  <c r="K13" i="52"/>
  <c r="H13" i="52"/>
  <c r="O13" i="52" s="1"/>
  <c r="E13" i="52"/>
  <c r="N12" i="52"/>
  <c r="K12" i="52"/>
  <c r="H12" i="52"/>
  <c r="E12" i="52"/>
  <c r="N11" i="52"/>
  <c r="K11" i="52"/>
  <c r="H11" i="52"/>
  <c r="E11" i="52"/>
  <c r="N10" i="52"/>
  <c r="H10" i="52"/>
  <c r="E10" i="52"/>
  <c r="N9" i="52"/>
  <c r="K9" i="52"/>
  <c r="H9" i="52"/>
  <c r="E9" i="52"/>
  <c r="N8" i="52"/>
  <c r="K8" i="52"/>
  <c r="H8" i="52"/>
  <c r="E8" i="52"/>
  <c r="N7" i="52"/>
  <c r="K7" i="52"/>
  <c r="H7" i="52"/>
  <c r="E7" i="52"/>
  <c r="N6" i="52"/>
  <c r="K6" i="52"/>
  <c r="H6" i="52"/>
  <c r="E6" i="52"/>
  <c r="N5" i="52"/>
  <c r="K5" i="52"/>
  <c r="H5" i="52"/>
  <c r="O5" i="52" s="1"/>
  <c r="E5" i="52"/>
  <c r="N4" i="52"/>
  <c r="K4" i="52"/>
  <c r="H4" i="52"/>
  <c r="E4" i="52"/>
  <c r="E35" i="51"/>
  <c r="K35" i="51"/>
  <c r="H35" i="51"/>
  <c r="O34" i="51"/>
  <c r="O35" i="51"/>
  <c r="F35" i="51"/>
  <c r="N35" i="51"/>
  <c r="I35" i="51"/>
  <c r="H34" i="51"/>
  <c r="K34" i="51"/>
  <c r="N34" i="51"/>
  <c r="C35" i="51"/>
  <c r="E34" i="51"/>
  <c r="N26" i="51"/>
  <c r="N27" i="51"/>
  <c r="N28" i="51"/>
  <c r="N29" i="51"/>
  <c r="N30" i="51"/>
  <c r="N31" i="51"/>
  <c r="N32" i="51"/>
  <c r="N33" i="51"/>
  <c r="K26" i="51"/>
  <c r="K27" i="51"/>
  <c r="K28" i="51"/>
  <c r="K29" i="51"/>
  <c r="K30" i="51"/>
  <c r="K31" i="51"/>
  <c r="K32" i="51"/>
  <c r="K33" i="51"/>
  <c r="H26" i="51"/>
  <c r="H27" i="51"/>
  <c r="H28" i="51"/>
  <c r="H29" i="51"/>
  <c r="H30" i="51"/>
  <c r="H31" i="51"/>
  <c r="H32" i="51"/>
  <c r="H25" i="51"/>
  <c r="E26" i="51"/>
  <c r="E27" i="51"/>
  <c r="O27" i="51" s="1"/>
  <c r="E28" i="51"/>
  <c r="E29" i="51"/>
  <c r="E30" i="51"/>
  <c r="E31" i="51"/>
  <c r="E32" i="51"/>
  <c r="O32" i="51" s="1"/>
  <c r="E33" i="51"/>
  <c r="H15" i="51"/>
  <c r="L35" i="51"/>
  <c r="H33" i="51"/>
  <c r="N25" i="51"/>
  <c r="K25" i="51"/>
  <c r="E25" i="51"/>
  <c r="N24" i="51"/>
  <c r="K24" i="51"/>
  <c r="H24" i="51"/>
  <c r="E24" i="51"/>
  <c r="N23" i="51"/>
  <c r="K23" i="51"/>
  <c r="H23" i="51"/>
  <c r="E23" i="51"/>
  <c r="N22" i="51"/>
  <c r="K22" i="51"/>
  <c r="H22" i="51"/>
  <c r="E22" i="51"/>
  <c r="N21" i="51"/>
  <c r="K21" i="51"/>
  <c r="H21" i="51"/>
  <c r="E21" i="51"/>
  <c r="N20" i="51"/>
  <c r="K20" i="51"/>
  <c r="H20" i="51"/>
  <c r="E20" i="51"/>
  <c r="N19" i="51"/>
  <c r="K19" i="51"/>
  <c r="H19" i="51"/>
  <c r="E19" i="51"/>
  <c r="N18" i="51"/>
  <c r="K18" i="51"/>
  <c r="H18" i="51"/>
  <c r="E18" i="51"/>
  <c r="N17" i="51"/>
  <c r="K17" i="51"/>
  <c r="H17" i="51"/>
  <c r="E17" i="51"/>
  <c r="N16" i="51"/>
  <c r="K16" i="51"/>
  <c r="H16" i="51"/>
  <c r="E16" i="51"/>
  <c r="N15" i="51"/>
  <c r="K15" i="51"/>
  <c r="E15" i="51"/>
  <c r="N14" i="51"/>
  <c r="K14" i="51"/>
  <c r="H14" i="51"/>
  <c r="E14" i="51"/>
  <c r="N13" i="51"/>
  <c r="K13" i="51"/>
  <c r="H13" i="51"/>
  <c r="E13" i="51"/>
  <c r="N12" i="51"/>
  <c r="K12" i="51"/>
  <c r="H12" i="51"/>
  <c r="E12" i="51"/>
  <c r="N11" i="51"/>
  <c r="K11" i="51"/>
  <c r="H11" i="51"/>
  <c r="E11" i="51"/>
  <c r="N10" i="51"/>
  <c r="K10" i="51"/>
  <c r="H10" i="51"/>
  <c r="E10" i="51"/>
  <c r="N9" i="51"/>
  <c r="K9" i="51"/>
  <c r="H9" i="51"/>
  <c r="E9" i="51"/>
  <c r="N8" i="51"/>
  <c r="K8" i="51"/>
  <c r="H8" i="51"/>
  <c r="E8" i="51"/>
  <c r="N7" i="51"/>
  <c r="K7" i="51"/>
  <c r="H7" i="51"/>
  <c r="E7" i="51"/>
  <c r="N6" i="51"/>
  <c r="K6" i="51"/>
  <c r="H6" i="51"/>
  <c r="E6" i="51"/>
  <c r="N5" i="51"/>
  <c r="K5" i="51"/>
  <c r="H5" i="51"/>
  <c r="E5" i="51"/>
  <c r="N4" i="51"/>
  <c r="K4" i="51"/>
  <c r="H4" i="51"/>
  <c r="E4" i="51"/>
  <c r="C27" i="50"/>
  <c r="F27" i="50"/>
  <c r="E19" i="50"/>
  <c r="H19" i="50"/>
  <c r="K19" i="50"/>
  <c r="N19" i="50"/>
  <c r="L27" i="50"/>
  <c r="I27" i="50"/>
  <c r="N26" i="50"/>
  <c r="K26" i="50"/>
  <c r="H26" i="50"/>
  <c r="E26" i="50"/>
  <c r="N25" i="50"/>
  <c r="K25" i="50"/>
  <c r="H25" i="50"/>
  <c r="E25" i="50"/>
  <c r="N24" i="50"/>
  <c r="K24" i="50"/>
  <c r="H24" i="50"/>
  <c r="E24" i="50"/>
  <c r="N23" i="50"/>
  <c r="K23" i="50"/>
  <c r="H23" i="50"/>
  <c r="E23" i="50"/>
  <c r="N22" i="50"/>
  <c r="K22" i="50"/>
  <c r="H22" i="50"/>
  <c r="E22" i="50"/>
  <c r="N21" i="50"/>
  <c r="K21" i="50"/>
  <c r="H21" i="50"/>
  <c r="E21" i="50"/>
  <c r="N20" i="50"/>
  <c r="K20" i="50"/>
  <c r="H20" i="50"/>
  <c r="E20" i="50"/>
  <c r="N18" i="50"/>
  <c r="K18" i="50"/>
  <c r="H18" i="50"/>
  <c r="E18" i="50"/>
  <c r="N17" i="50"/>
  <c r="K17" i="50"/>
  <c r="H17" i="50"/>
  <c r="E17" i="50"/>
  <c r="N16" i="50"/>
  <c r="K16" i="50"/>
  <c r="H16" i="50"/>
  <c r="E16" i="50"/>
  <c r="N15" i="50"/>
  <c r="K15" i="50"/>
  <c r="H15" i="50"/>
  <c r="E15" i="50"/>
  <c r="N14" i="50"/>
  <c r="K14" i="50"/>
  <c r="H14" i="50"/>
  <c r="E14" i="50"/>
  <c r="N13" i="50"/>
  <c r="K13" i="50"/>
  <c r="H13" i="50"/>
  <c r="E13" i="50"/>
  <c r="N12" i="50"/>
  <c r="K12" i="50"/>
  <c r="H12" i="50"/>
  <c r="E12" i="50"/>
  <c r="N11" i="50"/>
  <c r="K11" i="50"/>
  <c r="H11" i="50"/>
  <c r="E11" i="50"/>
  <c r="N10" i="50"/>
  <c r="K10" i="50"/>
  <c r="H10" i="50"/>
  <c r="E10" i="50"/>
  <c r="N9" i="50"/>
  <c r="K9" i="50"/>
  <c r="H9" i="50"/>
  <c r="E9" i="50"/>
  <c r="N8" i="50"/>
  <c r="K8" i="50"/>
  <c r="H8" i="50"/>
  <c r="E8" i="50"/>
  <c r="N7" i="50"/>
  <c r="K7" i="50"/>
  <c r="H7" i="50"/>
  <c r="E7" i="50"/>
  <c r="N6" i="50"/>
  <c r="K6" i="50"/>
  <c r="H6" i="50"/>
  <c r="E6" i="50"/>
  <c r="N5" i="50"/>
  <c r="K5" i="50"/>
  <c r="H5" i="50"/>
  <c r="E5" i="50"/>
  <c r="N4" i="50"/>
  <c r="K4" i="50"/>
  <c r="H4" i="50"/>
  <c r="E4" i="50"/>
  <c r="F33" i="49"/>
  <c r="C33" i="49"/>
  <c r="E31" i="49"/>
  <c r="H31" i="49"/>
  <c r="K31" i="49"/>
  <c r="N31" i="49"/>
  <c r="O31" i="49"/>
  <c r="E30" i="49"/>
  <c r="H30" i="49"/>
  <c r="K30" i="49"/>
  <c r="N30" i="49"/>
  <c r="N29" i="49"/>
  <c r="K29" i="49"/>
  <c r="H29" i="49"/>
  <c r="E29" i="49"/>
  <c r="E26" i="49"/>
  <c r="H26" i="49"/>
  <c r="K26" i="49"/>
  <c r="N26" i="49"/>
  <c r="E25" i="49"/>
  <c r="H25" i="49"/>
  <c r="K25" i="49"/>
  <c r="N25" i="49"/>
  <c r="E24" i="49"/>
  <c r="H24" i="49"/>
  <c r="K24" i="49"/>
  <c r="N24" i="49"/>
  <c r="E23" i="49"/>
  <c r="H23" i="49"/>
  <c r="K23" i="49"/>
  <c r="N23" i="49"/>
  <c r="E22" i="49"/>
  <c r="H22" i="49"/>
  <c r="K22" i="49"/>
  <c r="N22" i="49"/>
  <c r="E21" i="49"/>
  <c r="H21" i="49"/>
  <c r="K21" i="49"/>
  <c r="N21" i="49"/>
  <c r="E19" i="49"/>
  <c r="H19" i="49"/>
  <c r="K19" i="49"/>
  <c r="N19" i="49"/>
  <c r="E18" i="49"/>
  <c r="H18" i="49"/>
  <c r="K18" i="49"/>
  <c r="N18" i="49"/>
  <c r="E17" i="49"/>
  <c r="H17" i="49"/>
  <c r="K17" i="49"/>
  <c r="N17" i="49"/>
  <c r="E16" i="49"/>
  <c r="H16" i="49"/>
  <c r="K16" i="49"/>
  <c r="N16" i="49"/>
  <c r="L33" i="49"/>
  <c r="I33" i="49"/>
  <c r="N32" i="49"/>
  <c r="K32" i="49"/>
  <c r="H32" i="49"/>
  <c r="E32" i="49"/>
  <c r="N28" i="49"/>
  <c r="K28" i="49"/>
  <c r="H28" i="49"/>
  <c r="E28" i="49"/>
  <c r="N27" i="49"/>
  <c r="K27" i="49"/>
  <c r="H27" i="49"/>
  <c r="E27" i="49"/>
  <c r="N20" i="49"/>
  <c r="K20" i="49"/>
  <c r="H20" i="49"/>
  <c r="E20" i="49"/>
  <c r="N15" i="49"/>
  <c r="K15" i="49"/>
  <c r="H15" i="49"/>
  <c r="E15" i="49"/>
  <c r="N14" i="49"/>
  <c r="K14" i="49"/>
  <c r="H14" i="49"/>
  <c r="E14" i="49"/>
  <c r="N13" i="49"/>
  <c r="K13" i="49"/>
  <c r="H13" i="49"/>
  <c r="E13" i="49"/>
  <c r="N12" i="49"/>
  <c r="K12" i="49"/>
  <c r="H12" i="49"/>
  <c r="E12" i="49"/>
  <c r="N11" i="49"/>
  <c r="K11" i="49"/>
  <c r="H11" i="49"/>
  <c r="E11" i="49"/>
  <c r="N10" i="49"/>
  <c r="K10" i="49"/>
  <c r="H10" i="49"/>
  <c r="E10" i="49"/>
  <c r="N9" i="49"/>
  <c r="K9" i="49"/>
  <c r="H9" i="49"/>
  <c r="E9" i="49"/>
  <c r="N8" i="49"/>
  <c r="K8" i="49"/>
  <c r="H8" i="49"/>
  <c r="E8" i="49"/>
  <c r="N7" i="49"/>
  <c r="K7" i="49"/>
  <c r="H7" i="49"/>
  <c r="E7" i="49"/>
  <c r="N6" i="49"/>
  <c r="K6" i="49"/>
  <c r="H6" i="49"/>
  <c r="E6" i="49"/>
  <c r="N5" i="49"/>
  <c r="K5" i="49"/>
  <c r="H5" i="49"/>
  <c r="E5" i="49"/>
  <c r="N4" i="49"/>
  <c r="K4" i="49"/>
  <c r="H4" i="49"/>
  <c r="E4" i="49"/>
  <c r="F25" i="48"/>
  <c r="C25" i="48"/>
  <c r="H15" i="48"/>
  <c r="E20" i="48"/>
  <c r="H20" i="48"/>
  <c r="K20" i="48"/>
  <c r="N20" i="48"/>
  <c r="E19" i="48"/>
  <c r="H19" i="48"/>
  <c r="K19" i="48"/>
  <c r="N19" i="48"/>
  <c r="E18" i="48"/>
  <c r="H18" i="48"/>
  <c r="K18" i="48"/>
  <c r="N18" i="48"/>
  <c r="E17" i="48"/>
  <c r="H17" i="48"/>
  <c r="K17" i="48"/>
  <c r="N17" i="48"/>
  <c r="E16" i="48"/>
  <c r="H16" i="48"/>
  <c r="K16" i="48"/>
  <c r="N16" i="48"/>
  <c r="O16" i="48"/>
  <c r="E15" i="48"/>
  <c r="K15" i="48"/>
  <c r="N15" i="48"/>
  <c r="E14" i="48"/>
  <c r="H14" i="48"/>
  <c r="K14" i="48"/>
  <c r="N14" i="48"/>
  <c r="O20" i="47"/>
  <c r="C20" i="47"/>
  <c r="F20" i="47"/>
  <c r="L25" i="48"/>
  <c r="I25" i="48"/>
  <c r="N24" i="48"/>
  <c r="K24" i="48"/>
  <c r="H24" i="48"/>
  <c r="E24" i="48"/>
  <c r="N23" i="48"/>
  <c r="K23" i="48"/>
  <c r="H23" i="48"/>
  <c r="E23" i="48"/>
  <c r="N22" i="48"/>
  <c r="K22" i="48"/>
  <c r="H22" i="48"/>
  <c r="E22" i="48"/>
  <c r="N21" i="48"/>
  <c r="K21" i="48"/>
  <c r="H21" i="48"/>
  <c r="E21" i="48"/>
  <c r="N13" i="48"/>
  <c r="K13" i="48"/>
  <c r="H13" i="48"/>
  <c r="E13" i="48"/>
  <c r="N12" i="48"/>
  <c r="K12" i="48"/>
  <c r="H12" i="48"/>
  <c r="E12" i="48"/>
  <c r="N11" i="48"/>
  <c r="K11" i="48"/>
  <c r="H11" i="48"/>
  <c r="E11" i="48"/>
  <c r="N10" i="48"/>
  <c r="K10" i="48"/>
  <c r="H10" i="48"/>
  <c r="E10" i="48"/>
  <c r="N9" i="48"/>
  <c r="K9" i="48"/>
  <c r="H9" i="48"/>
  <c r="E9" i="48"/>
  <c r="N8" i="48"/>
  <c r="K8" i="48"/>
  <c r="H8" i="48"/>
  <c r="E8" i="48"/>
  <c r="N7" i="48"/>
  <c r="K7" i="48"/>
  <c r="H7" i="48"/>
  <c r="E7" i="48"/>
  <c r="N6" i="48"/>
  <c r="K6" i="48"/>
  <c r="H6" i="48"/>
  <c r="E6" i="48"/>
  <c r="N5" i="48"/>
  <c r="K5" i="48"/>
  <c r="H5" i="48"/>
  <c r="E5" i="48"/>
  <c r="N4" i="48"/>
  <c r="K4" i="48"/>
  <c r="H4" i="48"/>
  <c r="E4" i="48"/>
  <c r="C36" i="34"/>
  <c r="F36" i="34"/>
  <c r="I20" i="47"/>
  <c r="K20" i="47"/>
  <c r="E18" i="47"/>
  <c r="H18" i="47"/>
  <c r="K18" i="47"/>
  <c r="N18" i="47"/>
  <c r="E16" i="47"/>
  <c r="H16" i="47"/>
  <c r="K16" i="47"/>
  <c r="N16" i="47"/>
  <c r="N15" i="47"/>
  <c r="K15" i="47"/>
  <c r="H15" i="47"/>
  <c r="E15" i="47"/>
  <c r="E19" i="47"/>
  <c r="H19" i="47"/>
  <c r="K19" i="47"/>
  <c r="N19" i="47"/>
  <c r="L20" i="47"/>
  <c r="N17" i="47"/>
  <c r="K17" i="47"/>
  <c r="H17" i="47"/>
  <c r="E17" i="47"/>
  <c r="N14" i="47"/>
  <c r="K14" i="47"/>
  <c r="H14" i="47"/>
  <c r="E14" i="47"/>
  <c r="N13" i="47"/>
  <c r="K13" i="47"/>
  <c r="H13" i="47"/>
  <c r="E13" i="47"/>
  <c r="N12" i="47"/>
  <c r="K12" i="47"/>
  <c r="H12" i="47"/>
  <c r="E12" i="47"/>
  <c r="N11" i="47"/>
  <c r="K11" i="47"/>
  <c r="H11" i="47"/>
  <c r="E11" i="47"/>
  <c r="N10" i="47"/>
  <c r="K10" i="47"/>
  <c r="H10" i="47"/>
  <c r="E10" i="47"/>
  <c r="N9" i="47"/>
  <c r="K9" i="47"/>
  <c r="H9" i="47"/>
  <c r="E9" i="47"/>
  <c r="N8" i="47"/>
  <c r="K8" i="47"/>
  <c r="H8" i="47"/>
  <c r="E8" i="47"/>
  <c r="N7" i="47"/>
  <c r="K7" i="47"/>
  <c r="H7" i="47"/>
  <c r="E7" i="47"/>
  <c r="N6" i="47"/>
  <c r="K6" i="47"/>
  <c r="H6" i="47"/>
  <c r="E6" i="47"/>
  <c r="N5" i="47"/>
  <c r="K5" i="47"/>
  <c r="H5" i="47"/>
  <c r="E5" i="47"/>
  <c r="N4" i="47"/>
  <c r="K4" i="47"/>
  <c r="H4" i="47"/>
  <c r="E4" i="47"/>
  <c r="N34" i="34"/>
  <c r="K34" i="34"/>
  <c r="H34" i="34"/>
  <c r="E34" i="34"/>
  <c r="O34" i="34" s="1"/>
  <c r="L36" i="34"/>
  <c r="N33" i="34"/>
  <c r="K33" i="34"/>
  <c r="H33" i="34"/>
  <c r="E33" i="34"/>
  <c r="H5" i="34"/>
  <c r="H6" i="34"/>
  <c r="H7" i="34"/>
  <c r="H8" i="34"/>
  <c r="H9" i="34"/>
  <c r="H10" i="34"/>
  <c r="H11" i="34"/>
  <c r="H12" i="34"/>
  <c r="H13" i="34"/>
  <c r="H14" i="34"/>
  <c r="H15" i="34"/>
  <c r="H16" i="34"/>
  <c r="H17" i="34"/>
  <c r="H18" i="34"/>
  <c r="H19" i="34"/>
  <c r="H20" i="34"/>
  <c r="H21" i="34"/>
  <c r="H22" i="34"/>
  <c r="H23" i="34"/>
  <c r="H24" i="34"/>
  <c r="H25" i="34"/>
  <c r="H26" i="34"/>
  <c r="H27" i="34"/>
  <c r="H28" i="34"/>
  <c r="H29" i="34"/>
  <c r="H30" i="34"/>
  <c r="H31" i="34"/>
  <c r="H32" i="34"/>
  <c r="H35" i="34"/>
  <c r="H4" i="34"/>
  <c r="N27" i="34"/>
  <c r="N28" i="34"/>
  <c r="N29" i="34"/>
  <c r="N30" i="34"/>
  <c r="N31" i="34"/>
  <c r="N32" i="34"/>
  <c r="N35" i="34"/>
  <c r="K27" i="34"/>
  <c r="K28" i="34"/>
  <c r="K29" i="34"/>
  <c r="K30" i="34"/>
  <c r="K31" i="34"/>
  <c r="K32" i="34"/>
  <c r="K35" i="34"/>
  <c r="E26" i="34"/>
  <c r="E27" i="34"/>
  <c r="E28" i="34"/>
  <c r="E29" i="34"/>
  <c r="E30" i="34"/>
  <c r="E31" i="34"/>
  <c r="E32" i="34"/>
  <c r="E35" i="34"/>
  <c r="I36" i="34"/>
  <c r="L34" i="46"/>
  <c r="F34" i="46"/>
  <c r="C34" i="46"/>
  <c r="I34" i="46"/>
  <c r="N33" i="46"/>
  <c r="K33" i="46"/>
  <c r="H33" i="46"/>
  <c r="E33" i="46"/>
  <c r="N32" i="46"/>
  <c r="K32" i="46"/>
  <c r="H32" i="46"/>
  <c r="E32" i="46"/>
  <c r="N31" i="46"/>
  <c r="K31" i="46"/>
  <c r="H31" i="46"/>
  <c r="E31" i="46"/>
  <c r="N30" i="46"/>
  <c r="K30" i="46"/>
  <c r="H30" i="46"/>
  <c r="E30" i="46"/>
  <c r="N29" i="46"/>
  <c r="K29" i="46"/>
  <c r="H29" i="46"/>
  <c r="E29" i="46"/>
  <c r="N28" i="46"/>
  <c r="K28" i="46"/>
  <c r="H28" i="46"/>
  <c r="E28" i="46"/>
  <c r="N27" i="46"/>
  <c r="K27" i="46"/>
  <c r="H27" i="46"/>
  <c r="E27" i="46"/>
  <c r="N26" i="46"/>
  <c r="K26" i="46"/>
  <c r="H26" i="46"/>
  <c r="E26" i="46"/>
  <c r="N25" i="46"/>
  <c r="K25" i="46"/>
  <c r="H25" i="46"/>
  <c r="E25" i="46"/>
  <c r="N24" i="46"/>
  <c r="K24" i="46"/>
  <c r="H24" i="46"/>
  <c r="E24" i="46"/>
  <c r="N23" i="46"/>
  <c r="K23" i="46"/>
  <c r="H23" i="46"/>
  <c r="E23" i="46"/>
  <c r="N22" i="46"/>
  <c r="K22" i="46"/>
  <c r="H22" i="46"/>
  <c r="E22" i="46"/>
  <c r="N21" i="46"/>
  <c r="K21" i="46"/>
  <c r="H21" i="46"/>
  <c r="E21" i="46"/>
  <c r="N20" i="46"/>
  <c r="K20" i="46"/>
  <c r="H20" i="46"/>
  <c r="E20" i="46"/>
  <c r="N19" i="46"/>
  <c r="K19" i="46"/>
  <c r="H19" i="46"/>
  <c r="E19" i="46"/>
  <c r="N18" i="46"/>
  <c r="K18" i="46"/>
  <c r="H18" i="46"/>
  <c r="E18" i="46"/>
  <c r="N17" i="46"/>
  <c r="K17" i="46"/>
  <c r="H17" i="46"/>
  <c r="E17" i="46"/>
  <c r="N16" i="46"/>
  <c r="K16" i="46"/>
  <c r="H16" i="46"/>
  <c r="E16" i="46"/>
  <c r="N15" i="46"/>
  <c r="K15" i="46"/>
  <c r="H15" i="46"/>
  <c r="E15" i="46"/>
  <c r="N14" i="46"/>
  <c r="K14" i="46"/>
  <c r="H14" i="46"/>
  <c r="E14" i="46"/>
  <c r="N13" i="46"/>
  <c r="K13" i="46"/>
  <c r="H13" i="46"/>
  <c r="E13" i="46"/>
  <c r="N12" i="46"/>
  <c r="K12" i="46"/>
  <c r="H12" i="46"/>
  <c r="E12" i="46"/>
  <c r="N11" i="46"/>
  <c r="N34" i="46" s="1"/>
  <c r="K11" i="46"/>
  <c r="H11" i="46"/>
  <c r="H34" i="46" s="1"/>
  <c r="E11" i="46"/>
  <c r="N10" i="46"/>
  <c r="H10" i="46"/>
  <c r="E10" i="46"/>
  <c r="N9" i="46"/>
  <c r="K9" i="46"/>
  <c r="H9" i="46"/>
  <c r="E9" i="46"/>
  <c r="O9" i="46" s="1"/>
  <c r="N8" i="46"/>
  <c r="K8" i="46"/>
  <c r="H8" i="46"/>
  <c r="E8" i="46"/>
  <c r="N7" i="46"/>
  <c r="K7" i="46"/>
  <c r="H7" i="46"/>
  <c r="E7" i="46"/>
  <c r="N6" i="46"/>
  <c r="K6" i="46"/>
  <c r="H6" i="46"/>
  <c r="E6" i="46"/>
  <c r="N5" i="46"/>
  <c r="K5" i="46"/>
  <c r="H5" i="46"/>
  <c r="E5" i="46"/>
  <c r="E34" i="46" s="1"/>
  <c r="N4" i="46"/>
  <c r="K4" i="46"/>
  <c r="H4" i="46"/>
  <c r="E4" i="46"/>
  <c r="L35" i="45"/>
  <c r="I35" i="45"/>
  <c r="F35" i="45"/>
  <c r="C35" i="45"/>
  <c r="N34" i="45"/>
  <c r="K34" i="45"/>
  <c r="H34" i="45"/>
  <c r="E34" i="45"/>
  <c r="N33" i="45"/>
  <c r="K33" i="45"/>
  <c r="H33" i="45"/>
  <c r="E33" i="45"/>
  <c r="N32" i="45"/>
  <c r="K32" i="45"/>
  <c r="H32" i="45"/>
  <c r="E32" i="45"/>
  <c r="N31" i="45"/>
  <c r="K31" i="45"/>
  <c r="H31" i="45"/>
  <c r="E31" i="45"/>
  <c r="N30" i="45"/>
  <c r="K30" i="45"/>
  <c r="H30" i="45"/>
  <c r="E30" i="45"/>
  <c r="N29" i="45"/>
  <c r="K29" i="45"/>
  <c r="H29" i="45"/>
  <c r="E29" i="45"/>
  <c r="N28" i="45"/>
  <c r="K28" i="45"/>
  <c r="H28" i="45"/>
  <c r="E28" i="45"/>
  <c r="N27" i="45"/>
  <c r="K27" i="45"/>
  <c r="H27" i="45"/>
  <c r="E27" i="45"/>
  <c r="N26" i="45"/>
  <c r="K26" i="45"/>
  <c r="H26" i="45"/>
  <c r="E26" i="45"/>
  <c r="N25" i="45"/>
  <c r="K25" i="45"/>
  <c r="H25" i="45"/>
  <c r="E25" i="45"/>
  <c r="N24" i="45"/>
  <c r="K24" i="45"/>
  <c r="H24" i="45"/>
  <c r="E24" i="45"/>
  <c r="N23" i="45"/>
  <c r="K23" i="45"/>
  <c r="H23" i="45"/>
  <c r="E23" i="45"/>
  <c r="N22" i="45"/>
  <c r="K22" i="45"/>
  <c r="H22" i="45"/>
  <c r="E22" i="45"/>
  <c r="N21" i="45"/>
  <c r="K21" i="45"/>
  <c r="H21" i="45"/>
  <c r="E21" i="45"/>
  <c r="N20" i="45"/>
  <c r="K20" i="45"/>
  <c r="H20" i="45"/>
  <c r="E20" i="45"/>
  <c r="N19" i="45"/>
  <c r="K19" i="45"/>
  <c r="H19" i="45"/>
  <c r="E19" i="45"/>
  <c r="N18" i="45"/>
  <c r="K18" i="45"/>
  <c r="H18" i="45"/>
  <c r="E18" i="45"/>
  <c r="N17" i="45"/>
  <c r="K17" i="45"/>
  <c r="H17" i="45"/>
  <c r="E17" i="45"/>
  <c r="N16" i="45"/>
  <c r="K16" i="45"/>
  <c r="H16" i="45"/>
  <c r="E16" i="45"/>
  <c r="N15" i="45"/>
  <c r="K15" i="45"/>
  <c r="H15" i="45"/>
  <c r="E15" i="45"/>
  <c r="N14" i="45"/>
  <c r="K14" i="45"/>
  <c r="H14" i="45"/>
  <c r="E14" i="45"/>
  <c r="N13" i="45"/>
  <c r="K13" i="45"/>
  <c r="H13" i="45"/>
  <c r="E13" i="45"/>
  <c r="N12" i="45"/>
  <c r="K12" i="45"/>
  <c r="H12" i="45"/>
  <c r="E12" i="45"/>
  <c r="N11" i="45"/>
  <c r="K11" i="45"/>
  <c r="H11" i="45"/>
  <c r="E11" i="45"/>
  <c r="N10" i="45"/>
  <c r="H10" i="45"/>
  <c r="E10" i="45"/>
  <c r="N9" i="45"/>
  <c r="K9" i="45"/>
  <c r="H9" i="45"/>
  <c r="E9" i="45"/>
  <c r="N8" i="45"/>
  <c r="K8" i="45"/>
  <c r="H8" i="45"/>
  <c r="E8" i="45"/>
  <c r="N7" i="45"/>
  <c r="K7" i="45"/>
  <c r="H7" i="45"/>
  <c r="E7" i="45"/>
  <c r="N6" i="45"/>
  <c r="K6" i="45"/>
  <c r="H6" i="45"/>
  <c r="E6" i="45"/>
  <c r="N5" i="45"/>
  <c r="K5" i="45"/>
  <c r="H5" i="45"/>
  <c r="E5" i="45"/>
  <c r="N4" i="45"/>
  <c r="K4" i="45"/>
  <c r="H4" i="45"/>
  <c r="E4" i="45"/>
  <c r="C35" i="44"/>
  <c r="F35" i="44"/>
  <c r="I35" i="44"/>
  <c r="N35" i="44"/>
  <c r="L35" i="44"/>
  <c r="N34" i="44"/>
  <c r="K34" i="44"/>
  <c r="H34" i="44"/>
  <c r="E34" i="44"/>
  <c r="N33" i="44"/>
  <c r="K33" i="44"/>
  <c r="H33" i="44"/>
  <c r="E33" i="44"/>
  <c r="N32" i="44"/>
  <c r="K32" i="44"/>
  <c r="H32" i="44"/>
  <c r="E32" i="44"/>
  <c r="N31" i="44"/>
  <c r="K31" i="44"/>
  <c r="H31" i="44"/>
  <c r="E31" i="44"/>
  <c r="N30" i="44"/>
  <c r="K30" i="44"/>
  <c r="H30" i="44"/>
  <c r="E30" i="44"/>
  <c r="N29" i="44"/>
  <c r="K29" i="44"/>
  <c r="H29" i="44"/>
  <c r="E29" i="44"/>
  <c r="N28" i="44"/>
  <c r="K28" i="44"/>
  <c r="H28" i="44"/>
  <c r="E28" i="44"/>
  <c r="N27" i="44"/>
  <c r="K27" i="44"/>
  <c r="H27" i="44"/>
  <c r="E27" i="44"/>
  <c r="N26" i="44"/>
  <c r="K26" i="44"/>
  <c r="H26" i="44"/>
  <c r="E26" i="44"/>
  <c r="N25" i="44"/>
  <c r="K25" i="44"/>
  <c r="H25" i="44"/>
  <c r="E25" i="44"/>
  <c r="N24" i="44"/>
  <c r="K24" i="44"/>
  <c r="H24" i="44"/>
  <c r="E24" i="44"/>
  <c r="N23" i="44"/>
  <c r="K23" i="44"/>
  <c r="H23" i="44"/>
  <c r="E23" i="44"/>
  <c r="N22" i="44"/>
  <c r="K22" i="44"/>
  <c r="H22" i="44"/>
  <c r="E22" i="44"/>
  <c r="N21" i="44"/>
  <c r="K21" i="44"/>
  <c r="H21" i="44"/>
  <c r="E21" i="44"/>
  <c r="N20" i="44"/>
  <c r="K20" i="44"/>
  <c r="H20" i="44"/>
  <c r="E20" i="44"/>
  <c r="N19" i="44"/>
  <c r="K19" i="44"/>
  <c r="H19" i="44"/>
  <c r="E19" i="44"/>
  <c r="N18" i="44"/>
  <c r="K18" i="44"/>
  <c r="H18" i="44"/>
  <c r="E18" i="44"/>
  <c r="N17" i="44"/>
  <c r="K17" i="44"/>
  <c r="H17" i="44"/>
  <c r="E17" i="44"/>
  <c r="N16" i="44"/>
  <c r="K16" i="44"/>
  <c r="H16" i="44"/>
  <c r="E16" i="44"/>
  <c r="N15" i="44"/>
  <c r="K15" i="44"/>
  <c r="H15" i="44"/>
  <c r="E15" i="44"/>
  <c r="N14" i="44"/>
  <c r="K14" i="44"/>
  <c r="H14" i="44"/>
  <c r="E14" i="44"/>
  <c r="N13" i="44"/>
  <c r="K13" i="44"/>
  <c r="H13" i="44"/>
  <c r="E13" i="44"/>
  <c r="N12" i="44"/>
  <c r="K12" i="44"/>
  <c r="H12" i="44"/>
  <c r="E12" i="44"/>
  <c r="N11" i="44"/>
  <c r="K11" i="44"/>
  <c r="K35" i="44" s="1"/>
  <c r="H11" i="44"/>
  <c r="E11" i="44"/>
  <c r="N10" i="44"/>
  <c r="H10" i="44"/>
  <c r="E10" i="44"/>
  <c r="N9" i="44"/>
  <c r="K9" i="44"/>
  <c r="H9" i="44"/>
  <c r="E9" i="44"/>
  <c r="N8" i="44"/>
  <c r="K8" i="44"/>
  <c r="H8" i="44"/>
  <c r="E8" i="44"/>
  <c r="N7" i="44"/>
  <c r="K7" i="44"/>
  <c r="H7" i="44"/>
  <c r="E7" i="44"/>
  <c r="N6" i="44"/>
  <c r="K6" i="44"/>
  <c r="H6" i="44"/>
  <c r="E6" i="44"/>
  <c r="N5" i="44"/>
  <c r="K5" i="44"/>
  <c r="H5" i="44"/>
  <c r="E5" i="44"/>
  <c r="N4" i="44"/>
  <c r="K4" i="44"/>
  <c r="H4" i="44"/>
  <c r="E4" i="44"/>
  <c r="L36" i="43"/>
  <c r="F36" i="43"/>
  <c r="C36" i="43"/>
  <c r="I36" i="43"/>
  <c r="N35" i="43"/>
  <c r="K35" i="43"/>
  <c r="H35" i="43"/>
  <c r="E35" i="43"/>
  <c r="N34" i="43"/>
  <c r="K34" i="43"/>
  <c r="H34" i="43"/>
  <c r="E34" i="43"/>
  <c r="N33" i="43"/>
  <c r="K33" i="43"/>
  <c r="H33" i="43"/>
  <c r="E33" i="43"/>
  <c r="N32" i="43"/>
  <c r="K32" i="43"/>
  <c r="H32" i="43"/>
  <c r="E32" i="43"/>
  <c r="N31" i="43"/>
  <c r="K31" i="43"/>
  <c r="H31" i="43"/>
  <c r="E31" i="43"/>
  <c r="N30" i="43"/>
  <c r="K30" i="43"/>
  <c r="H30" i="43"/>
  <c r="E30" i="43"/>
  <c r="N29" i="43"/>
  <c r="K29" i="43"/>
  <c r="H29" i="43"/>
  <c r="E29" i="43"/>
  <c r="N28" i="43"/>
  <c r="K28" i="43"/>
  <c r="H28" i="43"/>
  <c r="E28" i="43"/>
  <c r="N27" i="43"/>
  <c r="K27" i="43"/>
  <c r="H27" i="43"/>
  <c r="E27" i="43"/>
  <c r="N26" i="43"/>
  <c r="K26" i="43"/>
  <c r="H26" i="43"/>
  <c r="E26" i="43"/>
  <c r="N25" i="43"/>
  <c r="K25" i="43"/>
  <c r="H25" i="43"/>
  <c r="E25" i="43"/>
  <c r="N24" i="43"/>
  <c r="K24" i="43"/>
  <c r="H24" i="43"/>
  <c r="E24" i="43"/>
  <c r="N23" i="43"/>
  <c r="K23" i="43"/>
  <c r="H23" i="43"/>
  <c r="E23" i="43"/>
  <c r="N22" i="43"/>
  <c r="K22" i="43"/>
  <c r="H22" i="43"/>
  <c r="E22" i="43"/>
  <c r="N21" i="43"/>
  <c r="K21" i="43"/>
  <c r="H21" i="43"/>
  <c r="E21" i="43"/>
  <c r="N20" i="43"/>
  <c r="K20" i="43"/>
  <c r="H20" i="43"/>
  <c r="E20" i="43"/>
  <c r="N19" i="43"/>
  <c r="K19" i="43"/>
  <c r="H19" i="43"/>
  <c r="E19" i="43"/>
  <c r="N18" i="43"/>
  <c r="K18" i="43"/>
  <c r="H18" i="43"/>
  <c r="E18" i="43"/>
  <c r="N17" i="43"/>
  <c r="K17" i="43"/>
  <c r="H17" i="43"/>
  <c r="E17" i="43"/>
  <c r="N16" i="43"/>
  <c r="K16" i="43"/>
  <c r="H16" i="43"/>
  <c r="E16" i="43"/>
  <c r="N15" i="43"/>
  <c r="K15" i="43"/>
  <c r="H15" i="43"/>
  <c r="E15" i="43"/>
  <c r="N14" i="43"/>
  <c r="K14" i="43"/>
  <c r="H14" i="43"/>
  <c r="E14" i="43"/>
  <c r="N13" i="43"/>
  <c r="K13" i="43"/>
  <c r="H13" i="43"/>
  <c r="E13" i="43"/>
  <c r="N12" i="43"/>
  <c r="K12" i="43"/>
  <c r="H12" i="43"/>
  <c r="E12" i="43"/>
  <c r="N11" i="43"/>
  <c r="K11" i="43"/>
  <c r="H11" i="43"/>
  <c r="E11" i="43"/>
  <c r="N10" i="43"/>
  <c r="H10" i="43"/>
  <c r="E10" i="43"/>
  <c r="N9" i="43"/>
  <c r="K9" i="43"/>
  <c r="H9" i="43"/>
  <c r="E9" i="43"/>
  <c r="N8" i="43"/>
  <c r="K8" i="43"/>
  <c r="H8" i="43"/>
  <c r="E8" i="43"/>
  <c r="N7" i="43"/>
  <c r="K7" i="43"/>
  <c r="H7" i="43"/>
  <c r="E7" i="43"/>
  <c r="N6" i="43"/>
  <c r="K6" i="43"/>
  <c r="H6" i="43"/>
  <c r="E6" i="43"/>
  <c r="N5" i="43"/>
  <c r="K5" i="43"/>
  <c r="H5" i="43"/>
  <c r="E5" i="43"/>
  <c r="N4" i="43"/>
  <c r="N36" i="43" s="1"/>
  <c r="K4" i="43"/>
  <c r="H4" i="43"/>
  <c r="H36" i="43" s="1"/>
  <c r="E4" i="43"/>
  <c r="L36" i="41"/>
  <c r="C36" i="41"/>
  <c r="H36" i="41"/>
  <c r="E36" i="41"/>
  <c r="F34" i="40"/>
  <c r="C34" i="40"/>
  <c r="F36" i="41"/>
  <c r="I36" i="41"/>
  <c r="N34" i="41"/>
  <c r="K34" i="41"/>
  <c r="H34" i="41"/>
  <c r="E34" i="41"/>
  <c r="E5" i="41"/>
  <c r="H5" i="41"/>
  <c r="K5" i="41"/>
  <c r="N5" i="41"/>
  <c r="L34" i="40"/>
  <c r="N35" i="41"/>
  <c r="K35" i="41"/>
  <c r="H35" i="41"/>
  <c r="E35" i="41"/>
  <c r="N33" i="41"/>
  <c r="K33" i="41"/>
  <c r="H33" i="41"/>
  <c r="E33" i="41"/>
  <c r="N32" i="41"/>
  <c r="K32" i="41"/>
  <c r="H32" i="41"/>
  <c r="E32" i="41"/>
  <c r="N31" i="41"/>
  <c r="K31" i="41"/>
  <c r="H31" i="41"/>
  <c r="E31" i="41"/>
  <c r="N30" i="41"/>
  <c r="K30" i="41"/>
  <c r="H30" i="41"/>
  <c r="E30" i="41"/>
  <c r="N29" i="41"/>
  <c r="K29" i="41"/>
  <c r="H29" i="41"/>
  <c r="E29" i="41"/>
  <c r="N28" i="41"/>
  <c r="K28" i="41"/>
  <c r="H28" i="41"/>
  <c r="E28" i="41"/>
  <c r="N27" i="41"/>
  <c r="K27" i="41"/>
  <c r="H27" i="41"/>
  <c r="E27" i="41"/>
  <c r="N26" i="41"/>
  <c r="K26" i="41"/>
  <c r="H26" i="41"/>
  <c r="E26" i="41"/>
  <c r="N25" i="41"/>
  <c r="K25" i="41"/>
  <c r="H25" i="41"/>
  <c r="E25" i="41"/>
  <c r="N24" i="41"/>
  <c r="K24" i="41"/>
  <c r="H24" i="41"/>
  <c r="E24" i="41"/>
  <c r="N23" i="41"/>
  <c r="K23" i="41"/>
  <c r="H23" i="41"/>
  <c r="E23" i="41"/>
  <c r="N22" i="41"/>
  <c r="K22" i="41"/>
  <c r="H22" i="41"/>
  <c r="E22" i="41"/>
  <c r="N21" i="41"/>
  <c r="K21" i="41"/>
  <c r="H21" i="41"/>
  <c r="E21" i="41"/>
  <c r="N20" i="41"/>
  <c r="K20" i="41"/>
  <c r="H20" i="41"/>
  <c r="E20" i="41"/>
  <c r="N19" i="41"/>
  <c r="K19" i="41"/>
  <c r="H19" i="41"/>
  <c r="E19" i="41"/>
  <c r="N18" i="41"/>
  <c r="K18" i="41"/>
  <c r="H18" i="41"/>
  <c r="E18" i="41"/>
  <c r="N17" i="41"/>
  <c r="K17" i="41"/>
  <c r="H17" i="41"/>
  <c r="E17" i="41"/>
  <c r="N16" i="41"/>
  <c r="K16" i="41"/>
  <c r="H16" i="41"/>
  <c r="E16" i="41"/>
  <c r="N15" i="41"/>
  <c r="K15" i="41"/>
  <c r="H15" i="41"/>
  <c r="E15" i="41"/>
  <c r="N14" i="41"/>
  <c r="K14" i="41"/>
  <c r="H14" i="41"/>
  <c r="E14" i="41"/>
  <c r="N13" i="41"/>
  <c r="K13" i="41"/>
  <c r="H13" i="41"/>
  <c r="E13" i="41"/>
  <c r="N12" i="41"/>
  <c r="K12" i="41"/>
  <c r="H12" i="41"/>
  <c r="E12" i="41"/>
  <c r="N11" i="41"/>
  <c r="K11" i="41"/>
  <c r="H11" i="41"/>
  <c r="E11" i="41"/>
  <c r="N10" i="41"/>
  <c r="H10" i="41"/>
  <c r="E10" i="41"/>
  <c r="N9" i="41"/>
  <c r="K9" i="41"/>
  <c r="H9" i="41"/>
  <c r="E9" i="41"/>
  <c r="N8" i="41"/>
  <c r="K8" i="41"/>
  <c r="H8" i="41"/>
  <c r="E8" i="41"/>
  <c r="N7" i="41"/>
  <c r="K7" i="41"/>
  <c r="H7" i="41"/>
  <c r="E7" i="41"/>
  <c r="N6" i="41"/>
  <c r="K6" i="41"/>
  <c r="H6" i="41"/>
  <c r="E6" i="41"/>
  <c r="N4" i="41"/>
  <c r="N36" i="41" s="1"/>
  <c r="K4" i="41"/>
  <c r="K36" i="41" s="1"/>
  <c r="H4" i="41"/>
  <c r="E4" i="41"/>
  <c r="E33" i="40"/>
  <c r="H33" i="40"/>
  <c r="K33" i="40"/>
  <c r="N33" i="40"/>
  <c r="I34" i="40"/>
  <c r="N32" i="40"/>
  <c r="K32" i="40"/>
  <c r="H32" i="40"/>
  <c r="E32" i="40"/>
  <c r="N31" i="40"/>
  <c r="K31" i="40"/>
  <c r="H31" i="40"/>
  <c r="E31" i="40"/>
  <c r="N30" i="40"/>
  <c r="K30" i="40"/>
  <c r="H30" i="40"/>
  <c r="E30" i="40"/>
  <c r="N29" i="40"/>
  <c r="K29" i="40"/>
  <c r="H29" i="40"/>
  <c r="E29" i="40"/>
  <c r="N28" i="40"/>
  <c r="K28" i="40"/>
  <c r="H28" i="40"/>
  <c r="E28" i="40"/>
  <c r="N27" i="40"/>
  <c r="K27" i="40"/>
  <c r="H27" i="40"/>
  <c r="E27" i="40"/>
  <c r="N26" i="40"/>
  <c r="K26" i="40"/>
  <c r="H26" i="40"/>
  <c r="E26" i="40"/>
  <c r="N25" i="40"/>
  <c r="K25" i="40"/>
  <c r="H25" i="40"/>
  <c r="E25" i="40"/>
  <c r="N24" i="40"/>
  <c r="K24" i="40"/>
  <c r="H24" i="40"/>
  <c r="E24" i="40"/>
  <c r="N23" i="40"/>
  <c r="K23" i="40"/>
  <c r="H23" i="40"/>
  <c r="E23" i="40"/>
  <c r="N22" i="40"/>
  <c r="K22" i="40"/>
  <c r="H22" i="40"/>
  <c r="E22" i="40"/>
  <c r="N21" i="40"/>
  <c r="K21" i="40"/>
  <c r="H21" i="40"/>
  <c r="E21" i="40"/>
  <c r="N20" i="40"/>
  <c r="K20" i="40"/>
  <c r="H20" i="40"/>
  <c r="E20" i="40"/>
  <c r="N19" i="40"/>
  <c r="K19" i="40"/>
  <c r="H19" i="40"/>
  <c r="E19" i="40"/>
  <c r="N18" i="40"/>
  <c r="K18" i="40"/>
  <c r="H18" i="40"/>
  <c r="E18" i="40"/>
  <c r="N17" i="40"/>
  <c r="K17" i="40"/>
  <c r="H17" i="40"/>
  <c r="E17" i="40"/>
  <c r="N16" i="40"/>
  <c r="K16" i="40"/>
  <c r="H16" i="40"/>
  <c r="E16" i="40"/>
  <c r="N15" i="40"/>
  <c r="K15" i="40"/>
  <c r="H15" i="40"/>
  <c r="E15" i="40"/>
  <c r="N14" i="40"/>
  <c r="K14" i="40"/>
  <c r="H14" i="40"/>
  <c r="E14" i="40"/>
  <c r="N13" i="40"/>
  <c r="K13" i="40"/>
  <c r="H13" i="40"/>
  <c r="E13" i="40"/>
  <c r="N12" i="40"/>
  <c r="K12" i="40"/>
  <c r="H12" i="40"/>
  <c r="E12" i="40"/>
  <c r="N11" i="40"/>
  <c r="K11" i="40"/>
  <c r="H11" i="40"/>
  <c r="E11" i="40"/>
  <c r="N10" i="40"/>
  <c r="K10" i="40"/>
  <c r="H10" i="40"/>
  <c r="E10" i="40"/>
  <c r="N9" i="40"/>
  <c r="H9" i="40"/>
  <c r="E9" i="40"/>
  <c r="N8" i="40"/>
  <c r="K8" i="40"/>
  <c r="H8" i="40"/>
  <c r="E8" i="40"/>
  <c r="N7" i="40"/>
  <c r="K7" i="40"/>
  <c r="H7" i="40"/>
  <c r="E7" i="40"/>
  <c r="N6" i="40"/>
  <c r="K6" i="40"/>
  <c r="H6" i="40"/>
  <c r="E6" i="40"/>
  <c r="N5" i="40"/>
  <c r="K5" i="40"/>
  <c r="H5" i="40"/>
  <c r="E5" i="40"/>
  <c r="N4" i="40"/>
  <c r="K4" i="40"/>
  <c r="H4" i="40"/>
  <c r="H34" i="40" s="1"/>
  <c r="E4" i="40"/>
  <c r="E34" i="40" s="1"/>
  <c r="C33" i="39"/>
  <c r="F33" i="39"/>
  <c r="N4" i="39"/>
  <c r="K4" i="39"/>
  <c r="H4" i="39"/>
  <c r="H33" i="39" s="1"/>
  <c r="E4" i="39"/>
  <c r="O4" i="39" s="1"/>
  <c r="E32" i="39"/>
  <c r="H32" i="39"/>
  <c r="K32" i="39"/>
  <c r="N32" i="39"/>
  <c r="E31" i="39"/>
  <c r="H31" i="39"/>
  <c r="K31" i="39"/>
  <c r="N31" i="39"/>
  <c r="E29" i="39"/>
  <c r="H29" i="39"/>
  <c r="K29" i="39"/>
  <c r="N29" i="39"/>
  <c r="L33" i="39"/>
  <c r="I33" i="39"/>
  <c r="N30" i="39"/>
  <c r="K30" i="39"/>
  <c r="H30" i="39"/>
  <c r="E30" i="39"/>
  <c r="N28" i="39"/>
  <c r="K28" i="39"/>
  <c r="H28" i="39"/>
  <c r="E28" i="39"/>
  <c r="N27" i="39"/>
  <c r="K27" i="39"/>
  <c r="H27" i="39"/>
  <c r="E27" i="39"/>
  <c r="N26" i="39"/>
  <c r="K26" i="39"/>
  <c r="H26" i="39"/>
  <c r="E26" i="39"/>
  <c r="N25" i="39"/>
  <c r="K25" i="39"/>
  <c r="H25" i="39"/>
  <c r="E25" i="39"/>
  <c r="N24" i="39"/>
  <c r="K24" i="39"/>
  <c r="H24" i="39"/>
  <c r="E24" i="39"/>
  <c r="N23" i="39"/>
  <c r="K23" i="39"/>
  <c r="H23" i="39"/>
  <c r="E23" i="39"/>
  <c r="N22" i="39"/>
  <c r="K22" i="39"/>
  <c r="H22" i="39"/>
  <c r="E22" i="39"/>
  <c r="N21" i="39"/>
  <c r="K21" i="39"/>
  <c r="H21" i="39"/>
  <c r="E21" i="39"/>
  <c r="N20" i="39"/>
  <c r="K20" i="39"/>
  <c r="H20" i="39"/>
  <c r="E20" i="39"/>
  <c r="N19" i="39"/>
  <c r="K19" i="39"/>
  <c r="H19" i="39"/>
  <c r="E19" i="39"/>
  <c r="N18" i="39"/>
  <c r="K18" i="39"/>
  <c r="H18" i="39"/>
  <c r="E18" i="39"/>
  <c r="N17" i="39"/>
  <c r="K17" i="39"/>
  <c r="H17" i="39"/>
  <c r="E17" i="39"/>
  <c r="N16" i="39"/>
  <c r="K16" i="39"/>
  <c r="H16" i="39"/>
  <c r="E16" i="39"/>
  <c r="N15" i="39"/>
  <c r="K15" i="39"/>
  <c r="H15" i="39"/>
  <c r="E15" i="39"/>
  <c r="N14" i="39"/>
  <c r="K14" i="39"/>
  <c r="H14" i="39"/>
  <c r="E14" i="39"/>
  <c r="N13" i="39"/>
  <c r="K13" i="39"/>
  <c r="H13" i="39"/>
  <c r="E13" i="39"/>
  <c r="N12" i="39"/>
  <c r="K12" i="39"/>
  <c r="H12" i="39"/>
  <c r="E12" i="39"/>
  <c r="N11" i="39"/>
  <c r="K11" i="39"/>
  <c r="H11" i="39"/>
  <c r="E11" i="39"/>
  <c r="N10" i="39"/>
  <c r="K10" i="39"/>
  <c r="H10" i="39"/>
  <c r="E10" i="39"/>
  <c r="N9" i="39"/>
  <c r="H9" i="39"/>
  <c r="E9" i="39"/>
  <c r="N8" i="39"/>
  <c r="K8" i="39"/>
  <c r="H8" i="39"/>
  <c r="E8" i="39"/>
  <c r="N7" i="39"/>
  <c r="K7" i="39"/>
  <c r="H7" i="39"/>
  <c r="E7" i="39"/>
  <c r="N6" i="39"/>
  <c r="K6" i="39"/>
  <c r="H6" i="39"/>
  <c r="E6" i="39"/>
  <c r="N5" i="39"/>
  <c r="K5" i="39"/>
  <c r="K33" i="39" s="1"/>
  <c r="H5" i="39"/>
  <c r="E5" i="39"/>
  <c r="C33" i="38"/>
  <c r="F33" i="38"/>
  <c r="L33" i="38"/>
  <c r="K32" i="38"/>
  <c r="E32" i="38"/>
  <c r="H32" i="38"/>
  <c r="N32" i="38"/>
  <c r="O30" i="53" l="1"/>
  <c r="O29" i="53"/>
  <c r="N34" i="53"/>
  <c r="O20" i="53"/>
  <c r="O21" i="53"/>
  <c r="O14" i="53"/>
  <c r="O11" i="53"/>
  <c r="O9" i="53"/>
  <c r="O7" i="53"/>
  <c r="O13" i="53"/>
  <c r="H34" i="53"/>
  <c r="O6" i="53"/>
  <c r="O12" i="53"/>
  <c r="O15" i="53"/>
  <c r="O23" i="53"/>
  <c r="O22" i="53"/>
  <c r="O28" i="53"/>
  <c r="O17" i="53"/>
  <c r="O19" i="53"/>
  <c r="O25" i="53"/>
  <c r="O27" i="53"/>
  <c r="O8" i="53"/>
  <c r="O31" i="53"/>
  <c r="O33" i="53"/>
  <c r="O10" i="53"/>
  <c r="O16" i="53"/>
  <c r="O18" i="53"/>
  <c r="O24" i="53"/>
  <c r="O26" i="53"/>
  <c r="O32" i="53"/>
  <c r="E34" i="53"/>
  <c r="O30" i="52"/>
  <c r="O29" i="52"/>
  <c r="O21" i="52"/>
  <c r="O14" i="52"/>
  <c r="O6" i="52"/>
  <c r="O8" i="52"/>
  <c r="O7" i="52"/>
  <c r="O9" i="52"/>
  <c r="O26" i="52"/>
  <c r="O28" i="52"/>
  <c r="O10" i="52"/>
  <c r="O33" i="52"/>
  <c r="N34" i="52"/>
  <c r="O18" i="52"/>
  <c r="K34" i="52"/>
  <c r="O31" i="52"/>
  <c r="O22" i="52"/>
  <c r="O24" i="52"/>
  <c r="O32" i="52"/>
  <c r="H34" i="52"/>
  <c r="O12" i="52"/>
  <c r="O11" i="52"/>
  <c r="O15" i="52"/>
  <c r="O17" i="52"/>
  <c r="O19" i="52"/>
  <c r="E34" i="52"/>
  <c r="O23" i="52"/>
  <c r="O25" i="52"/>
  <c r="O27" i="52"/>
  <c r="O4" i="52"/>
  <c r="O30" i="51"/>
  <c r="O26" i="51"/>
  <c r="O33" i="51"/>
  <c r="O31" i="51"/>
  <c r="O29" i="51"/>
  <c r="O28" i="51"/>
  <c r="O8" i="51"/>
  <c r="O10" i="51"/>
  <c r="O22" i="51"/>
  <c r="O7" i="51"/>
  <c r="O24" i="51"/>
  <c r="O18" i="51"/>
  <c r="O16" i="51"/>
  <c r="O14" i="51"/>
  <c r="O5" i="51"/>
  <c r="O11" i="51"/>
  <c r="O13" i="51"/>
  <c r="O15" i="51"/>
  <c r="O19" i="51"/>
  <c r="O21" i="51"/>
  <c r="O23" i="51"/>
  <c r="O25" i="51"/>
  <c r="O12" i="51"/>
  <c r="O20" i="51"/>
  <c r="O9" i="51"/>
  <c r="O17" i="51"/>
  <c r="O6" i="51"/>
  <c r="O4" i="51"/>
  <c r="H27" i="50"/>
  <c r="E27" i="50"/>
  <c r="N27" i="50"/>
  <c r="O19" i="50"/>
  <c r="O5" i="50"/>
  <c r="O9" i="50"/>
  <c r="O13" i="50"/>
  <c r="O17" i="50"/>
  <c r="O20" i="50"/>
  <c r="O22" i="50"/>
  <c r="O21" i="50"/>
  <c r="O23" i="50"/>
  <c r="K27" i="50"/>
  <c r="O14" i="50"/>
  <c r="O12" i="50"/>
  <c r="O11" i="50"/>
  <c r="O8" i="50"/>
  <c r="O6" i="50"/>
  <c r="O4" i="50"/>
  <c r="O16" i="50"/>
  <c r="O7" i="50"/>
  <c r="O15" i="50"/>
  <c r="O24" i="50"/>
  <c r="O10" i="50"/>
  <c r="O25" i="50"/>
  <c r="O18" i="50"/>
  <c r="O26" i="50"/>
  <c r="O30" i="49"/>
  <c r="O29" i="49"/>
  <c r="O21" i="49"/>
  <c r="O23" i="49"/>
  <c r="O22" i="49"/>
  <c r="O24" i="49"/>
  <c r="O25" i="49"/>
  <c r="O26" i="49"/>
  <c r="O17" i="49"/>
  <c r="H33" i="49"/>
  <c r="O18" i="49"/>
  <c r="O19" i="49"/>
  <c r="O16" i="49"/>
  <c r="O15" i="49"/>
  <c r="O4" i="49"/>
  <c r="O8" i="49"/>
  <c r="O6" i="49"/>
  <c r="O32" i="49"/>
  <c r="K33" i="49"/>
  <c r="O7" i="49"/>
  <c r="O10" i="49"/>
  <c r="O12" i="49"/>
  <c r="N33" i="49"/>
  <c r="O9" i="49"/>
  <c r="O11" i="49"/>
  <c r="O13" i="49"/>
  <c r="O27" i="49"/>
  <c r="O5" i="49"/>
  <c r="O14" i="49"/>
  <c r="O28" i="49"/>
  <c r="O20" i="49"/>
  <c r="E33" i="49"/>
  <c r="O23" i="48"/>
  <c r="O20" i="48"/>
  <c r="O14" i="48"/>
  <c r="O15" i="48"/>
  <c r="O21" i="48"/>
  <c r="O17" i="48"/>
  <c r="O18" i="48"/>
  <c r="O19" i="48"/>
  <c r="O5" i="48"/>
  <c r="O13" i="48"/>
  <c r="N25" i="48"/>
  <c r="O8" i="48"/>
  <c r="O9" i="48"/>
  <c r="K25" i="48"/>
  <c r="O6" i="48"/>
  <c r="O11" i="48"/>
  <c r="O7" i="48"/>
  <c r="H20" i="47"/>
  <c r="O16" i="47"/>
  <c r="H25" i="48"/>
  <c r="O22" i="48"/>
  <c r="O24" i="48"/>
  <c r="E25" i="48"/>
  <c r="O10" i="48"/>
  <c r="O12" i="48"/>
  <c r="O4" i="48"/>
  <c r="E20" i="47"/>
  <c r="O18" i="47"/>
  <c r="O15" i="47"/>
  <c r="O19" i="47"/>
  <c r="N20" i="47"/>
  <c r="O17" i="47"/>
  <c r="O10" i="47"/>
  <c r="O9" i="47"/>
  <c r="O6" i="47"/>
  <c r="O8" i="47"/>
  <c r="O11" i="47"/>
  <c r="O13" i="47"/>
  <c r="O7" i="47"/>
  <c r="O4" i="47"/>
  <c r="O5" i="47"/>
  <c r="O14" i="47"/>
  <c r="O12" i="47"/>
  <c r="O33" i="34"/>
  <c r="O28" i="34"/>
  <c r="O27" i="34"/>
  <c r="O31" i="34"/>
  <c r="H36" i="34"/>
  <c r="O30" i="34"/>
  <c r="O35" i="34"/>
  <c r="O29" i="34"/>
  <c r="O32" i="34"/>
  <c r="K36" i="43"/>
  <c r="O12" i="39"/>
  <c r="O16" i="39"/>
  <c r="O5" i="43"/>
  <c r="O12" i="45"/>
  <c r="O18" i="45"/>
  <c r="O20" i="45"/>
  <c r="O24" i="45"/>
  <c r="O26" i="45"/>
  <c r="O28" i="45"/>
  <c r="O34" i="45"/>
  <c r="O8" i="46"/>
  <c r="O23" i="45"/>
  <c r="N34" i="40"/>
  <c r="O18" i="41"/>
  <c r="O26" i="41"/>
  <c r="O28" i="41"/>
  <c r="O35" i="41"/>
  <c r="O31" i="45"/>
  <c r="O34" i="41"/>
  <c r="O18" i="43"/>
  <c r="O20" i="43"/>
  <c r="O26" i="43"/>
  <c r="O28" i="43"/>
  <c r="O30" i="43"/>
  <c r="O34" i="43"/>
  <c r="O10" i="45"/>
  <c r="O15" i="44"/>
  <c r="K35" i="45"/>
  <c r="O7" i="46"/>
  <c r="O16" i="46"/>
  <c r="O20" i="46"/>
  <c r="O24" i="46"/>
  <c r="O26" i="46"/>
  <c r="O28" i="46"/>
  <c r="O30" i="46"/>
  <c r="O32" i="46"/>
  <c r="O10" i="46"/>
  <c r="O15" i="46"/>
  <c r="O27" i="46"/>
  <c r="O14" i="46"/>
  <c r="O6" i="46"/>
  <c r="O22" i="46"/>
  <c r="O23" i="46"/>
  <c r="O21" i="46"/>
  <c r="O18" i="46"/>
  <c r="O5" i="46"/>
  <c r="O13" i="46"/>
  <c r="K34" i="46"/>
  <c r="O17" i="46"/>
  <c r="O29" i="46"/>
  <c r="O31" i="46"/>
  <c r="O33" i="46"/>
  <c r="O4" i="46"/>
  <c r="O12" i="46"/>
  <c r="O19" i="46"/>
  <c r="O25" i="46"/>
  <c r="O11" i="46"/>
  <c r="O5" i="45"/>
  <c r="O7" i="45"/>
  <c r="O16" i="45"/>
  <c r="O21" i="45"/>
  <c r="O22" i="45"/>
  <c r="H35" i="45"/>
  <c r="O9" i="45"/>
  <c r="O14" i="45"/>
  <c r="O32" i="45"/>
  <c r="N35" i="45"/>
  <c r="O4" i="45"/>
  <c r="O6" i="45"/>
  <c r="O8" i="45"/>
  <c r="O11" i="45"/>
  <c r="O17" i="45"/>
  <c r="O19" i="45"/>
  <c r="O25" i="45"/>
  <c r="O27" i="45"/>
  <c r="O29" i="45"/>
  <c r="O33" i="45"/>
  <c r="O30" i="45"/>
  <c r="O13" i="45"/>
  <c r="O15" i="45"/>
  <c r="E35" i="45"/>
  <c r="O13" i="44"/>
  <c r="H35" i="44"/>
  <c r="O21" i="44"/>
  <c r="O10" i="44"/>
  <c r="O14" i="44"/>
  <c r="O12" i="44"/>
  <c r="O16" i="44"/>
  <c r="O23" i="44"/>
  <c r="O25" i="44"/>
  <c r="O27" i="44"/>
  <c r="O29" i="44"/>
  <c r="O31" i="44"/>
  <c r="O33" i="44"/>
  <c r="O4" i="44"/>
  <c r="O8" i="44"/>
  <c r="O18" i="44"/>
  <c r="O20" i="44"/>
  <c r="O22" i="44"/>
  <c r="O24" i="44"/>
  <c r="O26" i="44"/>
  <c r="O28" i="44"/>
  <c r="O30" i="44"/>
  <c r="O32" i="44"/>
  <c r="O34" i="44"/>
  <c r="O5" i="44"/>
  <c r="O7" i="44"/>
  <c r="O9" i="44"/>
  <c r="O17" i="44"/>
  <c r="O19" i="44"/>
  <c r="O11" i="44"/>
  <c r="O6" i="44"/>
  <c r="E35" i="44"/>
  <c r="O35" i="43"/>
  <c r="O33" i="43"/>
  <c r="O29" i="43"/>
  <c r="O27" i="43"/>
  <c r="O31" i="43"/>
  <c r="O22" i="43"/>
  <c r="O19" i="43"/>
  <c r="O7" i="43"/>
  <c r="O6" i="43"/>
  <c r="O14" i="43"/>
  <c r="O32" i="43"/>
  <c r="E36" i="43"/>
  <c r="O23" i="43"/>
  <c r="O25" i="43"/>
  <c r="O13" i="43"/>
  <c r="O12" i="43"/>
  <c r="O8" i="43"/>
  <c r="O9" i="43"/>
  <c r="O11" i="43"/>
  <c r="O15" i="43"/>
  <c r="O10" i="43"/>
  <c r="O17" i="43"/>
  <c r="O21" i="43"/>
  <c r="O24" i="43"/>
  <c r="O16" i="43"/>
  <c r="O4" i="43"/>
  <c r="O12" i="41"/>
  <c r="O20" i="41"/>
  <c r="O5" i="41"/>
  <c r="O4" i="41"/>
  <c r="O24" i="41"/>
  <c r="O32" i="41"/>
  <c r="O22" i="41"/>
  <c r="O14" i="41"/>
  <c r="O16" i="41"/>
  <c r="O7" i="41"/>
  <c r="O6" i="41"/>
  <c r="O8" i="41"/>
  <c r="O10" i="41"/>
  <c r="O11" i="41"/>
  <c r="O13" i="41"/>
  <c r="O15" i="41"/>
  <c r="O17" i="41"/>
  <c r="O19" i="41"/>
  <c r="O21" i="41"/>
  <c r="O23" i="41"/>
  <c r="O25" i="41"/>
  <c r="O27" i="41"/>
  <c r="O29" i="41"/>
  <c r="O31" i="41"/>
  <c r="O33" i="41"/>
  <c r="O30" i="41"/>
  <c r="O9" i="41"/>
  <c r="O19" i="40"/>
  <c r="O33" i="40"/>
  <c r="O8" i="40"/>
  <c r="O11" i="40"/>
  <c r="O14" i="40"/>
  <c r="O25" i="40"/>
  <c r="O23" i="40"/>
  <c r="O22" i="40"/>
  <c r="K34" i="40"/>
  <c r="O27" i="40"/>
  <c r="O10" i="40"/>
  <c r="O18" i="40"/>
  <c r="O26" i="40"/>
  <c r="O30" i="40"/>
  <c r="O32" i="40"/>
  <c r="O15" i="40"/>
  <c r="O17" i="40"/>
  <c r="O24" i="40"/>
  <c r="O4" i="40"/>
  <c r="O6" i="40"/>
  <c r="O12" i="40"/>
  <c r="O31" i="40"/>
  <c r="O20" i="40"/>
  <c r="O28" i="40"/>
  <c r="O5" i="40"/>
  <c r="O7" i="40"/>
  <c r="O9" i="40"/>
  <c r="O21" i="40"/>
  <c r="O29" i="40"/>
  <c r="O16" i="40"/>
  <c r="O13" i="40"/>
  <c r="E33" i="39"/>
  <c r="O32" i="39"/>
  <c r="O20" i="39"/>
  <c r="O31" i="39"/>
  <c r="O29" i="39"/>
  <c r="O27" i="39"/>
  <c r="O30" i="39"/>
  <c r="O25" i="39"/>
  <c r="O7" i="39"/>
  <c r="O10" i="39"/>
  <c r="O9" i="39"/>
  <c r="O18" i="39"/>
  <c r="O23" i="39"/>
  <c r="O8" i="39"/>
  <c r="O28" i="39"/>
  <c r="O19" i="39"/>
  <c r="O21" i="39"/>
  <c r="N33" i="39"/>
  <c r="O14" i="39"/>
  <c r="O5" i="39"/>
  <c r="O33" i="39" s="1"/>
  <c r="O15" i="39"/>
  <c r="O17" i="39"/>
  <c r="O22" i="39"/>
  <c r="O24" i="39"/>
  <c r="O13" i="39"/>
  <c r="O6" i="39"/>
  <c r="O26" i="39"/>
  <c r="O11" i="39"/>
  <c r="O32" i="38"/>
  <c r="I33" i="38"/>
  <c r="N31" i="38"/>
  <c r="K31" i="38"/>
  <c r="H31" i="38"/>
  <c r="E31" i="38"/>
  <c r="N30" i="38"/>
  <c r="K30" i="38"/>
  <c r="H30" i="38"/>
  <c r="E30" i="38"/>
  <c r="N29" i="38"/>
  <c r="K29" i="38"/>
  <c r="H29" i="38"/>
  <c r="E29" i="38"/>
  <c r="N28" i="38"/>
  <c r="K28" i="38"/>
  <c r="H28" i="38"/>
  <c r="E28" i="38"/>
  <c r="N27" i="38"/>
  <c r="K27" i="38"/>
  <c r="H27" i="38"/>
  <c r="E27" i="38"/>
  <c r="N26" i="38"/>
  <c r="K26" i="38"/>
  <c r="H26" i="38"/>
  <c r="E26" i="38"/>
  <c r="N25" i="38"/>
  <c r="K25" i="38"/>
  <c r="H25" i="38"/>
  <c r="E25" i="38"/>
  <c r="N24" i="38"/>
  <c r="K24" i="38"/>
  <c r="H24" i="38"/>
  <c r="E24" i="38"/>
  <c r="N23" i="38"/>
  <c r="K23" i="38"/>
  <c r="H23" i="38"/>
  <c r="E23" i="38"/>
  <c r="N22" i="38"/>
  <c r="K22" i="38"/>
  <c r="H22" i="38"/>
  <c r="E22" i="38"/>
  <c r="N21" i="38"/>
  <c r="K21" i="38"/>
  <c r="H21" i="38"/>
  <c r="E21" i="38"/>
  <c r="N20" i="38"/>
  <c r="K20" i="38"/>
  <c r="H20" i="38"/>
  <c r="E20" i="38"/>
  <c r="N19" i="38"/>
  <c r="K19" i="38"/>
  <c r="H19" i="38"/>
  <c r="E19" i="38"/>
  <c r="N18" i="38"/>
  <c r="K18" i="38"/>
  <c r="H18" i="38"/>
  <c r="E18" i="38"/>
  <c r="N17" i="38"/>
  <c r="K17" i="38"/>
  <c r="H17" i="38"/>
  <c r="E17" i="38"/>
  <c r="N16" i="38"/>
  <c r="K16" i="38"/>
  <c r="H16" i="38"/>
  <c r="E16" i="38"/>
  <c r="N15" i="38"/>
  <c r="K15" i="38"/>
  <c r="H15" i="38"/>
  <c r="E15" i="38"/>
  <c r="N14" i="38"/>
  <c r="K14" i="38"/>
  <c r="H14" i="38"/>
  <c r="E14" i="38"/>
  <c r="N13" i="38"/>
  <c r="K13" i="38"/>
  <c r="H13" i="38"/>
  <c r="E13" i="38"/>
  <c r="N12" i="38"/>
  <c r="K12" i="38"/>
  <c r="H12" i="38"/>
  <c r="E12" i="38"/>
  <c r="N11" i="38"/>
  <c r="H11" i="38"/>
  <c r="E11" i="38"/>
  <c r="N10" i="38"/>
  <c r="K10" i="38"/>
  <c r="H10" i="38"/>
  <c r="E10" i="38"/>
  <c r="N9" i="38"/>
  <c r="K9" i="38"/>
  <c r="H9" i="38"/>
  <c r="E9" i="38"/>
  <c r="N8" i="38"/>
  <c r="K8" i="38"/>
  <c r="H8" i="38"/>
  <c r="E8" i="38"/>
  <c r="N7" i="38"/>
  <c r="K7" i="38"/>
  <c r="H7" i="38"/>
  <c r="E7" i="38"/>
  <c r="N6" i="38"/>
  <c r="K6" i="38"/>
  <c r="H6" i="38"/>
  <c r="E6" i="38"/>
  <c r="H5" i="38"/>
  <c r="E5" i="38"/>
  <c r="N4" i="38"/>
  <c r="K4" i="38"/>
  <c r="H4" i="38"/>
  <c r="E4" i="38"/>
  <c r="L34" i="37"/>
  <c r="I34" i="37"/>
  <c r="F34" i="37"/>
  <c r="C34" i="37"/>
  <c r="O33" i="37"/>
  <c r="N33" i="37"/>
  <c r="K33" i="37"/>
  <c r="H33" i="37"/>
  <c r="E33" i="37"/>
  <c r="N32" i="37"/>
  <c r="K32" i="37"/>
  <c r="H32" i="37"/>
  <c r="O32" i="37" s="1"/>
  <c r="E32" i="37"/>
  <c r="N31" i="37"/>
  <c r="K31" i="37"/>
  <c r="H31" i="37"/>
  <c r="E31" i="37"/>
  <c r="O31" i="37" s="1"/>
  <c r="N30" i="37"/>
  <c r="O30" i="37" s="1"/>
  <c r="K30" i="37"/>
  <c r="H30" i="37"/>
  <c r="E30" i="37"/>
  <c r="N29" i="37"/>
  <c r="K29" i="37"/>
  <c r="H29" i="37"/>
  <c r="E29" i="37"/>
  <c r="O29" i="37" s="1"/>
  <c r="N28" i="37"/>
  <c r="K28" i="37"/>
  <c r="H28" i="37"/>
  <c r="E28" i="37"/>
  <c r="O28" i="37" s="1"/>
  <c r="N27" i="37"/>
  <c r="O27" i="37" s="1"/>
  <c r="K27" i="37"/>
  <c r="H27" i="37"/>
  <c r="E27" i="37"/>
  <c r="N26" i="37"/>
  <c r="K26" i="37"/>
  <c r="H26" i="37"/>
  <c r="E26" i="37"/>
  <c r="O26" i="37" s="1"/>
  <c r="O25" i="37"/>
  <c r="N25" i="37"/>
  <c r="K25" i="37"/>
  <c r="H25" i="37"/>
  <c r="E25" i="37"/>
  <c r="N24" i="37"/>
  <c r="K24" i="37"/>
  <c r="H24" i="37"/>
  <c r="O24" i="37" s="1"/>
  <c r="E24" i="37"/>
  <c r="N23" i="37"/>
  <c r="K23" i="37"/>
  <c r="H23" i="37"/>
  <c r="E23" i="37"/>
  <c r="O23" i="37" s="1"/>
  <c r="N22" i="37"/>
  <c r="O22" i="37" s="1"/>
  <c r="K22" i="37"/>
  <c r="H22" i="37"/>
  <c r="E22" i="37"/>
  <c r="N21" i="37"/>
  <c r="K21" i="37"/>
  <c r="H21" i="37"/>
  <c r="E21" i="37"/>
  <c r="O21" i="37" s="1"/>
  <c r="N20" i="37"/>
  <c r="K20" i="37"/>
  <c r="H20" i="37"/>
  <c r="E20" i="37"/>
  <c r="O20" i="37" s="1"/>
  <c r="N19" i="37"/>
  <c r="O19" i="37" s="1"/>
  <c r="K19" i="37"/>
  <c r="H19" i="37"/>
  <c r="E19" i="37"/>
  <c r="N18" i="37"/>
  <c r="K18" i="37"/>
  <c r="H18" i="37"/>
  <c r="E18" i="37"/>
  <c r="O18" i="37" s="1"/>
  <c r="O17" i="37"/>
  <c r="N17" i="37"/>
  <c r="K17" i="37"/>
  <c r="H17" i="37"/>
  <c r="E17" i="37"/>
  <c r="N16" i="37"/>
  <c r="K16" i="37"/>
  <c r="H16" i="37"/>
  <c r="O16" i="37" s="1"/>
  <c r="E16" i="37"/>
  <c r="N15" i="37"/>
  <c r="K15" i="37"/>
  <c r="H15" i="37"/>
  <c r="E15" i="37"/>
  <c r="O15" i="37" s="1"/>
  <c r="N14" i="37"/>
  <c r="O14" i="37" s="1"/>
  <c r="K14" i="37"/>
  <c r="H14" i="37"/>
  <c r="E14" i="37"/>
  <c r="N13" i="37"/>
  <c r="H13" i="37"/>
  <c r="E13" i="37"/>
  <c r="O13" i="37" s="1"/>
  <c r="O12" i="37"/>
  <c r="N12" i="37"/>
  <c r="K12" i="37"/>
  <c r="H12" i="37"/>
  <c r="E12" i="37"/>
  <c r="N11" i="37"/>
  <c r="K11" i="37"/>
  <c r="H11" i="37"/>
  <c r="O11" i="37" s="1"/>
  <c r="E11" i="37"/>
  <c r="N10" i="37"/>
  <c r="K10" i="37"/>
  <c r="H10" i="37"/>
  <c r="E10" i="37"/>
  <c r="O10" i="37" s="1"/>
  <c r="N9" i="37"/>
  <c r="N34" i="37" s="1"/>
  <c r="K9" i="37"/>
  <c r="H9" i="37"/>
  <c r="E9" i="37"/>
  <c r="N8" i="37"/>
  <c r="K8" i="37"/>
  <c r="H8" i="37"/>
  <c r="E8" i="37"/>
  <c r="O8" i="37" s="1"/>
  <c r="N7" i="37"/>
  <c r="K7" i="37"/>
  <c r="H7" i="37"/>
  <c r="E7" i="37"/>
  <c r="O7" i="37" s="1"/>
  <c r="N6" i="37"/>
  <c r="O6" i="37" s="1"/>
  <c r="K6" i="37"/>
  <c r="H6" i="37"/>
  <c r="E6" i="37"/>
  <c r="H5" i="37"/>
  <c r="E5" i="37"/>
  <c r="O5" i="37" s="1"/>
  <c r="N4" i="37"/>
  <c r="O4" i="37" s="1"/>
  <c r="K4" i="37"/>
  <c r="K34" i="37" s="1"/>
  <c r="H4" i="37"/>
  <c r="H34" i="37" s="1"/>
  <c r="E4" i="37"/>
  <c r="L34" i="36"/>
  <c r="I34" i="36"/>
  <c r="F34" i="36"/>
  <c r="C34" i="36"/>
  <c r="A34" i="36"/>
  <c r="N33" i="36"/>
  <c r="K33" i="36"/>
  <c r="H33" i="36"/>
  <c r="O33" i="36" s="1"/>
  <c r="E33" i="36"/>
  <c r="N32" i="36"/>
  <c r="K32" i="36"/>
  <c r="H32" i="36"/>
  <c r="E32" i="36"/>
  <c r="O32" i="36" s="1"/>
  <c r="N31" i="36"/>
  <c r="O31" i="36" s="1"/>
  <c r="K31" i="36"/>
  <c r="H31" i="36"/>
  <c r="E31" i="36"/>
  <c r="N30" i="36"/>
  <c r="K30" i="36"/>
  <c r="H30" i="36"/>
  <c r="E30" i="36"/>
  <c r="O30" i="36" s="1"/>
  <c r="N29" i="36"/>
  <c r="K29" i="36"/>
  <c r="H29" i="36"/>
  <c r="E29" i="36"/>
  <c r="O29" i="36" s="1"/>
  <c r="N28" i="36"/>
  <c r="O28" i="36" s="1"/>
  <c r="K28" i="36"/>
  <c r="H28" i="36"/>
  <c r="E28" i="36"/>
  <c r="N27" i="36"/>
  <c r="K27" i="36"/>
  <c r="H27" i="36"/>
  <c r="E27" i="36"/>
  <c r="O27" i="36" s="1"/>
  <c r="O26" i="36"/>
  <c r="N26" i="36"/>
  <c r="K26" i="36"/>
  <c r="H26" i="36"/>
  <c r="E26" i="36"/>
  <c r="N25" i="36"/>
  <c r="K25" i="36"/>
  <c r="H25" i="36"/>
  <c r="O25" i="36" s="1"/>
  <c r="E25" i="36"/>
  <c r="N24" i="36"/>
  <c r="K24" i="36"/>
  <c r="H24" i="36"/>
  <c r="E24" i="36"/>
  <c r="O24" i="36" s="1"/>
  <c r="N23" i="36"/>
  <c r="O23" i="36" s="1"/>
  <c r="K23" i="36"/>
  <c r="H23" i="36"/>
  <c r="E23" i="36"/>
  <c r="N22" i="36"/>
  <c r="K22" i="36"/>
  <c r="H22" i="36"/>
  <c r="E22" i="36"/>
  <c r="O22" i="36" s="1"/>
  <c r="N21" i="36"/>
  <c r="K21" i="36"/>
  <c r="H21" i="36"/>
  <c r="E21" i="36"/>
  <c r="O21" i="36" s="1"/>
  <c r="N20" i="36"/>
  <c r="O20" i="36" s="1"/>
  <c r="K20" i="36"/>
  <c r="H20" i="36"/>
  <c r="E20" i="36"/>
  <c r="N19" i="36"/>
  <c r="K19" i="36"/>
  <c r="H19" i="36"/>
  <c r="E19" i="36"/>
  <c r="O19" i="36" s="1"/>
  <c r="O18" i="36"/>
  <c r="N18" i="36"/>
  <c r="K18" i="36"/>
  <c r="H18" i="36"/>
  <c r="E18" i="36"/>
  <c r="N17" i="36"/>
  <c r="K17" i="36"/>
  <c r="H17" i="36"/>
  <c r="O17" i="36" s="1"/>
  <c r="E17" i="36"/>
  <c r="N16" i="36"/>
  <c r="K16" i="36"/>
  <c r="H16" i="36"/>
  <c r="E16" i="36"/>
  <c r="O16" i="36" s="1"/>
  <c r="N15" i="36"/>
  <c r="O15" i="36" s="1"/>
  <c r="K15" i="36"/>
  <c r="H15" i="36"/>
  <c r="E15" i="36"/>
  <c r="N14" i="36"/>
  <c r="K14" i="36"/>
  <c r="H14" i="36"/>
  <c r="E14" i="36"/>
  <c r="O14" i="36" s="1"/>
  <c r="N13" i="36"/>
  <c r="H13" i="36"/>
  <c r="E13" i="36"/>
  <c r="O13" i="36" s="1"/>
  <c r="N12" i="36"/>
  <c r="K12" i="36"/>
  <c r="H12" i="36"/>
  <c r="H34" i="36" s="1"/>
  <c r="E12" i="36"/>
  <c r="N11" i="36"/>
  <c r="K11" i="36"/>
  <c r="H11" i="36"/>
  <c r="E11" i="36"/>
  <c r="O11" i="36" s="1"/>
  <c r="N10" i="36"/>
  <c r="O10" i="36" s="1"/>
  <c r="K10" i="36"/>
  <c r="H10" i="36"/>
  <c r="E10" i="36"/>
  <c r="N9" i="36"/>
  <c r="K9" i="36"/>
  <c r="H9" i="36"/>
  <c r="E9" i="36"/>
  <c r="O9" i="36" s="1"/>
  <c r="N8" i="36"/>
  <c r="K8" i="36"/>
  <c r="H8" i="36"/>
  <c r="E8" i="36"/>
  <c r="O8" i="36" s="1"/>
  <c r="N7" i="36"/>
  <c r="O7" i="36" s="1"/>
  <c r="K7" i="36"/>
  <c r="K34" i="36" s="1"/>
  <c r="H7" i="36"/>
  <c r="E7" i="36"/>
  <c r="N6" i="36"/>
  <c r="K6" i="36"/>
  <c r="H6" i="36"/>
  <c r="E6" i="36"/>
  <c r="O6" i="36" s="1"/>
  <c r="O5" i="36"/>
  <c r="H5" i="36"/>
  <c r="E5" i="36"/>
  <c r="N4" i="36"/>
  <c r="N34" i="36" s="1"/>
  <c r="K4" i="36"/>
  <c r="H4" i="36"/>
  <c r="E4" i="36"/>
  <c r="E34" i="36" s="1"/>
  <c r="H27" i="35"/>
  <c r="L25" i="35"/>
  <c r="I25" i="35"/>
  <c r="F25" i="35"/>
  <c r="C25" i="35"/>
  <c r="N24" i="35"/>
  <c r="K24" i="35"/>
  <c r="H24" i="35"/>
  <c r="E24" i="35"/>
  <c r="O24" i="35" s="1"/>
  <c r="N23" i="35"/>
  <c r="K23" i="35"/>
  <c r="H23" i="35"/>
  <c r="E23" i="35"/>
  <c r="O23" i="35" s="1"/>
  <c r="N22" i="35"/>
  <c r="K22" i="35"/>
  <c r="H22" i="35"/>
  <c r="E22" i="35"/>
  <c r="O22" i="35" s="1"/>
  <c r="N21" i="35"/>
  <c r="K21" i="35"/>
  <c r="H21" i="35"/>
  <c r="E21" i="35"/>
  <c r="N20" i="35"/>
  <c r="K20" i="35"/>
  <c r="H20" i="35"/>
  <c r="E20" i="35"/>
  <c r="N19" i="35"/>
  <c r="K19" i="35"/>
  <c r="H19" i="35"/>
  <c r="E19" i="35"/>
  <c r="O19" i="35" s="1"/>
  <c r="N18" i="35"/>
  <c r="K18" i="35"/>
  <c r="H18" i="35"/>
  <c r="E18" i="35"/>
  <c r="N17" i="35"/>
  <c r="K17" i="35"/>
  <c r="H17" i="35"/>
  <c r="E17" i="35"/>
  <c r="N16" i="35"/>
  <c r="K16" i="35"/>
  <c r="H16" i="35"/>
  <c r="E16" i="35"/>
  <c r="N15" i="35"/>
  <c r="K15" i="35"/>
  <c r="H15" i="35"/>
  <c r="E15" i="35"/>
  <c r="O15" i="35" s="1"/>
  <c r="N14" i="35"/>
  <c r="K14" i="35"/>
  <c r="H14" i="35"/>
  <c r="E14" i="35"/>
  <c r="N13" i="35"/>
  <c r="K13" i="35"/>
  <c r="H13" i="35"/>
  <c r="E13" i="35"/>
  <c r="N12" i="35"/>
  <c r="K12" i="35"/>
  <c r="H12" i="35"/>
  <c r="E12" i="35"/>
  <c r="O12" i="35" s="1"/>
  <c r="N11" i="35"/>
  <c r="K11" i="35"/>
  <c r="H11" i="35"/>
  <c r="E11" i="35"/>
  <c r="O11" i="35" s="1"/>
  <c r="N10" i="35"/>
  <c r="K10" i="35"/>
  <c r="H10" i="35"/>
  <c r="O10" i="35" s="1"/>
  <c r="E10" i="35"/>
  <c r="N9" i="35"/>
  <c r="K9" i="35"/>
  <c r="H9" i="35"/>
  <c r="E9" i="35"/>
  <c r="O9" i="35" s="1"/>
  <c r="N8" i="35"/>
  <c r="O8" i="35" s="1"/>
  <c r="K8" i="35"/>
  <c r="H8" i="35"/>
  <c r="E8" i="35"/>
  <c r="N7" i="35"/>
  <c r="K7" i="35"/>
  <c r="H7" i="35"/>
  <c r="E7" i="35"/>
  <c r="N6" i="35"/>
  <c r="K6" i="35"/>
  <c r="H6" i="35"/>
  <c r="E6" i="35"/>
  <c r="H5" i="35"/>
  <c r="E5" i="35"/>
  <c r="N4" i="35"/>
  <c r="K4" i="35"/>
  <c r="H4" i="35"/>
  <c r="E4" i="35"/>
  <c r="O4" i="35" s="1"/>
  <c r="N26" i="34"/>
  <c r="K26" i="34"/>
  <c r="N25" i="34"/>
  <c r="K25" i="34"/>
  <c r="E25" i="34"/>
  <c r="N24" i="34"/>
  <c r="K24" i="34"/>
  <c r="E24" i="34"/>
  <c r="N23" i="34"/>
  <c r="K23" i="34"/>
  <c r="E23" i="34"/>
  <c r="N22" i="34"/>
  <c r="K22" i="34"/>
  <c r="E22" i="34"/>
  <c r="N21" i="34"/>
  <c r="K21" i="34"/>
  <c r="E21" i="34"/>
  <c r="N20" i="34"/>
  <c r="K20" i="34"/>
  <c r="E20" i="34"/>
  <c r="N19" i="34"/>
  <c r="K19" i="34"/>
  <c r="E19" i="34"/>
  <c r="N18" i="34"/>
  <c r="K18" i="34"/>
  <c r="E18" i="34"/>
  <c r="N17" i="34"/>
  <c r="K17" i="34"/>
  <c r="E17" i="34"/>
  <c r="N16" i="34"/>
  <c r="K16" i="34"/>
  <c r="E16" i="34"/>
  <c r="N15" i="34"/>
  <c r="K15" i="34"/>
  <c r="E15" i="34"/>
  <c r="N14" i="34"/>
  <c r="K14" i="34"/>
  <c r="E14" i="34"/>
  <c r="N13" i="34"/>
  <c r="K13" i="34"/>
  <c r="E13" i="34"/>
  <c r="N12" i="34"/>
  <c r="K12" i="34"/>
  <c r="E12" i="34"/>
  <c r="N11" i="34"/>
  <c r="K11" i="34"/>
  <c r="E11" i="34"/>
  <c r="N10" i="34"/>
  <c r="K10" i="34"/>
  <c r="E10" i="34"/>
  <c r="N9" i="34"/>
  <c r="K9" i="34"/>
  <c r="E9" i="34"/>
  <c r="N8" i="34"/>
  <c r="K8" i="34"/>
  <c r="E8" i="34"/>
  <c r="N7" i="34"/>
  <c r="K7" i="34"/>
  <c r="E7" i="34"/>
  <c r="N6" i="34"/>
  <c r="K6" i="34"/>
  <c r="E6" i="34"/>
  <c r="N5" i="34"/>
  <c r="K5" i="34"/>
  <c r="E5" i="34"/>
  <c r="N4" i="34"/>
  <c r="K4" i="34"/>
  <c r="E4" i="34"/>
  <c r="O4" i="34" s="1"/>
  <c r="AB12" i="18"/>
  <c r="O34" i="53" l="1"/>
  <c r="O34" i="52"/>
  <c r="O27" i="50"/>
  <c r="O33" i="49"/>
  <c r="O25" i="48"/>
  <c r="O26" i="34"/>
  <c r="N36" i="34"/>
  <c r="O10" i="34"/>
  <c r="O7" i="34"/>
  <c r="K36" i="34"/>
  <c r="O18" i="34"/>
  <c r="H25" i="35"/>
  <c r="O9" i="37"/>
  <c r="O34" i="37" s="1"/>
  <c r="E34" i="37"/>
  <c r="O36" i="41"/>
  <c r="O36" i="43"/>
  <c r="O18" i="35"/>
  <c r="E33" i="38"/>
  <c r="O12" i="36"/>
  <c r="O21" i="35"/>
  <c r="O4" i="36"/>
  <c r="N33" i="38"/>
  <c r="O34" i="46"/>
  <c r="O16" i="35"/>
  <c r="O6" i="35"/>
  <c r="K25" i="35"/>
  <c r="H33" i="38"/>
  <c r="O25" i="34"/>
  <c r="O6" i="34"/>
  <c r="O22" i="34"/>
  <c r="O20" i="34"/>
  <c r="O15" i="34"/>
  <c r="O5" i="34"/>
  <c r="O36" i="34" s="1"/>
  <c r="O11" i="34"/>
  <c r="O21" i="34"/>
  <c r="O19" i="34"/>
  <c r="O16" i="34"/>
  <c r="O17" i="34"/>
  <c r="O9" i="34"/>
  <c r="O14" i="34"/>
  <c r="O13" i="34"/>
  <c r="O12" i="34"/>
  <c r="O8" i="34"/>
  <c r="E36" i="34"/>
  <c r="O23" i="34"/>
  <c r="O24" i="34"/>
  <c r="N25" i="35"/>
  <c r="G27" i="35"/>
  <c r="I27" i="35" s="1"/>
  <c r="O13" i="35"/>
  <c r="O17" i="35"/>
  <c r="O7" i="35"/>
  <c r="O14" i="35"/>
  <c r="O5" i="35"/>
  <c r="O20" i="35"/>
  <c r="E25" i="35"/>
  <c r="O35" i="45"/>
  <c r="O35" i="44"/>
  <c r="O34" i="40"/>
  <c r="O29" i="38"/>
  <c r="K33" i="38"/>
  <c r="O10" i="38"/>
  <c r="O5" i="38"/>
  <c r="O26" i="38"/>
  <c r="O21" i="38"/>
  <c r="O18" i="38"/>
  <c r="O20" i="38"/>
  <c r="O28" i="38"/>
  <c r="O7" i="38"/>
  <c r="O9" i="38"/>
  <c r="O25" i="38"/>
  <c r="O24" i="38"/>
  <c r="O23" i="38"/>
  <c r="O16" i="38"/>
  <c r="O15" i="38"/>
  <c r="O13" i="38"/>
  <c r="O12" i="38"/>
  <c r="O14" i="38"/>
  <c r="O30" i="38"/>
  <c r="O27" i="38"/>
  <c r="O6" i="38"/>
  <c r="O11" i="38"/>
  <c r="O8" i="38"/>
  <c r="O22" i="38"/>
  <c r="O31" i="38"/>
  <c r="O17" i="38"/>
  <c r="O19" i="38"/>
  <c r="O4" i="38"/>
  <c r="G38" i="40"/>
  <c r="O25" i="35" l="1"/>
  <c r="O34" i="36"/>
  <c r="O33" i="38"/>
</calcChain>
</file>

<file path=xl/sharedStrings.xml><?xml version="1.0" encoding="utf-8"?>
<sst xmlns="http://schemas.openxmlformats.org/spreadsheetml/2006/main" count="535" uniqueCount="66">
  <si>
    <t xml:space="preserve">ROCHDALE SPEARS </t>
  </si>
  <si>
    <t>PLANT 2</t>
  </si>
  <si>
    <t>BẢNG THEO DÕI XỬ LÝ RÁC THẢI NGUY HẠI HÀNG THÁNG- HAZARDOUS WASTE TREATMENT LIST  - PLANT 2</t>
  </si>
  <si>
    <t>STT</t>
  </si>
  <si>
    <t>LOẠI CHẤT THẢI</t>
  </si>
  <si>
    <t>MÃ CTNH</t>
  </si>
  <si>
    <t>ĐƠN GIÁ XỬ LÝ</t>
  </si>
  <si>
    <t>ĐƠN GIÁ THU MUA</t>
  </si>
  <si>
    <t>ĐƠN VỊ TÍNH</t>
  </si>
  <si>
    <t>NGÀY THU GOM, BÀN GIAO</t>
  </si>
  <si>
    <t>Số lượng</t>
  </si>
  <si>
    <t>Thành tiền</t>
  </si>
  <si>
    <t>Thùng phuy 200 lít loại 2 (nắp nhỏ)</t>
  </si>
  <si>
    <t>180102</t>
  </si>
  <si>
    <t>Cái</t>
  </si>
  <si>
    <t>Thùng nhựa keo hóa chất dính thành phần nguy hại - đế gỗ (thùng 1000 lít)</t>
  </si>
  <si>
    <t>18 01 03</t>
  </si>
  <si>
    <t>kg</t>
  </si>
  <si>
    <t>Thùng nhựa keo hóa chất dính thành phần nguy hại - đế sắt (thùng 1000 lít)</t>
  </si>
  <si>
    <t>TỔNG TIỀN THANH TOÁN (Chưa VAT)</t>
  </si>
  <si>
    <t>TOTAL AMOUNT (VND)</t>
  </si>
  <si>
    <t>No</t>
  </si>
  <si>
    <t>Date</t>
  </si>
  <si>
    <t>Dăm bào ( xe tải  3.5 tấn )</t>
  </si>
  <si>
    <t>Củi ( xe tải  3.5 tấn )</t>
  </si>
  <si>
    <t>Giấy nhám (kg)</t>
  </si>
  <si>
    <t xml:space="preserve"> sắt  phế liệu   (kg)</t>
  </si>
  <si>
    <t>Total</t>
  </si>
  <si>
    <t>Viet Xanh QN</t>
  </si>
  <si>
    <t>Số 
Lượng</t>
  </si>
  <si>
    <t>Đơn giá</t>
  </si>
  <si>
    <t>Thành tiến</t>
  </si>
  <si>
    <t>Thành tiền</t>
  </si>
  <si>
    <t>Số 
Lượng</t>
  </si>
  <si>
    <t xml:space="preserve">Đại diện </t>
  </si>
  <si>
    <t>CN</t>
  </si>
  <si>
    <t>SH</t>
  </si>
  <si>
    <t xml:space="preserve">Công Ty TNHH ROCHDALE SPEARS </t>
  </si>
  <si>
    <t>Công Ty TNHH XD TM DV VIỆT XANH QN</t>
  </si>
  <si>
    <t>BẢNG TỔNG HỢP THU TIỀN BÁN PHẾ LIỆU NHÀ MÁY 2 THÁNG 3 NĂM 2024</t>
  </si>
  <si>
    <t>BẢNG TỔNG HỢP THU TIỀN BÁN PHẾ LIỆU NHÀ MÁY 2 THÁNG 4 NĂM 2024</t>
  </si>
  <si>
    <t>BẢNG TỔNG HỢP THU TIỀN BÁN PHẾ LIỆU NHÀ MÁY 2 THÁNG 5 NĂM 2024</t>
  </si>
  <si>
    <t>BẢNG TỔNG HỢP THU TIỀN BÁN PHẾ LIỆU NHÀ MÁY 2 THÁNG 6 NĂM 2024</t>
  </si>
  <si>
    <t>BẢNG TỔNG HỢP THU TIỀN BÁN PHẾ LIỆU NHÀ MÁY 2 THÁNG 7 NĂM 2024</t>
  </si>
  <si>
    <t>BẢNG TỔNG HỢP THU TIỀN BÁN PHẾ LIỆU NHÀ MÁY 2 THÁNG 8 NĂM 2024</t>
  </si>
  <si>
    <t>BẢNG TỔNG HỢP THU TIỀN BÁN PHẾ LIỆU NHÀ MÁY 2 THÁNG 9 NĂM 2024</t>
  </si>
  <si>
    <t>BẢNG TỔNG HỢP THU TIỀN BÁN PHẾ LIỆU NHÀ MÁY 2 THÁNG 10 NĂM 2024</t>
  </si>
  <si>
    <t>BẢNG TỔNG HỢP THU TIỀN BÁN PHẾ LIỆU NHÀ MÁY 2 THÁNG 11 NĂM 2024</t>
  </si>
  <si>
    <t>BẢNG TỔNG HỢP THU TIỀN BÁN PHẾ LIỆU NHÀ MÁY 2 THÁNG 12 NĂM 2024</t>
  </si>
  <si>
    <t>BẢNG TỔNG HỢP THU TIỀN BÁN PHẾ LIỆU NHÀ MÁY 2 THÁNG 2 NĂM 2025</t>
  </si>
  <si>
    <t>BẢNG TỔNG HỢP THU TIỀN BÁN PHẾ LIỆU NHÀ MÁY 2 THÁNG 1 NĂM 2026</t>
  </si>
  <si>
    <t>MAI VĂN CẨN</t>
  </si>
  <si>
    <t>BẢNG TỔNG HỢP THU TIỀN BÁN PHẾ LIỆU NHÀ MÁY 2 THÁNG 2 NĂM 2026</t>
  </si>
  <si>
    <t>Bình MFZ4</t>
  </si>
  <si>
    <t>Bình MFZ8</t>
  </si>
  <si>
    <t>Mt03</t>
  </si>
  <si>
    <t>Mt05</t>
  </si>
  <si>
    <t>P1</t>
  </si>
  <si>
    <t>P2</t>
  </si>
  <si>
    <t>Bình chữa cháy mới</t>
  </si>
  <si>
    <t>BẢNG TỔNG HỢP THU TIỀN BÁN PHẾ LIỆU NHÀ MÁY 2 THÁNG 3 NĂM 2026</t>
  </si>
  <si>
    <t>BẢNG TỔNG HỢP THU TIỀN BÁN PHẾ LIỆU NHÀ MÁY 2 THÁNG 4 NĂM 2026</t>
  </si>
  <si>
    <t>BẢNG TỔNG HỢP THU TIỀN BÁN PHẾ LIỆU NHÀ MÁY 2 THÁNG 5 NĂM 2026</t>
  </si>
  <si>
    <t>BẢNG TỔNG HỢP THU TIỀN BÁN PHẾ LIỆU NHÀ MÁY 2 THÁNG 6 NĂM 2026</t>
  </si>
  <si>
    <t>BẢNG TỔNG HỢP THU TIỀN BÁN PHẾ LIỆU NHÀ MÁY 2 THÁNG 7 NĂM 2026</t>
  </si>
  <si>
    <t>BẢNG TỔNG HỢP THU TIỀN BÁN PHẾ LIỆU NHÀ MÁY 2 THÁNG 8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</si>
</sst>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[$-409]d\-mmm\-yy;@"/>
    <numFmt numFmtId="166" formatCode="&quot; &quot;#,##0&quot; &quot;;&quot; (&quot;#,##0&quot;)&quot;;&quot; - &quot;;&quot; &quot;@&quot; &quot;"/>
    <numFmt numFmtId="167" formatCode="&quot; &quot;#,##0&quot; &quot;;&quot; (&quot;#,##0&quot;)&quot;;&quot; -&quot;00&quot; &quot;;&quot; &quot;@&quot; &quot;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8"/>
      <color theme="1"/>
      <name val="Times New Roman"/>
      <family val="1"/>
    </font>
    <font>
      <sz val="11"/>
      <color rgb="FF000000"/>
      <name val="Arial"/>
      <family val="2"/>
    </font>
    <font>
      <sz val="9"/>
      <color rgb="FF000000"/>
      <name val="Arial"/>
      <family val="2"/>
    </font>
    <font>
      <sz val="9"/>
      <color theme="1"/>
      <name val="Calibri"/>
      <family val="2"/>
      <scheme val="minor"/>
    </font>
    <font>
      <b/>
      <sz val="9"/>
      <color rgb="FF000000"/>
      <name val="Times New Roman"/>
      <family val="1"/>
    </font>
    <font>
      <sz val="10"/>
      <name val="Times New Roman"/>
      <family val="1"/>
    </font>
    <font>
      <sz val="9"/>
      <color rgb="FFFF0000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9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99"/>
        <bgColor rgb="FFFFFF99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rgb="FFFFFFFF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0"/>
        <bgColor rgb="FFFFFFFF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1">
    <xf numFmtId="0" fontId="0" fillId="0" borderId="0" xfId="0"/>
    <xf numFmtId="167" fontId="2" fillId="6" borderId="14" xfId="1" applyNumberFormat="1" applyFont="1" applyFill="1" applyBorder="1" applyAlignment="1">
      <alignment vertical="center"/>
    </xf>
    <xf numFmtId="166" fontId="2" fillId="6" borderId="14" xfId="1" applyNumberFormat="1" applyFont="1" applyFill="1" applyBorder="1" applyAlignment="1">
      <alignment vertical="center"/>
    </xf>
    <xf numFmtId="0" fontId="4" fillId="0" borderId="0" xfId="0" applyFont="1"/>
    <xf numFmtId="0" fontId="4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5" fillId="0" borderId="0" xfId="0" applyFont="1"/>
    <xf numFmtId="14" fontId="4" fillId="3" borderId="6" xfId="0" quotePrefix="1" applyNumberFormat="1" applyFont="1" applyFill="1" applyBorder="1" applyAlignment="1">
      <alignment horizontal="center" vertical="center"/>
    </xf>
    <xf numFmtId="17" fontId="4" fillId="0" borderId="1" xfId="0" applyNumberFormat="1" applyFont="1" applyBorder="1" applyAlignment="1">
      <alignment vertical="center"/>
    </xf>
    <xf numFmtId="0" fontId="5" fillId="0" borderId="0" xfId="0" applyFont="1" applyAlignment="1">
      <alignment vertical="center"/>
    </xf>
    <xf numFmtId="164" fontId="5" fillId="0" borderId="1" xfId="1" applyNumberFormat="1" applyFont="1" applyBorder="1" applyAlignment="1">
      <alignment horizontal="right" vertical="center"/>
    </xf>
    <xf numFmtId="164" fontId="5" fillId="0" borderId="1" xfId="1" applyNumberFormat="1" applyFont="1" applyBorder="1" applyAlignment="1">
      <alignment vertical="center"/>
    </xf>
    <xf numFmtId="164" fontId="5" fillId="2" borderId="1" xfId="1" applyNumberFormat="1" applyFont="1" applyFill="1" applyBorder="1" applyAlignment="1">
      <alignment vertical="center"/>
    </xf>
    <xf numFmtId="164" fontId="7" fillId="2" borderId="1" xfId="1" applyNumberFormat="1" applyFont="1" applyFill="1" applyBorder="1" applyAlignment="1">
      <alignment horizontal="right" vertical="center"/>
    </xf>
    <xf numFmtId="164" fontId="5" fillId="0" borderId="1" xfId="1" applyNumberFormat="1" applyFont="1" applyFill="1" applyBorder="1" applyAlignment="1">
      <alignment vertical="center"/>
    </xf>
    <xf numFmtId="164" fontId="5" fillId="0" borderId="0" xfId="1" applyNumberFormat="1" applyFont="1"/>
    <xf numFmtId="164" fontId="5" fillId="0" borderId="1" xfId="1" applyNumberFormat="1" applyFont="1" applyBorder="1" applyAlignment="1">
      <alignment horizontal="center" vertical="center"/>
    </xf>
    <xf numFmtId="164" fontId="5" fillId="4" borderId="1" xfId="1" applyNumberFormat="1" applyFont="1" applyFill="1" applyBorder="1" applyAlignment="1">
      <alignment vertical="center"/>
    </xf>
    <xf numFmtId="164" fontId="5" fillId="4" borderId="1" xfId="1" applyNumberFormat="1" applyFont="1" applyFill="1" applyBorder="1" applyAlignment="1">
      <alignment horizontal="right" vertical="center"/>
    </xf>
    <xf numFmtId="164" fontId="7" fillId="4" borderId="1" xfId="1" applyNumberFormat="1" applyFont="1" applyFill="1" applyBorder="1" applyAlignment="1">
      <alignment horizontal="right" vertical="center"/>
    </xf>
    <xf numFmtId="164" fontId="5" fillId="0" borderId="1" xfId="1" applyNumberFormat="1" applyFont="1" applyBorder="1" applyAlignment="1">
      <alignment vertical="center" wrapText="1"/>
    </xf>
    <xf numFmtId="164" fontId="6" fillId="0" borderId="4" xfId="1" applyNumberFormat="1" applyFont="1" applyBorder="1" applyAlignment="1">
      <alignment horizontal="right" vertical="center"/>
    </xf>
    <xf numFmtId="164" fontId="6" fillId="2" borderId="4" xfId="1" applyNumberFormat="1" applyFont="1" applyFill="1" applyBorder="1" applyAlignment="1">
      <alignment horizontal="right" vertical="center"/>
    </xf>
    <xf numFmtId="164" fontId="6" fillId="0" borderId="4" xfId="1" applyNumberFormat="1" applyFont="1" applyFill="1" applyBorder="1" applyAlignment="1">
      <alignment horizontal="right" vertical="center"/>
    </xf>
    <xf numFmtId="164" fontId="7" fillId="0" borderId="0" xfId="1" applyNumberFormat="1" applyFont="1"/>
    <xf numFmtId="0" fontId="5" fillId="0" borderId="0" xfId="0" applyFont="1" applyAlignment="1">
      <alignment horizontal="center" vertical="center"/>
    </xf>
    <xf numFmtId="0" fontId="5" fillId="2" borderId="0" xfId="0" applyFont="1" applyFill="1" applyAlignment="1">
      <alignment vertical="center"/>
    </xf>
    <xf numFmtId="164" fontId="5" fillId="4" borderId="8" xfId="1" applyNumberFormat="1" applyFont="1" applyFill="1" applyBorder="1" applyAlignment="1">
      <alignment horizontal="left" vertical="center"/>
    </xf>
    <xf numFmtId="164" fontId="5" fillId="4" borderId="5" xfId="1" applyNumberFormat="1" applyFont="1" applyFill="1" applyBorder="1" applyAlignment="1">
      <alignment vertical="center"/>
    </xf>
    <xf numFmtId="164" fontId="5" fillId="4" borderId="6" xfId="1" applyNumberFormat="1" applyFont="1" applyFill="1" applyBorder="1" applyAlignment="1">
      <alignment horizontal="center" vertical="center" wrapText="1"/>
    </xf>
    <xf numFmtId="164" fontId="5" fillId="0" borderId="5" xfId="1" applyNumberFormat="1" applyFont="1" applyFill="1" applyBorder="1" applyAlignment="1">
      <alignment vertical="center"/>
    </xf>
    <xf numFmtId="164" fontId="7" fillId="0" borderId="1" xfId="1" applyNumberFormat="1" applyFont="1" applyFill="1" applyBorder="1" applyAlignment="1">
      <alignment horizontal="right" vertical="center"/>
    </xf>
    <xf numFmtId="0" fontId="11" fillId="0" borderId="0" xfId="0" applyFont="1"/>
    <xf numFmtId="166" fontId="11" fillId="0" borderId="13" xfId="0" applyNumberFormat="1" applyFont="1" applyBorder="1" applyAlignment="1">
      <alignment horizontal="center" vertical="center"/>
    </xf>
    <xf numFmtId="166" fontId="11" fillId="0" borderId="16" xfId="0" applyNumberFormat="1" applyFont="1" applyBorder="1" applyAlignment="1">
      <alignment horizontal="center" vertical="center"/>
    </xf>
    <xf numFmtId="0" fontId="11" fillId="0" borderId="16" xfId="0" applyFont="1" applyBorder="1" applyAlignment="1">
      <alignment horizontal="right"/>
    </xf>
    <xf numFmtId="166" fontId="11" fillId="0" borderId="16" xfId="0" applyNumberFormat="1" applyFont="1" applyBorder="1"/>
    <xf numFmtId="166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right"/>
    </xf>
    <xf numFmtId="0" fontId="2" fillId="7" borderId="12" xfId="0" applyFont="1" applyFill="1" applyBorder="1" applyAlignment="1">
      <alignment horizontal="center" vertical="center"/>
    </xf>
    <xf numFmtId="165" fontId="2" fillId="7" borderId="12" xfId="0" applyNumberFormat="1" applyFont="1" applyFill="1" applyBorder="1" applyAlignment="1">
      <alignment horizontal="center" vertical="center"/>
    </xf>
    <xf numFmtId="166" fontId="2" fillId="7" borderId="12" xfId="0" applyNumberFormat="1" applyFont="1" applyFill="1" applyBorder="1" applyAlignment="1">
      <alignment horizontal="center" vertical="center"/>
    </xf>
    <xf numFmtId="0" fontId="10" fillId="9" borderId="12" xfId="0" applyFont="1" applyFill="1" applyBorder="1" applyAlignment="1">
      <alignment horizontal="center" vertical="center" wrapText="1"/>
    </xf>
    <xf numFmtId="0" fontId="10" fillId="9" borderId="12" xfId="0" applyFont="1" applyFill="1" applyBorder="1" applyAlignment="1">
      <alignment horizontal="center" vertical="center"/>
    </xf>
    <xf numFmtId="166" fontId="10" fillId="9" borderId="12" xfId="0" applyNumberFormat="1" applyFont="1" applyFill="1" applyBorder="1" applyAlignment="1">
      <alignment horizontal="center" vertical="center"/>
    </xf>
    <xf numFmtId="166" fontId="10" fillId="9" borderId="12" xfId="1" applyNumberFormat="1" applyFont="1" applyFill="1" applyBorder="1" applyAlignment="1">
      <alignment horizontal="center" vertical="center" wrapText="1"/>
    </xf>
    <xf numFmtId="0" fontId="10" fillId="9" borderId="12" xfId="0" applyFont="1" applyFill="1" applyBorder="1" applyAlignment="1">
      <alignment horizontal="right" vertical="center"/>
    </xf>
    <xf numFmtId="167" fontId="10" fillId="9" borderId="12" xfId="1" applyNumberFormat="1" applyFont="1" applyFill="1" applyBorder="1" applyAlignment="1">
      <alignment horizontal="center" vertical="center" wrapText="1"/>
    </xf>
    <xf numFmtId="166" fontId="10" fillId="4" borderId="15" xfId="0" applyNumberFormat="1" applyFont="1" applyFill="1" applyBorder="1" applyAlignment="1">
      <alignment horizontal="center" vertical="center"/>
    </xf>
    <xf numFmtId="14" fontId="13" fillId="4" borderId="1" xfId="0" quotePrefix="1" applyNumberFormat="1" applyFont="1" applyFill="1" applyBorder="1" applyAlignment="1">
      <alignment horizontal="center" vertical="center" wrapText="1"/>
    </xf>
    <xf numFmtId="164" fontId="5" fillId="0" borderId="0" xfId="0" applyNumberFormat="1" applyFont="1" applyAlignment="1">
      <alignment vertical="center"/>
    </xf>
    <xf numFmtId="17" fontId="4" fillId="0" borderId="6" xfId="0" applyNumberFormat="1" applyFont="1" applyBorder="1" applyAlignment="1">
      <alignment vertical="center"/>
    </xf>
    <xf numFmtId="165" fontId="10" fillId="0" borderId="1" xfId="0" applyNumberFormat="1" applyFont="1" applyBorder="1" applyAlignment="1">
      <alignment horizontal="center"/>
    </xf>
    <xf numFmtId="166" fontId="11" fillId="0" borderId="1" xfId="0" applyNumberFormat="1" applyFont="1" applyBorder="1" applyAlignment="1">
      <alignment horizontal="center" vertical="center"/>
    </xf>
    <xf numFmtId="166" fontId="10" fillId="0" borderId="1" xfId="0" applyNumberFormat="1" applyFont="1" applyBorder="1" applyAlignment="1">
      <alignment horizontal="center"/>
    </xf>
    <xf numFmtId="166" fontId="11" fillId="0" borderId="14" xfId="0" applyNumberFormat="1" applyFont="1" applyBorder="1" applyAlignment="1">
      <alignment horizontal="center" vertical="center"/>
    </xf>
    <xf numFmtId="3" fontId="11" fillId="0" borderId="0" xfId="0" applyNumberFormat="1" applyFont="1" applyAlignment="1">
      <alignment horizontal="right" vertical="center"/>
    </xf>
    <xf numFmtId="0" fontId="14" fillId="0" borderId="0" xfId="0" applyFont="1"/>
    <xf numFmtId="3" fontId="10" fillId="0" borderId="13" xfId="0" applyNumberFormat="1" applyFont="1" applyBorder="1" applyAlignment="1">
      <alignment horizontal="center"/>
    </xf>
    <xf numFmtId="3" fontId="10" fillId="0" borderId="1" xfId="0" applyNumberFormat="1" applyFont="1" applyBorder="1" applyAlignment="1">
      <alignment horizontal="right"/>
    </xf>
    <xf numFmtId="166" fontId="10" fillId="0" borderId="13" xfId="0" applyNumberFormat="1" applyFont="1" applyBorder="1" applyAlignment="1">
      <alignment horizontal="center"/>
    </xf>
    <xf numFmtId="167" fontId="10" fillId="0" borderId="13" xfId="1" applyNumberFormat="1" applyFont="1" applyFill="1" applyBorder="1" applyAlignment="1">
      <alignment horizontal="center"/>
    </xf>
    <xf numFmtId="3" fontId="10" fillId="0" borderId="1" xfId="0" applyNumberFormat="1" applyFont="1" applyBorder="1" applyAlignment="1">
      <alignment horizontal="center"/>
    </xf>
    <xf numFmtId="167" fontId="10" fillId="0" borderId="14" xfId="1" applyNumberFormat="1" applyFont="1" applyFill="1" applyBorder="1" applyAlignment="1">
      <alignment horizontal="center"/>
    </xf>
    <xf numFmtId="166" fontId="10" fillId="0" borderId="14" xfId="0" applyNumberFormat="1" applyFont="1" applyBorder="1" applyAlignment="1">
      <alignment horizontal="center"/>
    </xf>
    <xf numFmtId="166" fontId="11" fillId="0" borderId="0" xfId="0" applyNumberFormat="1" applyFont="1"/>
    <xf numFmtId="0" fontId="11" fillId="0" borderId="1" xfId="0" applyFont="1" applyBorder="1"/>
    <xf numFmtId="167" fontId="10" fillId="0" borderId="1" xfId="1" applyNumberFormat="1" applyFont="1" applyFill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166" fontId="11" fillId="0" borderId="0" xfId="0" applyNumberFormat="1" applyFont="1" applyAlignment="1">
      <alignment horizontal="right"/>
    </xf>
    <xf numFmtId="0" fontId="11" fillId="3" borderId="1" xfId="0" applyFont="1" applyFill="1" applyBorder="1"/>
    <xf numFmtId="165" fontId="10" fillId="3" borderId="1" xfId="0" applyNumberFormat="1" applyFont="1" applyFill="1" applyBorder="1" applyAlignment="1">
      <alignment horizontal="center"/>
    </xf>
    <xf numFmtId="166" fontId="11" fillId="3" borderId="1" xfId="0" applyNumberFormat="1" applyFont="1" applyFill="1" applyBorder="1" applyAlignment="1">
      <alignment horizontal="center" vertical="center"/>
    </xf>
    <xf numFmtId="3" fontId="10" fillId="3" borderId="1" xfId="0" applyNumberFormat="1" applyFont="1" applyFill="1" applyBorder="1" applyAlignment="1">
      <alignment horizontal="center"/>
    </xf>
    <xf numFmtId="166" fontId="10" fillId="3" borderId="1" xfId="0" applyNumberFormat="1" applyFont="1" applyFill="1" applyBorder="1" applyAlignment="1">
      <alignment horizontal="center"/>
    </xf>
    <xf numFmtId="3" fontId="10" fillId="3" borderId="1" xfId="0" applyNumberFormat="1" applyFont="1" applyFill="1" applyBorder="1" applyAlignment="1">
      <alignment horizontal="right"/>
    </xf>
    <xf numFmtId="167" fontId="10" fillId="3" borderId="1" xfId="1" applyNumberFormat="1" applyFont="1" applyFill="1" applyBorder="1" applyAlignment="1">
      <alignment horizontal="center"/>
    </xf>
    <xf numFmtId="0" fontId="11" fillId="3" borderId="0" xfId="0" applyFont="1" applyFill="1"/>
    <xf numFmtId="0" fontId="11" fillId="3" borderId="1" xfId="0" applyFont="1" applyFill="1" applyBorder="1" applyAlignment="1">
      <alignment horizontal="center" vertical="center"/>
    </xf>
    <xf numFmtId="166" fontId="10" fillId="2" borderId="1" xfId="0" applyNumberFormat="1" applyFont="1" applyFill="1" applyBorder="1" applyAlignment="1">
      <alignment horizontal="center"/>
    </xf>
    <xf numFmtId="3" fontId="10" fillId="2" borderId="1" xfId="0" applyNumberFormat="1" applyFont="1" applyFill="1" applyBorder="1" applyAlignment="1">
      <alignment horizontal="right"/>
    </xf>
    <xf numFmtId="3" fontId="10" fillId="2" borderId="1" xfId="0" applyNumberFormat="1" applyFont="1" applyFill="1" applyBorder="1" applyAlignment="1">
      <alignment horizontal="center"/>
    </xf>
    <xf numFmtId="166" fontId="15" fillId="2" borderId="1" xfId="0" applyNumberFormat="1" applyFont="1" applyFill="1" applyBorder="1" applyAlignment="1">
      <alignment horizontal="center"/>
    </xf>
    <xf numFmtId="3" fontId="15" fillId="2" borderId="1" xfId="0" applyNumberFormat="1" applyFont="1" applyFill="1" applyBorder="1" applyAlignment="1">
      <alignment horizontal="right"/>
    </xf>
    <xf numFmtId="3" fontId="15" fillId="2" borderId="1" xfId="0" applyNumberFormat="1" applyFont="1" applyFill="1" applyBorder="1" applyAlignment="1">
      <alignment horizontal="center"/>
    </xf>
    <xf numFmtId="166" fontId="10" fillId="10" borderId="1" xfId="0" applyNumberFormat="1" applyFont="1" applyFill="1" applyBorder="1" applyAlignment="1">
      <alignment horizontal="center"/>
    </xf>
    <xf numFmtId="3" fontId="10" fillId="10" borderId="1" xfId="0" applyNumberFormat="1" applyFont="1" applyFill="1" applyBorder="1" applyAlignment="1">
      <alignment horizontal="right"/>
    </xf>
    <xf numFmtId="3" fontId="10" fillId="10" borderId="1" xfId="0" applyNumberFormat="1" applyFont="1" applyFill="1" applyBorder="1" applyAlignment="1">
      <alignment horizontal="center"/>
    </xf>
    <xf numFmtId="0" fontId="10" fillId="9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166" fontId="10" fillId="9" borderId="1" xfId="0" applyNumberFormat="1" applyFont="1" applyFill="1" applyBorder="1" applyAlignment="1">
      <alignment horizontal="center" vertical="center"/>
    </xf>
    <xf numFmtId="166" fontId="10" fillId="9" borderId="1" xfId="1" applyNumberFormat="1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right" vertical="center"/>
    </xf>
    <xf numFmtId="167" fontId="10" fillId="9" borderId="1" xfId="1" applyNumberFormat="1" applyFont="1" applyFill="1" applyBorder="1" applyAlignment="1">
      <alignment horizontal="center" vertical="center" wrapText="1"/>
    </xf>
    <xf numFmtId="166" fontId="10" fillId="4" borderId="1" xfId="0" applyNumberFormat="1" applyFont="1" applyFill="1" applyBorder="1" applyAlignment="1">
      <alignment horizontal="center" vertical="center"/>
    </xf>
    <xf numFmtId="166" fontId="11" fillId="2" borderId="1" xfId="0" applyNumberFormat="1" applyFont="1" applyFill="1" applyBorder="1" applyAlignment="1">
      <alignment horizontal="center" vertical="center"/>
    </xf>
    <xf numFmtId="167" fontId="10" fillId="2" borderId="1" xfId="1" applyNumberFormat="1" applyFont="1" applyFill="1" applyBorder="1" applyAlignment="1">
      <alignment horizontal="center"/>
    </xf>
    <xf numFmtId="166" fontId="14" fillId="2" borderId="1" xfId="0" applyNumberFormat="1" applyFont="1" applyFill="1" applyBorder="1" applyAlignment="1">
      <alignment horizontal="center" vertical="center"/>
    </xf>
    <xf numFmtId="167" fontId="15" fillId="2" borderId="1" xfId="1" applyNumberFormat="1" applyFont="1" applyFill="1" applyBorder="1" applyAlignment="1">
      <alignment horizontal="center"/>
    </xf>
    <xf numFmtId="167" fontId="10" fillId="10" borderId="1" xfId="1" applyNumberFormat="1" applyFont="1" applyFill="1" applyBorder="1" applyAlignment="1">
      <alignment horizontal="center"/>
    </xf>
    <xf numFmtId="167" fontId="2" fillId="6" borderId="1" xfId="1" applyNumberFormat="1" applyFont="1" applyFill="1" applyBorder="1" applyAlignment="1">
      <alignment vertical="center"/>
    </xf>
    <xf numFmtId="166" fontId="2" fillId="6" borderId="1" xfId="1" applyNumberFormat="1" applyFont="1" applyFill="1" applyBorder="1" applyAlignment="1">
      <alignment vertical="center"/>
    </xf>
    <xf numFmtId="166" fontId="11" fillId="0" borderId="1" xfId="0" applyNumberFormat="1" applyFont="1" applyBorder="1"/>
    <xf numFmtId="0" fontId="11" fillId="0" borderId="1" xfId="0" applyFont="1" applyBorder="1" applyAlignment="1">
      <alignment horizontal="right"/>
    </xf>
    <xf numFmtId="0" fontId="14" fillId="0" borderId="1" xfId="0" applyFont="1" applyBorder="1"/>
    <xf numFmtId="165" fontId="18" fillId="0" borderId="1" xfId="0" applyNumberFormat="1" applyFont="1" applyBorder="1" applyAlignment="1">
      <alignment horizontal="center"/>
    </xf>
    <xf numFmtId="3" fontId="18" fillId="2" borderId="1" xfId="0" applyNumberFormat="1" applyFont="1" applyFill="1" applyBorder="1" applyAlignment="1">
      <alignment horizontal="center"/>
    </xf>
    <xf numFmtId="166" fontId="18" fillId="2" borderId="1" xfId="0" applyNumberFormat="1" applyFont="1" applyFill="1" applyBorder="1" applyAlignment="1">
      <alignment horizontal="center"/>
    </xf>
    <xf numFmtId="166" fontId="14" fillId="0" borderId="1" xfId="0" applyNumberFormat="1" applyFont="1" applyBorder="1" applyAlignment="1">
      <alignment horizontal="center" vertical="center"/>
    </xf>
    <xf numFmtId="3" fontId="18" fillId="2" borderId="1" xfId="0" applyNumberFormat="1" applyFont="1" applyFill="1" applyBorder="1" applyAlignment="1">
      <alignment horizontal="right"/>
    </xf>
    <xf numFmtId="166" fontId="18" fillId="0" borderId="1" xfId="0" applyNumberFormat="1" applyFont="1" applyBorder="1" applyAlignment="1">
      <alignment horizontal="center"/>
    </xf>
    <xf numFmtId="167" fontId="18" fillId="2" borderId="1" xfId="1" applyNumberFormat="1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2" fillId="8" borderId="12" xfId="0" applyFont="1" applyFill="1" applyBorder="1" applyAlignment="1">
      <alignment horizontal="center" vertical="center"/>
    </xf>
    <xf numFmtId="0" fontId="2" fillId="8" borderId="25" xfId="0" applyFont="1" applyFill="1" applyBorder="1" applyAlignment="1">
      <alignment horizontal="center" vertical="center"/>
    </xf>
    <xf numFmtId="0" fontId="2" fillId="8" borderId="16" xfId="0" applyFont="1" applyFill="1" applyBorder="1" applyAlignment="1">
      <alignment horizontal="center" vertical="center"/>
    </xf>
    <xf numFmtId="0" fontId="2" fillId="8" borderId="26" xfId="0" applyFont="1" applyFill="1" applyBorder="1" applyAlignment="1">
      <alignment horizontal="center" vertical="center"/>
    </xf>
    <xf numFmtId="0" fontId="12" fillId="5" borderId="0" xfId="0" applyFont="1" applyFill="1" applyAlignment="1">
      <alignment horizontal="center"/>
    </xf>
    <xf numFmtId="0" fontId="11" fillId="6" borderId="1" xfId="0" applyFont="1" applyFill="1" applyBorder="1"/>
    <xf numFmtId="0" fontId="12" fillId="5" borderId="2" xfId="0" applyFont="1" applyFill="1" applyBorder="1" applyAlignment="1">
      <alignment horizontal="center"/>
    </xf>
    <xf numFmtId="0" fontId="12" fillId="5" borderId="3" xfId="0" applyFont="1" applyFill="1" applyBorder="1" applyAlignment="1">
      <alignment horizontal="center"/>
    </xf>
    <xf numFmtId="0" fontId="12" fillId="5" borderId="4" xfId="0" applyFont="1" applyFill="1" applyBorder="1" applyAlignment="1">
      <alignment horizontal="center"/>
    </xf>
    <xf numFmtId="0" fontId="12" fillId="5" borderId="1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3" fillId="2" borderId="3" xfId="0" applyNumberFormat="1" applyFont="1" applyFill="1" applyBorder="1" applyAlignment="1">
      <alignment horizontal="right" vertical="center"/>
    </xf>
    <xf numFmtId="164" fontId="3" fillId="2" borderId="4" xfId="0" applyNumberFormat="1" applyFont="1" applyFill="1" applyBorder="1" applyAlignment="1">
      <alignment horizontal="right" vertical="center"/>
    </xf>
    <xf numFmtId="164" fontId="6" fillId="0" borderId="2" xfId="1" applyNumberFormat="1" applyFont="1" applyBorder="1" applyAlignment="1">
      <alignment horizontal="left" vertical="center"/>
    </xf>
    <xf numFmtId="164" fontId="6" fillId="0" borderId="3" xfId="1" applyNumberFormat="1" applyFont="1" applyBorder="1" applyAlignment="1">
      <alignment horizontal="left" vertical="center"/>
    </xf>
    <xf numFmtId="164" fontId="6" fillId="0" borderId="4" xfId="1" applyNumberFormat="1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" fontId="8" fillId="0" borderId="2" xfId="0" applyNumberFormat="1" applyFont="1" applyBorder="1" applyAlignment="1">
      <alignment horizontal="center" vertical="center"/>
    </xf>
    <xf numFmtId="16" fontId="8" fillId="0" borderId="4" xfId="0" applyNumberFormat="1" applyFont="1" applyBorder="1" applyAlignment="1">
      <alignment horizontal="center" vertical="center"/>
    </xf>
    <xf numFmtId="16" fontId="4" fillId="0" borderId="2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4" fontId="5" fillId="0" borderId="5" xfId="1" applyNumberFormat="1" applyFont="1" applyBorder="1" applyAlignment="1">
      <alignment horizontal="center" vertical="center"/>
    </xf>
    <xf numFmtId="164" fontId="5" fillId="0" borderId="6" xfId="1" applyNumberFormat="1" applyFont="1" applyBorder="1" applyAlignment="1">
      <alignment horizontal="center" vertical="center"/>
    </xf>
    <xf numFmtId="164" fontId="6" fillId="2" borderId="5" xfId="1" applyNumberFormat="1" applyFont="1" applyFill="1" applyBorder="1" applyAlignment="1">
      <alignment horizontal="center" vertical="center" wrapText="1"/>
    </xf>
    <xf numFmtId="164" fontId="6" fillId="2" borderId="6" xfId="1" applyNumberFormat="1" applyFont="1" applyFill="1" applyBorder="1" applyAlignment="1">
      <alignment horizontal="center" vertical="center" wrapText="1"/>
    </xf>
    <xf numFmtId="16" fontId="4" fillId="0" borderId="4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/>
    </xf>
    <xf numFmtId="0" fontId="8" fillId="0" borderId="5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0" fillId="4" borderId="15" xfId="0" applyFont="1" applyFill="1" applyBorder="1" applyAlignment="1">
      <alignment horizontal="center" vertical="center"/>
    </xf>
    <xf numFmtId="0" fontId="2" fillId="8" borderId="13" xfId="0" applyFont="1" applyFill="1" applyBorder="1" applyAlignment="1">
      <alignment horizontal="center" vertical="center"/>
    </xf>
    <xf numFmtId="0" fontId="2" fillId="8" borderId="17" xfId="0" applyFont="1" applyFill="1" applyBorder="1" applyAlignment="1">
      <alignment horizontal="center" vertical="center"/>
    </xf>
    <xf numFmtId="0" fontId="2" fillId="8" borderId="18" xfId="0" applyFont="1" applyFill="1" applyBorder="1" applyAlignment="1">
      <alignment horizontal="center" vertical="center"/>
    </xf>
    <xf numFmtId="0" fontId="2" fillId="8" borderId="19" xfId="0" applyFont="1" applyFill="1" applyBorder="1" applyAlignment="1">
      <alignment horizontal="center" vertical="center"/>
    </xf>
    <xf numFmtId="0" fontId="11" fillId="6" borderId="13" xfId="0" applyFont="1" applyFill="1" applyBorder="1"/>
    <xf numFmtId="0" fontId="12" fillId="5" borderId="16" xfId="0" applyFont="1" applyFill="1" applyBorder="1" applyAlignment="1">
      <alignment horizontal="center"/>
    </xf>
    <xf numFmtId="166" fontId="11" fillId="6" borderId="14" xfId="0" applyNumberFormat="1" applyFont="1" applyFill="1" applyBorder="1"/>
    <xf numFmtId="0" fontId="11" fillId="6" borderId="14" xfId="0" applyFont="1" applyFill="1" applyBorder="1"/>
    <xf numFmtId="0" fontId="11" fillId="6" borderId="23" xfId="0" applyFont="1" applyFill="1" applyBorder="1"/>
    <xf numFmtId="0" fontId="11" fillId="6" borderId="24" xfId="0" applyFont="1" applyFill="1" applyBorder="1"/>
    <xf numFmtId="0" fontId="10" fillId="4" borderId="21" xfId="0" applyFont="1" applyFill="1" applyBorder="1" applyAlignment="1">
      <alignment horizontal="center" vertical="center"/>
    </xf>
    <xf numFmtId="0" fontId="10" fillId="4" borderId="22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3E55DEA-C308-4843-9BF9-BACDC8C47F0C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f827fec0-99f2-4438-8433-44b105f65402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AF13"/>
  <sheetViews>
    <sheetView zoomScaleNormal="100" workbookViewId="0">
      <pane xSplit="4" ySplit="7" topLeftCell="E8" activePane="bottomRight" state="frozen"/>
      <selection pane="topRight" activeCell="E1" sqref="E1"/>
      <selection pane="bottomLeft" activeCell="A7" sqref="A7"/>
      <selection pane="bottomRight" activeCell="S11" sqref="S11"/>
    </sheetView>
  </sheetViews>
  <sheetFormatPr defaultColWidth="9.36328125" defaultRowHeight="11.5" x14ac:dyDescent="0.25"/>
  <cols>
    <col min="1" max="1" width="5.54296875" style="25" customWidth="1"/>
    <col min="2" max="2" width="46.6328125" style="6" customWidth="1"/>
    <col min="3" max="3" width="8.54296875" style="6" customWidth="1"/>
    <col min="4" max="4" width="9.453125" style="6" customWidth="1"/>
    <col min="5" max="5" width="11" style="6" customWidth="1"/>
    <col min="6" max="8" width="9.453125" style="6" customWidth="1"/>
    <col min="9" max="18" width="9" style="9" customWidth="1"/>
    <col min="19" max="22" width="9" style="26" customWidth="1"/>
    <col min="23" max="26" width="9" style="9" customWidth="1"/>
    <col min="27" max="27" width="10.36328125" style="9" customWidth="1"/>
    <col min="28" max="28" width="15.453125" style="9" customWidth="1"/>
    <col min="29" max="31" width="9" style="26" hidden="1" customWidth="1"/>
    <col min="32" max="32" width="13.54296875" style="26" hidden="1" customWidth="1"/>
    <col min="33" max="16384" width="9.36328125" style="6"/>
  </cols>
  <sheetData>
    <row r="1" spans="1:32" s="3" customFormat="1" x14ac:dyDescent="0.25">
      <c r="A1" s="142" t="s">
        <v>0</v>
      </c>
      <c r="B1" s="142"/>
      <c r="C1" s="142"/>
      <c r="I1" s="4"/>
      <c r="J1" s="4"/>
      <c r="K1" s="4"/>
      <c r="L1" s="4"/>
      <c r="M1" s="4"/>
      <c r="N1" s="4"/>
      <c r="O1" s="4"/>
      <c r="P1" s="4"/>
      <c r="Q1" s="4"/>
      <c r="R1" s="4"/>
      <c r="S1" s="5"/>
      <c r="T1" s="5"/>
      <c r="U1" s="5"/>
      <c r="V1" s="5"/>
      <c r="W1" s="4"/>
      <c r="X1" s="4"/>
      <c r="Y1" s="4"/>
      <c r="Z1" s="4"/>
      <c r="AA1" s="4"/>
      <c r="AB1" s="4"/>
      <c r="AC1" s="5"/>
      <c r="AD1" s="5"/>
      <c r="AE1" s="5"/>
      <c r="AF1" s="5"/>
    </row>
    <row r="2" spans="1:32" s="3" customFormat="1" x14ac:dyDescent="0.25">
      <c r="A2" s="142" t="s">
        <v>1</v>
      </c>
      <c r="B2" s="142"/>
      <c r="C2" s="142"/>
      <c r="D2" s="142"/>
      <c r="E2" s="142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5"/>
      <c r="U2" s="5"/>
      <c r="V2" s="5"/>
      <c r="W2" s="4"/>
      <c r="X2" s="4"/>
      <c r="Y2" s="4"/>
      <c r="Z2" s="4"/>
      <c r="AA2" s="4"/>
      <c r="AB2" s="4"/>
      <c r="AC2" s="5"/>
      <c r="AD2" s="5"/>
      <c r="AE2" s="5"/>
      <c r="AF2" s="5"/>
    </row>
    <row r="3" spans="1:32" ht="32.25" customHeight="1" x14ac:dyDescent="0.25">
      <c r="A3" s="143" t="s">
        <v>2</v>
      </c>
      <c r="B3" s="143"/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43"/>
      <c r="V3" s="143"/>
      <c r="W3" s="143"/>
      <c r="X3" s="143"/>
      <c r="Y3" s="143"/>
      <c r="Z3" s="143"/>
      <c r="AA3" s="143"/>
      <c r="AB3" s="143"/>
      <c r="AC3" s="143"/>
      <c r="AD3" s="143"/>
      <c r="AE3" s="143"/>
      <c r="AF3" s="143"/>
    </row>
    <row r="5" spans="1:32" ht="21.75" customHeight="1" x14ac:dyDescent="0.25">
      <c r="A5" s="144" t="s">
        <v>3</v>
      </c>
      <c r="B5" s="144" t="s">
        <v>4</v>
      </c>
      <c r="C5" s="144" t="s">
        <v>5</v>
      </c>
      <c r="D5" s="147" t="s">
        <v>6</v>
      </c>
      <c r="E5" s="150" t="s">
        <v>7</v>
      </c>
      <c r="F5" s="150" t="s">
        <v>8</v>
      </c>
      <c r="G5" s="153" t="s">
        <v>9</v>
      </c>
      <c r="H5" s="154"/>
      <c r="I5" s="154"/>
      <c r="J5" s="154"/>
      <c r="K5" s="154"/>
      <c r="L5" s="154"/>
      <c r="M5" s="154"/>
      <c r="N5" s="154"/>
      <c r="O5" s="154"/>
      <c r="P5" s="154"/>
      <c r="Q5" s="154"/>
      <c r="R5" s="154"/>
      <c r="S5" s="154"/>
      <c r="T5" s="154"/>
      <c r="U5" s="154"/>
      <c r="V5" s="154"/>
      <c r="W5" s="154"/>
      <c r="X5" s="154"/>
      <c r="Y5" s="154"/>
      <c r="Z5" s="154"/>
      <c r="AA5" s="154"/>
      <c r="AB5" s="154"/>
      <c r="AC5" s="154"/>
      <c r="AD5" s="154"/>
      <c r="AE5" s="154"/>
      <c r="AF5" s="155"/>
    </row>
    <row r="6" spans="1:32" ht="21.75" customHeight="1" x14ac:dyDescent="0.25">
      <c r="A6" s="145"/>
      <c r="B6" s="145"/>
      <c r="C6" s="145"/>
      <c r="D6" s="148"/>
      <c r="E6" s="151"/>
      <c r="F6" s="151"/>
      <c r="G6" s="131">
        <v>43797</v>
      </c>
      <c r="H6" s="132"/>
      <c r="I6" s="131">
        <v>43799</v>
      </c>
      <c r="J6" s="132"/>
      <c r="K6" s="131">
        <v>43771</v>
      </c>
      <c r="L6" s="132"/>
      <c r="M6" s="131">
        <v>43804</v>
      </c>
      <c r="N6" s="132"/>
      <c r="O6" s="131">
        <v>43808</v>
      </c>
      <c r="P6" s="132"/>
      <c r="Q6" s="133">
        <v>43811</v>
      </c>
      <c r="R6" s="134"/>
      <c r="S6" s="133">
        <v>43783</v>
      </c>
      <c r="T6" s="134"/>
      <c r="U6" s="133">
        <v>43815</v>
      </c>
      <c r="V6" s="134"/>
      <c r="W6" s="133">
        <v>43818</v>
      </c>
      <c r="X6" s="134"/>
      <c r="Y6" s="133">
        <v>43823</v>
      </c>
      <c r="Z6" s="134"/>
      <c r="AA6" s="133">
        <v>43763</v>
      </c>
      <c r="AB6" s="134"/>
      <c r="AC6" s="135"/>
      <c r="AD6" s="141"/>
      <c r="AE6" s="135"/>
      <c r="AF6" s="136"/>
    </row>
    <row r="7" spans="1:32" s="9" customFormat="1" ht="49.5" customHeight="1" x14ac:dyDescent="0.35">
      <c r="A7" s="146"/>
      <c r="B7" s="146"/>
      <c r="C7" s="146"/>
      <c r="D7" s="149"/>
      <c r="E7" s="152"/>
      <c r="F7" s="152"/>
      <c r="G7" s="7" t="s">
        <v>10</v>
      </c>
      <c r="H7" s="8" t="s">
        <v>11</v>
      </c>
      <c r="I7" s="7" t="s">
        <v>10</v>
      </c>
      <c r="J7" s="8" t="s">
        <v>11</v>
      </c>
      <c r="K7" s="51"/>
      <c r="L7" s="51"/>
      <c r="M7" s="7" t="s">
        <v>10</v>
      </c>
      <c r="N7" s="8" t="s">
        <v>11</v>
      </c>
      <c r="O7" s="7" t="s">
        <v>10</v>
      </c>
      <c r="P7" s="8" t="s">
        <v>11</v>
      </c>
      <c r="Q7" s="7" t="s">
        <v>10</v>
      </c>
      <c r="R7" s="8" t="s">
        <v>11</v>
      </c>
      <c r="S7" s="7" t="s">
        <v>10</v>
      </c>
      <c r="T7" s="8" t="s">
        <v>11</v>
      </c>
      <c r="U7" s="7" t="s">
        <v>10</v>
      </c>
      <c r="V7" s="8" t="s">
        <v>11</v>
      </c>
      <c r="W7" s="7" t="s">
        <v>10</v>
      </c>
      <c r="X7" s="8" t="s">
        <v>11</v>
      </c>
      <c r="Y7" s="7" t="s">
        <v>10</v>
      </c>
      <c r="Z7" s="8" t="s">
        <v>11</v>
      </c>
      <c r="AA7" s="7" t="s">
        <v>10</v>
      </c>
      <c r="AB7" s="8" t="s">
        <v>11</v>
      </c>
      <c r="AC7" s="7" t="s">
        <v>10</v>
      </c>
      <c r="AD7" s="8" t="s">
        <v>11</v>
      </c>
      <c r="AE7" s="7" t="s">
        <v>10</v>
      </c>
      <c r="AF7" s="8" t="s">
        <v>11</v>
      </c>
    </row>
    <row r="8" spans="1:32" s="15" customFormat="1" ht="27.75" customHeight="1" x14ac:dyDescent="0.25">
      <c r="A8" s="16"/>
      <c r="B8" s="27" t="s">
        <v>12</v>
      </c>
      <c r="C8" s="49" t="s">
        <v>13</v>
      </c>
      <c r="D8" s="28">
        <v>35000</v>
      </c>
      <c r="E8" s="29">
        <v>100000</v>
      </c>
      <c r="F8" s="18" t="s">
        <v>14</v>
      </c>
      <c r="G8" s="18"/>
      <c r="H8" s="17"/>
      <c r="I8" s="17"/>
      <c r="J8" s="17"/>
      <c r="K8" s="17"/>
      <c r="L8" s="17"/>
      <c r="M8" s="17"/>
      <c r="N8" s="19"/>
      <c r="O8" s="19"/>
      <c r="P8" s="19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</row>
    <row r="9" spans="1:32" s="15" customFormat="1" ht="34.5" customHeight="1" x14ac:dyDescent="0.25">
      <c r="A9" s="137">
        <v>2</v>
      </c>
      <c r="B9" s="20" t="s">
        <v>15</v>
      </c>
      <c r="C9" s="139" t="s">
        <v>16</v>
      </c>
      <c r="D9" s="30">
        <v>175000</v>
      </c>
      <c r="E9" s="11">
        <v>500000</v>
      </c>
      <c r="F9" s="10" t="s">
        <v>17</v>
      </c>
      <c r="G9" s="10"/>
      <c r="H9" s="17"/>
      <c r="I9" s="11"/>
      <c r="J9" s="17"/>
      <c r="K9" s="11"/>
      <c r="L9" s="17"/>
      <c r="M9" s="12"/>
      <c r="N9" s="13"/>
      <c r="O9" s="13"/>
      <c r="P9" s="31"/>
      <c r="Q9" s="14"/>
      <c r="R9" s="14"/>
      <c r="S9" s="12"/>
      <c r="T9" s="12"/>
      <c r="U9" s="12"/>
      <c r="V9" s="17"/>
      <c r="W9" s="12"/>
      <c r="X9" s="14"/>
      <c r="Y9" s="14"/>
      <c r="Z9" s="14"/>
      <c r="AA9" s="14"/>
      <c r="AB9" s="14"/>
      <c r="AC9" s="12"/>
      <c r="AD9" s="14"/>
      <c r="AE9" s="12"/>
      <c r="AF9" s="12"/>
    </row>
    <row r="10" spans="1:32" s="15" customFormat="1" ht="31.5" customHeight="1" x14ac:dyDescent="0.25">
      <c r="A10" s="138"/>
      <c r="B10" s="20" t="s">
        <v>18</v>
      </c>
      <c r="C10" s="140"/>
      <c r="D10" s="30">
        <v>175000</v>
      </c>
      <c r="E10" s="11">
        <v>650000</v>
      </c>
      <c r="F10" s="10" t="s">
        <v>17</v>
      </c>
      <c r="G10" s="10"/>
      <c r="H10" s="17"/>
      <c r="I10" s="11"/>
      <c r="J10" s="17"/>
      <c r="K10" s="11"/>
      <c r="L10" s="17"/>
      <c r="M10" s="12"/>
      <c r="N10" s="13"/>
      <c r="O10" s="13"/>
      <c r="P10" s="31"/>
      <c r="Q10" s="14"/>
      <c r="R10" s="14"/>
      <c r="S10" s="12"/>
      <c r="T10" s="12"/>
      <c r="U10" s="12"/>
      <c r="V10" s="17"/>
      <c r="W10" s="12"/>
      <c r="X10" s="14"/>
      <c r="Y10" s="14"/>
      <c r="Z10" s="14"/>
      <c r="AA10" s="14"/>
      <c r="AB10" s="14"/>
      <c r="AC10" s="12"/>
      <c r="AD10" s="14"/>
      <c r="AE10" s="12"/>
      <c r="AF10" s="12"/>
    </row>
    <row r="11" spans="1:32" s="24" customFormat="1" ht="27.75" customHeight="1" x14ac:dyDescent="0.25">
      <c r="A11" s="127" t="s">
        <v>19</v>
      </c>
      <c r="B11" s="128"/>
      <c r="C11" s="128"/>
      <c r="D11" s="128"/>
      <c r="E11" s="128"/>
      <c r="F11" s="129"/>
      <c r="G11" s="21"/>
      <c r="H11" s="21"/>
      <c r="I11" s="21"/>
      <c r="J11" s="21"/>
      <c r="K11" s="21"/>
      <c r="L11" s="21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3"/>
      <c r="X11" s="23"/>
      <c r="Y11" s="23"/>
      <c r="Z11" s="23"/>
      <c r="AA11" s="23"/>
      <c r="AB11" s="23"/>
      <c r="AC11" s="22"/>
      <c r="AD11" s="22"/>
      <c r="AE11" s="22"/>
      <c r="AF11" s="22"/>
    </row>
    <row r="12" spans="1:32" ht="38.25" customHeight="1" x14ac:dyDescent="0.25">
      <c r="B12" s="130" t="s">
        <v>20</v>
      </c>
      <c r="C12" s="130"/>
      <c r="D12" s="130"/>
      <c r="E12" s="130"/>
      <c r="F12" s="130"/>
      <c r="G12" s="130"/>
      <c r="H12" s="130"/>
      <c r="I12" s="130"/>
      <c r="AB12" s="50">
        <f>X11+V11+T11+R11+P11+N11+J11+H11+L11+Z11</f>
        <v>0</v>
      </c>
      <c r="AC12" s="125"/>
      <c r="AD12" s="125"/>
      <c r="AE12" s="125"/>
      <c r="AF12" s="126"/>
    </row>
    <row r="13" spans="1:32" x14ac:dyDescent="0.25">
      <c r="AB13" s="50"/>
    </row>
  </sheetData>
  <mergeCells count="28">
    <mergeCell ref="A1:C1"/>
    <mergeCell ref="A2:E2"/>
    <mergeCell ref="A3:AF3"/>
    <mergeCell ref="A5:A7"/>
    <mergeCell ref="B5:B7"/>
    <mergeCell ref="C5:C7"/>
    <mergeCell ref="D5:D7"/>
    <mergeCell ref="E5:E7"/>
    <mergeCell ref="F5:F7"/>
    <mergeCell ref="Y6:Z6"/>
    <mergeCell ref="O6:P6"/>
    <mergeCell ref="AA6:AB6"/>
    <mergeCell ref="G5:AF5"/>
    <mergeCell ref="K6:L6"/>
    <mergeCell ref="AC12:AF12"/>
    <mergeCell ref="A11:F11"/>
    <mergeCell ref="B12:I12"/>
    <mergeCell ref="I6:J6"/>
    <mergeCell ref="M6:N6"/>
    <mergeCell ref="Q6:R6"/>
    <mergeCell ref="S6:T6"/>
    <mergeCell ref="U6:V6"/>
    <mergeCell ref="W6:X6"/>
    <mergeCell ref="AE6:AF6"/>
    <mergeCell ref="A9:A10"/>
    <mergeCell ref="C9:C10"/>
    <mergeCell ref="AC6:AD6"/>
    <mergeCell ref="G6:H6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6"/>
  <sheetViews>
    <sheetView topLeftCell="A23" zoomScaleNormal="100" zoomScaleSheetLayoutView="100" workbookViewId="0">
      <selection activeCell="A37" sqref="A37:E37"/>
    </sheetView>
  </sheetViews>
  <sheetFormatPr defaultColWidth="9.36328125" defaultRowHeight="12" x14ac:dyDescent="0.3"/>
  <cols>
    <col min="1" max="1" width="3.36328125" style="32" customWidth="1"/>
    <col min="2" max="3" width="9.36328125" style="32" customWidth="1"/>
    <col min="4" max="4" width="12.90625" style="32" customWidth="1"/>
    <col min="5" max="5" width="12.36328125" style="32" customWidth="1"/>
    <col min="6" max="6" width="8.1796875" style="32" customWidth="1"/>
    <col min="7" max="7" width="14.54296875" style="38" customWidth="1"/>
    <col min="8" max="8" width="12.6328125" style="32" customWidth="1"/>
    <col min="9" max="9" width="8.36328125" style="32" customWidth="1"/>
    <col min="10" max="10" width="9.36328125" style="32" customWidth="1"/>
    <col min="11" max="11" width="11.6328125" style="32" customWidth="1"/>
    <col min="12" max="12" width="7.54296875" style="32" customWidth="1"/>
    <col min="13" max="13" width="11.453125" style="32" customWidth="1"/>
    <col min="14" max="14" width="15.81640625" style="32" customWidth="1"/>
    <col min="15" max="15" width="13.90625" style="32" customWidth="1"/>
    <col min="16" max="16384" width="9.36328125" style="32"/>
  </cols>
  <sheetData>
    <row r="1" spans="1:15" ht="16.5" customHeight="1" x14ac:dyDescent="0.3">
      <c r="A1" s="156" t="s">
        <v>50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</row>
    <row r="2" spans="1:15" ht="19.5" customHeight="1" x14ac:dyDescent="0.3">
      <c r="A2" s="39" t="s">
        <v>21</v>
      </c>
      <c r="B2" s="40" t="s">
        <v>22</v>
      </c>
      <c r="C2" s="114" t="s">
        <v>23</v>
      </c>
      <c r="D2" s="114"/>
      <c r="E2" s="114"/>
      <c r="F2" s="114" t="s">
        <v>24</v>
      </c>
      <c r="G2" s="114"/>
      <c r="H2" s="114"/>
      <c r="I2" s="115" t="s">
        <v>25</v>
      </c>
      <c r="J2" s="116"/>
      <c r="K2" s="117"/>
      <c r="L2" s="114" t="s">
        <v>26</v>
      </c>
      <c r="M2" s="114"/>
      <c r="N2" s="114"/>
      <c r="O2" s="41" t="s">
        <v>27</v>
      </c>
    </row>
    <row r="3" spans="1:15" ht="21.5" customHeight="1" x14ac:dyDescent="0.3">
      <c r="A3" s="112" t="s">
        <v>28</v>
      </c>
      <c r="B3" s="112"/>
      <c r="C3" s="88" t="s">
        <v>29</v>
      </c>
      <c r="D3" s="89" t="s">
        <v>30</v>
      </c>
      <c r="E3" s="90" t="s">
        <v>31</v>
      </c>
      <c r="F3" s="91" t="s">
        <v>29</v>
      </c>
      <c r="G3" s="92" t="s">
        <v>30</v>
      </c>
      <c r="H3" s="90" t="s">
        <v>32</v>
      </c>
      <c r="I3" s="93" t="s">
        <v>29</v>
      </c>
      <c r="J3" s="89" t="s">
        <v>30</v>
      </c>
      <c r="K3" s="90" t="s">
        <v>32</v>
      </c>
      <c r="L3" s="93" t="s">
        <v>33</v>
      </c>
      <c r="M3" s="89" t="s">
        <v>30</v>
      </c>
      <c r="N3" s="90" t="s">
        <v>32</v>
      </c>
      <c r="O3" s="94"/>
    </row>
    <row r="4" spans="1:15" ht="13.5" customHeight="1" x14ac:dyDescent="0.3">
      <c r="A4" s="66">
        <v>1</v>
      </c>
      <c r="B4" s="52">
        <v>46013</v>
      </c>
      <c r="C4" s="53">
        <v>1</v>
      </c>
      <c r="D4" s="62">
        <v>2500000</v>
      </c>
      <c r="E4" s="54">
        <f t="shared" ref="E4:E20" si="0">D4*C4</f>
        <v>2500000</v>
      </c>
      <c r="F4" s="53">
        <v>1</v>
      </c>
      <c r="G4" s="59">
        <v>1800000</v>
      </c>
      <c r="H4" s="54">
        <f>G4*F4</f>
        <v>1800000</v>
      </c>
      <c r="I4" s="53"/>
      <c r="J4" s="62">
        <v>7000</v>
      </c>
      <c r="K4" s="54">
        <f t="shared" ref="K4:K35" si="1">J4*I4</f>
        <v>0</v>
      </c>
      <c r="L4" s="67"/>
      <c r="M4" s="62">
        <v>5000</v>
      </c>
      <c r="N4" s="54">
        <f t="shared" ref="N4:N22" si="2">L4*M4</f>
        <v>0</v>
      </c>
      <c r="O4" s="54">
        <f>E4+H4+N4+K4</f>
        <v>4300000</v>
      </c>
    </row>
    <row r="5" spans="1:15" ht="13.5" customHeight="1" x14ac:dyDescent="0.3">
      <c r="A5" s="66">
        <v>2</v>
      </c>
      <c r="B5" s="52">
        <v>46014</v>
      </c>
      <c r="C5" s="53">
        <v>1</v>
      </c>
      <c r="D5" s="62">
        <v>2500000</v>
      </c>
      <c r="E5" s="54">
        <f t="shared" si="0"/>
        <v>2500000</v>
      </c>
      <c r="F5" s="53">
        <v>2</v>
      </c>
      <c r="G5" s="59">
        <v>1800000</v>
      </c>
      <c r="H5" s="54">
        <f t="shared" ref="H5:H35" si="3">G5*F5</f>
        <v>3600000</v>
      </c>
      <c r="I5" s="53"/>
      <c r="J5" s="62">
        <v>7000</v>
      </c>
      <c r="K5" s="54">
        <f t="shared" si="1"/>
        <v>0</v>
      </c>
      <c r="L5" s="67"/>
      <c r="M5" s="62">
        <v>5000</v>
      </c>
      <c r="N5" s="54">
        <f t="shared" si="2"/>
        <v>0</v>
      </c>
      <c r="O5" s="54">
        <f t="shared" ref="O5:O24" si="4">E5+H5+N5+K5</f>
        <v>6100000</v>
      </c>
    </row>
    <row r="6" spans="1:15" ht="13.5" customHeight="1" x14ac:dyDescent="0.3">
      <c r="A6" s="66">
        <v>3</v>
      </c>
      <c r="B6" s="52">
        <v>46015</v>
      </c>
      <c r="C6" s="53">
        <v>1</v>
      </c>
      <c r="D6" s="62">
        <v>2500000</v>
      </c>
      <c r="E6" s="54">
        <f t="shared" si="0"/>
        <v>2500000</v>
      </c>
      <c r="F6" s="53">
        <v>1</v>
      </c>
      <c r="G6" s="59">
        <v>1800000</v>
      </c>
      <c r="H6" s="54">
        <f t="shared" si="3"/>
        <v>1800000</v>
      </c>
      <c r="I6" s="53"/>
      <c r="J6" s="62">
        <v>7000</v>
      </c>
      <c r="K6" s="54">
        <f t="shared" si="1"/>
        <v>0</v>
      </c>
      <c r="L6" s="67"/>
      <c r="M6" s="62">
        <v>5000</v>
      </c>
      <c r="N6" s="54">
        <f t="shared" si="2"/>
        <v>0</v>
      </c>
      <c r="O6" s="54">
        <f t="shared" si="4"/>
        <v>4300000</v>
      </c>
    </row>
    <row r="7" spans="1:15" ht="13.5" customHeight="1" x14ac:dyDescent="0.3">
      <c r="A7" s="66">
        <v>4</v>
      </c>
      <c r="B7" s="52">
        <v>46016</v>
      </c>
      <c r="C7" s="95">
        <v>1</v>
      </c>
      <c r="D7" s="81">
        <v>2500000</v>
      </c>
      <c r="E7" s="79">
        <f t="shared" si="0"/>
        <v>2500000</v>
      </c>
      <c r="F7" s="95">
        <v>2</v>
      </c>
      <c r="G7" s="80">
        <v>1800000</v>
      </c>
      <c r="H7" s="54">
        <f t="shared" si="3"/>
        <v>3600000</v>
      </c>
      <c r="I7" s="95"/>
      <c r="J7" s="81">
        <v>7000</v>
      </c>
      <c r="K7" s="79">
        <f t="shared" si="1"/>
        <v>0</v>
      </c>
      <c r="L7" s="96"/>
      <c r="M7" s="81">
        <v>5000</v>
      </c>
      <c r="N7" s="79">
        <f t="shared" si="2"/>
        <v>0</v>
      </c>
      <c r="O7" s="79">
        <f t="shared" si="4"/>
        <v>6100000</v>
      </c>
    </row>
    <row r="8" spans="1:15" ht="13.5" customHeight="1" x14ac:dyDescent="0.3">
      <c r="A8" s="66">
        <v>5</v>
      </c>
      <c r="B8" s="52">
        <v>46017</v>
      </c>
      <c r="C8" s="95">
        <v>2</v>
      </c>
      <c r="D8" s="81">
        <v>2500000</v>
      </c>
      <c r="E8" s="79">
        <f>D8*C8</f>
        <v>5000000</v>
      </c>
      <c r="F8" s="95">
        <v>2</v>
      </c>
      <c r="G8" s="80">
        <v>1800000</v>
      </c>
      <c r="H8" s="54">
        <f t="shared" si="3"/>
        <v>3600000</v>
      </c>
      <c r="I8" s="95"/>
      <c r="J8" s="81">
        <v>7000</v>
      </c>
      <c r="K8" s="79">
        <f t="shared" si="1"/>
        <v>0</v>
      </c>
      <c r="L8" s="96"/>
      <c r="M8" s="81">
        <v>5000</v>
      </c>
      <c r="N8" s="79">
        <f t="shared" si="2"/>
        <v>0</v>
      </c>
      <c r="O8" s="79">
        <f t="shared" si="4"/>
        <v>8600000</v>
      </c>
    </row>
    <row r="9" spans="1:15" ht="13.5" customHeight="1" x14ac:dyDescent="0.3">
      <c r="A9" s="66">
        <v>6</v>
      </c>
      <c r="B9" s="52">
        <v>46018</v>
      </c>
      <c r="C9" s="95">
        <v>1</v>
      </c>
      <c r="D9" s="81">
        <v>2500000</v>
      </c>
      <c r="E9" s="79">
        <f t="shared" si="0"/>
        <v>2500000</v>
      </c>
      <c r="F9" s="95">
        <v>1</v>
      </c>
      <c r="G9" s="80">
        <v>1800000</v>
      </c>
      <c r="H9" s="54">
        <f t="shared" si="3"/>
        <v>1800000</v>
      </c>
      <c r="I9" s="95"/>
      <c r="J9" s="81">
        <v>7000</v>
      </c>
      <c r="K9" s="79">
        <f t="shared" si="1"/>
        <v>0</v>
      </c>
      <c r="L9" s="96"/>
      <c r="M9" s="81">
        <v>5000</v>
      </c>
      <c r="N9" s="79">
        <f t="shared" si="2"/>
        <v>0</v>
      </c>
      <c r="O9" s="79">
        <f t="shared" si="4"/>
        <v>4300000</v>
      </c>
    </row>
    <row r="10" spans="1:15" ht="13.5" customHeight="1" x14ac:dyDescent="0.3">
      <c r="A10" s="66">
        <v>7</v>
      </c>
      <c r="B10" s="52">
        <v>46019</v>
      </c>
      <c r="C10" s="95">
        <v>0</v>
      </c>
      <c r="D10" s="81">
        <v>2500000</v>
      </c>
      <c r="E10" s="79">
        <f>D10*C10</f>
        <v>0</v>
      </c>
      <c r="F10" s="95">
        <v>0</v>
      </c>
      <c r="G10" s="80">
        <v>1800000</v>
      </c>
      <c r="H10" s="54">
        <f t="shared" si="3"/>
        <v>0</v>
      </c>
      <c r="I10" s="95"/>
      <c r="J10" s="81">
        <v>7000</v>
      </c>
      <c r="K10" s="79">
        <f t="shared" si="1"/>
        <v>0</v>
      </c>
      <c r="L10" s="96"/>
      <c r="M10" s="81">
        <v>5000</v>
      </c>
      <c r="N10" s="79">
        <f t="shared" si="2"/>
        <v>0</v>
      </c>
      <c r="O10" s="79">
        <f>E10+H10+N10+K10</f>
        <v>0</v>
      </c>
    </row>
    <row r="11" spans="1:15" ht="13.5" customHeight="1" x14ac:dyDescent="0.3">
      <c r="A11" s="66">
        <v>8</v>
      </c>
      <c r="B11" s="52">
        <v>46020</v>
      </c>
      <c r="C11" s="95">
        <v>1</v>
      </c>
      <c r="D11" s="81">
        <v>2500000</v>
      </c>
      <c r="E11" s="79">
        <f>D11*C11</f>
        <v>2500000</v>
      </c>
      <c r="F11" s="95">
        <v>2</v>
      </c>
      <c r="G11" s="80">
        <v>1800000</v>
      </c>
      <c r="H11" s="54">
        <f t="shared" si="3"/>
        <v>3600000</v>
      </c>
      <c r="I11" s="95"/>
      <c r="J11" s="81">
        <v>7000</v>
      </c>
      <c r="K11" s="79">
        <f t="shared" si="1"/>
        <v>0</v>
      </c>
      <c r="L11" s="96"/>
      <c r="M11" s="81">
        <v>5000</v>
      </c>
      <c r="N11" s="79">
        <f t="shared" si="2"/>
        <v>0</v>
      </c>
      <c r="O11" s="79">
        <f t="shared" si="4"/>
        <v>6100000</v>
      </c>
    </row>
    <row r="12" spans="1:15" ht="13.5" customHeight="1" x14ac:dyDescent="0.3">
      <c r="A12" s="66">
        <v>9</v>
      </c>
      <c r="B12" s="52">
        <v>46021</v>
      </c>
      <c r="C12" s="95">
        <v>1</v>
      </c>
      <c r="D12" s="81">
        <v>2500000</v>
      </c>
      <c r="E12" s="79">
        <f>D12*C12</f>
        <v>2500000</v>
      </c>
      <c r="F12" s="95">
        <v>1</v>
      </c>
      <c r="G12" s="80">
        <v>1800000</v>
      </c>
      <c r="H12" s="54">
        <f t="shared" si="3"/>
        <v>1800000</v>
      </c>
      <c r="I12" s="95"/>
      <c r="J12" s="81">
        <v>7000</v>
      </c>
      <c r="K12" s="79">
        <f t="shared" si="1"/>
        <v>0</v>
      </c>
      <c r="L12" s="96"/>
      <c r="M12" s="81">
        <v>5000</v>
      </c>
      <c r="N12" s="79">
        <f t="shared" si="2"/>
        <v>0</v>
      </c>
      <c r="O12" s="79">
        <f t="shared" si="4"/>
        <v>4300000</v>
      </c>
    </row>
    <row r="13" spans="1:15" ht="13.5" customHeight="1" x14ac:dyDescent="0.3">
      <c r="A13" s="66">
        <v>10</v>
      </c>
      <c r="B13" s="52">
        <v>46022</v>
      </c>
      <c r="C13" s="95">
        <v>2</v>
      </c>
      <c r="D13" s="81">
        <v>2500000</v>
      </c>
      <c r="E13" s="79">
        <f>D13*C13</f>
        <v>5000000</v>
      </c>
      <c r="F13" s="95">
        <v>2</v>
      </c>
      <c r="G13" s="80">
        <v>1800000</v>
      </c>
      <c r="H13" s="54">
        <f t="shared" si="3"/>
        <v>3600000</v>
      </c>
      <c r="I13" s="95"/>
      <c r="J13" s="81">
        <v>7000</v>
      </c>
      <c r="K13" s="79">
        <f t="shared" si="1"/>
        <v>0</v>
      </c>
      <c r="L13" s="96"/>
      <c r="M13" s="81">
        <v>5000</v>
      </c>
      <c r="N13" s="79">
        <f t="shared" si="2"/>
        <v>0</v>
      </c>
      <c r="O13" s="79">
        <f t="shared" si="4"/>
        <v>8600000</v>
      </c>
    </row>
    <row r="14" spans="1:15" ht="13.5" customHeight="1" x14ac:dyDescent="0.3">
      <c r="A14" s="66">
        <v>11</v>
      </c>
      <c r="B14" s="52">
        <v>46023</v>
      </c>
      <c r="C14" s="95">
        <v>0</v>
      </c>
      <c r="D14" s="81">
        <v>2500000</v>
      </c>
      <c r="E14" s="79">
        <f t="shared" si="0"/>
        <v>0</v>
      </c>
      <c r="F14" s="95">
        <v>0</v>
      </c>
      <c r="G14" s="80">
        <v>1800000</v>
      </c>
      <c r="H14" s="54">
        <f t="shared" si="3"/>
        <v>0</v>
      </c>
      <c r="I14" s="95"/>
      <c r="J14" s="81">
        <v>7000</v>
      </c>
      <c r="K14" s="79">
        <f t="shared" si="1"/>
        <v>0</v>
      </c>
      <c r="L14" s="96"/>
      <c r="M14" s="81">
        <v>5000</v>
      </c>
      <c r="N14" s="79">
        <f t="shared" si="2"/>
        <v>0</v>
      </c>
      <c r="O14" s="79">
        <f t="shared" si="4"/>
        <v>0</v>
      </c>
    </row>
    <row r="15" spans="1:15" ht="13.5" customHeight="1" x14ac:dyDescent="0.3">
      <c r="A15" s="66">
        <v>12</v>
      </c>
      <c r="B15" s="52">
        <v>46024</v>
      </c>
      <c r="C15" s="95">
        <v>1</v>
      </c>
      <c r="D15" s="81">
        <v>2500000</v>
      </c>
      <c r="E15" s="79">
        <f t="shared" si="0"/>
        <v>2500000</v>
      </c>
      <c r="F15" s="95">
        <v>2</v>
      </c>
      <c r="G15" s="80">
        <v>1800000</v>
      </c>
      <c r="H15" s="54">
        <f t="shared" si="3"/>
        <v>3600000</v>
      </c>
      <c r="I15" s="95"/>
      <c r="J15" s="81">
        <v>7000</v>
      </c>
      <c r="K15" s="79">
        <f t="shared" si="1"/>
        <v>0</v>
      </c>
      <c r="L15" s="96"/>
      <c r="M15" s="81">
        <v>5000</v>
      </c>
      <c r="N15" s="79">
        <f t="shared" si="2"/>
        <v>0</v>
      </c>
      <c r="O15" s="79">
        <f>E15+H15+N15+K15</f>
        <v>6100000</v>
      </c>
    </row>
    <row r="16" spans="1:15" ht="13.5" customHeight="1" x14ac:dyDescent="0.3">
      <c r="A16" s="66">
        <v>13</v>
      </c>
      <c r="B16" s="52">
        <v>46025</v>
      </c>
      <c r="C16" s="95">
        <v>1</v>
      </c>
      <c r="D16" s="81">
        <v>2500000</v>
      </c>
      <c r="E16" s="79">
        <f t="shared" si="0"/>
        <v>2500000</v>
      </c>
      <c r="F16" s="95">
        <v>1</v>
      </c>
      <c r="G16" s="80">
        <v>1800000</v>
      </c>
      <c r="H16" s="54">
        <f t="shared" si="3"/>
        <v>1800000</v>
      </c>
      <c r="I16" s="95"/>
      <c r="J16" s="81">
        <v>7000</v>
      </c>
      <c r="K16" s="79">
        <f t="shared" si="1"/>
        <v>0</v>
      </c>
      <c r="L16" s="96"/>
      <c r="M16" s="81">
        <v>5000</v>
      </c>
      <c r="N16" s="79">
        <f t="shared" si="2"/>
        <v>0</v>
      </c>
      <c r="O16" s="79">
        <f t="shared" si="4"/>
        <v>4300000</v>
      </c>
    </row>
    <row r="17" spans="1:15" ht="13.5" customHeight="1" x14ac:dyDescent="0.3">
      <c r="A17" s="66">
        <v>14</v>
      </c>
      <c r="B17" s="52">
        <v>46026</v>
      </c>
      <c r="C17" s="95">
        <v>0</v>
      </c>
      <c r="D17" s="81">
        <v>2500000</v>
      </c>
      <c r="E17" s="79">
        <f t="shared" si="0"/>
        <v>0</v>
      </c>
      <c r="F17" s="95">
        <v>0</v>
      </c>
      <c r="G17" s="80">
        <v>1800000</v>
      </c>
      <c r="H17" s="54">
        <f t="shared" si="3"/>
        <v>0</v>
      </c>
      <c r="I17" s="95"/>
      <c r="J17" s="81">
        <v>7000</v>
      </c>
      <c r="K17" s="79">
        <f t="shared" si="1"/>
        <v>0</v>
      </c>
      <c r="L17" s="96"/>
      <c r="M17" s="81">
        <v>5000</v>
      </c>
      <c r="N17" s="79">
        <f t="shared" si="2"/>
        <v>0</v>
      </c>
      <c r="O17" s="79">
        <f t="shared" si="4"/>
        <v>0</v>
      </c>
    </row>
    <row r="18" spans="1:15" ht="13.5" customHeight="1" x14ac:dyDescent="0.3">
      <c r="A18" s="66">
        <v>15</v>
      </c>
      <c r="B18" s="52">
        <v>46027</v>
      </c>
      <c r="C18" s="95">
        <v>1</v>
      </c>
      <c r="D18" s="81">
        <v>2500000</v>
      </c>
      <c r="E18" s="79">
        <f t="shared" si="0"/>
        <v>2500000</v>
      </c>
      <c r="F18" s="95">
        <v>2</v>
      </c>
      <c r="G18" s="80">
        <v>1800000</v>
      </c>
      <c r="H18" s="54">
        <f t="shared" si="3"/>
        <v>3600000</v>
      </c>
      <c r="I18" s="95"/>
      <c r="J18" s="81">
        <v>7000</v>
      </c>
      <c r="K18" s="79">
        <f t="shared" si="1"/>
        <v>0</v>
      </c>
      <c r="L18" s="96"/>
      <c r="M18" s="81">
        <v>5000</v>
      </c>
      <c r="N18" s="79">
        <f t="shared" si="2"/>
        <v>0</v>
      </c>
      <c r="O18" s="79">
        <f t="shared" si="4"/>
        <v>6100000</v>
      </c>
    </row>
    <row r="19" spans="1:15" ht="13.5" customHeight="1" x14ac:dyDescent="0.3">
      <c r="A19" s="66">
        <v>16</v>
      </c>
      <c r="B19" s="52">
        <v>46028</v>
      </c>
      <c r="C19" s="95">
        <v>1</v>
      </c>
      <c r="D19" s="81">
        <v>2500000</v>
      </c>
      <c r="E19" s="79">
        <f t="shared" si="0"/>
        <v>2500000</v>
      </c>
      <c r="F19" s="95">
        <v>2</v>
      </c>
      <c r="G19" s="80">
        <v>1800000</v>
      </c>
      <c r="H19" s="54">
        <f t="shared" si="3"/>
        <v>3600000</v>
      </c>
      <c r="I19" s="95"/>
      <c r="J19" s="81">
        <v>7000</v>
      </c>
      <c r="K19" s="79">
        <f t="shared" si="1"/>
        <v>0</v>
      </c>
      <c r="L19" s="96"/>
      <c r="M19" s="81">
        <v>5000</v>
      </c>
      <c r="N19" s="79">
        <f t="shared" si="2"/>
        <v>0</v>
      </c>
      <c r="O19" s="79">
        <f t="shared" si="4"/>
        <v>6100000</v>
      </c>
    </row>
    <row r="20" spans="1:15" ht="13.5" customHeight="1" x14ac:dyDescent="0.3">
      <c r="A20" s="66">
        <v>17</v>
      </c>
      <c r="B20" s="52">
        <v>46029</v>
      </c>
      <c r="C20" s="95">
        <v>2</v>
      </c>
      <c r="D20" s="81">
        <v>2500000</v>
      </c>
      <c r="E20" s="79">
        <f t="shared" si="0"/>
        <v>5000000</v>
      </c>
      <c r="F20" s="95">
        <v>1</v>
      </c>
      <c r="G20" s="80">
        <v>1800000</v>
      </c>
      <c r="H20" s="54">
        <f t="shared" si="3"/>
        <v>1800000</v>
      </c>
      <c r="I20" s="95"/>
      <c r="J20" s="81">
        <v>7000</v>
      </c>
      <c r="K20" s="79">
        <f t="shared" si="1"/>
        <v>0</v>
      </c>
      <c r="L20" s="96">
        <v>740</v>
      </c>
      <c r="M20" s="81">
        <v>5000</v>
      </c>
      <c r="N20" s="79">
        <f t="shared" si="2"/>
        <v>3700000</v>
      </c>
      <c r="O20" s="79">
        <f t="shared" si="4"/>
        <v>10500000</v>
      </c>
    </row>
    <row r="21" spans="1:15" ht="13.5" customHeight="1" x14ac:dyDescent="0.3">
      <c r="A21" s="66">
        <v>18</v>
      </c>
      <c r="B21" s="52">
        <v>46030</v>
      </c>
      <c r="C21" s="95">
        <v>1</v>
      </c>
      <c r="D21" s="81">
        <v>2500000</v>
      </c>
      <c r="E21" s="79">
        <f t="shared" ref="E21:E35" si="5">D21*C21</f>
        <v>2500000</v>
      </c>
      <c r="F21" s="95">
        <v>2</v>
      </c>
      <c r="G21" s="80">
        <v>1800000</v>
      </c>
      <c r="H21" s="54">
        <f t="shared" si="3"/>
        <v>3600000</v>
      </c>
      <c r="I21" s="95"/>
      <c r="J21" s="81">
        <v>7000</v>
      </c>
      <c r="K21" s="79">
        <f t="shared" si="1"/>
        <v>0</v>
      </c>
      <c r="L21" s="96"/>
      <c r="M21" s="81">
        <v>5000</v>
      </c>
      <c r="N21" s="79">
        <f t="shared" si="2"/>
        <v>0</v>
      </c>
      <c r="O21" s="79">
        <f t="shared" si="4"/>
        <v>6100000</v>
      </c>
    </row>
    <row r="22" spans="1:15" ht="13.5" customHeight="1" x14ac:dyDescent="0.3">
      <c r="A22" s="66">
        <v>19</v>
      </c>
      <c r="B22" s="52">
        <v>46031</v>
      </c>
      <c r="C22" s="95">
        <v>1</v>
      </c>
      <c r="D22" s="81">
        <v>2500000</v>
      </c>
      <c r="E22" s="79">
        <f t="shared" si="5"/>
        <v>2500000</v>
      </c>
      <c r="F22" s="95">
        <v>1</v>
      </c>
      <c r="G22" s="80">
        <v>1800000</v>
      </c>
      <c r="H22" s="54">
        <f t="shared" si="3"/>
        <v>1800000</v>
      </c>
      <c r="I22" s="95"/>
      <c r="J22" s="81">
        <v>7000</v>
      </c>
      <c r="K22" s="79">
        <f t="shared" si="1"/>
        <v>0</v>
      </c>
      <c r="L22" s="96"/>
      <c r="M22" s="81">
        <v>5000</v>
      </c>
      <c r="N22" s="79">
        <f t="shared" si="2"/>
        <v>0</v>
      </c>
      <c r="O22" s="79">
        <f t="shared" si="4"/>
        <v>4300000</v>
      </c>
    </row>
    <row r="23" spans="1:15" s="57" customFormat="1" ht="13.5" customHeight="1" x14ac:dyDescent="0.3">
      <c r="A23" s="66">
        <v>20</v>
      </c>
      <c r="B23" s="52">
        <v>46032</v>
      </c>
      <c r="C23" s="97">
        <v>1</v>
      </c>
      <c r="D23" s="84">
        <v>2500000</v>
      </c>
      <c r="E23" s="82">
        <f t="shared" si="5"/>
        <v>2500000</v>
      </c>
      <c r="F23" s="95">
        <v>1</v>
      </c>
      <c r="G23" s="83">
        <v>1800000</v>
      </c>
      <c r="H23" s="54">
        <f t="shared" si="3"/>
        <v>1800000</v>
      </c>
      <c r="I23" s="95"/>
      <c r="J23" s="84">
        <v>7000</v>
      </c>
      <c r="K23" s="82">
        <f t="shared" si="1"/>
        <v>0</v>
      </c>
      <c r="L23" s="98"/>
      <c r="M23" s="84">
        <v>5000</v>
      </c>
      <c r="N23" s="82">
        <f>L23*M23</f>
        <v>0</v>
      </c>
      <c r="O23" s="82">
        <f t="shared" si="4"/>
        <v>4300000</v>
      </c>
    </row>
    <row r="24" spans="1:15" ht="13.5" customHeight="1" x14ac:dyDescent="0.3">
      <c r="A24" s="66">
        <v>21</v>
      </c>
      <c r="B24" s="52">
        <v>46034</v>
      </c>
      <c r="C24" s="95">
        <v>1</v>
      </c>
      <c r="D24" s="87">
        <v>2500000</v>
      </c>
      <c r="E24" s="85">
        <f t="shared" si="5"/>
        <v>2500000</v>
      </c>
      <c r="F24" s="95">
        <v>3</v>
      </c>
      <c r="G24" s="86">
        <v>1800000</v>
      </c>
      <c r="H24" s="54">
        <f t="shared" si="3"/>
        <v>5400000</v>
      </c>
      <c r="I24" s="95"/>
      <c r="J24" s="87">
        <v>7000</v>
      </c>
      <c r="K24" s="85">
        <f t="shared" si="1"/>
        <v>0</v>
      </c>
      <c r="L24" s="99"/>
      <c r="M24" s="87">
        <v>5000</v>
      </c>
      <c r="N24" s="85">
        <f t="shared" ref="N24:N35" si="6">L24*M24</f>
        <v>0</v>
      </c>
      <c r="O24" s="79">
        <f t="shared" si="4"/>
        <v>7900000</v>
      </c>
    </row>
    <row r="25" spans="1:15" ht="13.5" customHeight="1" x14ac:dyDescent="0.3">
      <c r="A25" s="66">
        <v>22</v>
      </c>
      <c r="B25" s="52">
        <v>46035</v>
      </c>
      <c r="C25" s="95">
        <v>1</v>
      </c>
      <c r="D25" s="87">
        <v>2500000</v>
      </c>
      <c r="E25" s="85">
        <f t="shared" si="5"/>
        <v>2500000</v>
      </c>
      <c r="F25" s="95">
        <v>1</v>
      </c>
      <c r="G25" s="86">
        <v>1800000</v>
      </c>
      <c r="H25" s="54">
        <f t="shared" si="3"/>
        <v>1800000</v>
      </c>
      <c r="I25" s="95"/>
      <c r="J25" s="87">
        <v>7000</v>
      </c>
      <c r="K25" s="85">
        <f t="shared" si="1"/>
        <v>0</v>
      </c>
      <c r="L25" s="99"/>
      <c r="M25" s="87">
        <v>5000</v>
      </c>
      <c r="N25" s="85">
        <f t="shared" si="6"/>
        <v>0</v>
      </c>
      <c r="O25" s="79">
        <f>E25+H25+N25+K25</f>
        <v>4300000</v>
      </c>
    </row>
    <row r="26" spans="1:15" ht="13.5" customHeight="1" x14ac:dyDescent="0.3">
      <c r="A26" s="66">
        <v>23</v>
      </c>
      <c r="B26" s="52">
        <v>46036</v>
      </c>
      <c r="C26" s="95">
        <v>2</v>
      </c>
      <c r="D26" s="87">
        <v>2500000</v>
      </c>
      <c r="E26" s="85">
        <f t="shared" si="5"/>
        <v>5000000</v>
      </c>
      <c r="F26" s="95">
        <v>2</v>
      </c>
      <c r="G26" s="86">
        <v>1800000</v>
      </c>
      <c r="H26" s="54">
        <f t="shared" si="3"/>
        <v>3600000</v>
      </c>
      <c r="I26" s="95"/>
      <c r="J26" s="87">
        <v>7000</v>
      </c>
      <c r="K26" s="85">
        <f t="shared" si="1"/>
        <v>0</v>
      </c>
      <c r="L26" s="99"/>
      <c r="M26" s="87">
        <v>5000</v>
      </c>
      <c r="N26" s="85">
        <f t="shared" si="6"/>
        <v>0</v>
      </c>
      <c r="O26" s="79">
        <f t="shared" ref="O26:O35" si="7">E26+H26+N26+K26</f>
        <v>8600000</v>
      </c>
    </row>
    <row r="27" spans="1:15" ht="13.5" customHeight="1" x14ac:dyDescent="0.3">
      <c r="A27" s="66">
        <v>24</v>
      </c>
      <c r="B27" s="52">
        <v>46037</v>
      </c>
      <c r="C27" s="95">
        <v>1</v>
      </c>
      <c r="D27" s="87">
        <v>2500000</v>
      </c>
      <c r="E27" s="85">
        <f t="shared" si="5"/>
        <v>2500000</v>
      </c>
      <c r="F27" s="95">
        <v>1</v>
      </c>
      <c r="G27" s="86">
        <v>1800000</v>
      </c>
      <c r="H27" s="54">
        <f t="shared" si="3"/>
        <v>1800000</v>
      </c>
      <c r="I27" s="95"/>
      <c r="J27" s="87">
        <v>7000</v>
      </c>
      <c r="K27" s="85">
        <f t="shared" si="1"/>
        <v>0</v>
      </c>
      <c r="L27" s="99"/>
      <c r="M27" s="87">
        <v>5000</v>
      </c>
      <c r="N27" s="85">
        <f t="shared" si="6"/>
        <v>0</v>
      </c>
      <c r="O27" s="79">
        <f t="shared" si="7"/>
        <v>4300000</v>
      </c>
    </row>
    <row r="28" spans="1:15" ht="13.5" customHeight="1" x14ac:dyDescent="0.3">
      <c r="A28" s="66">
        <v>25</v>
      </c>
      <c r="B28" s="52">
        <v>46038</v>
      </c>
      <c r="C28" s="95">
        <v>1</v>
      </c>
      <c r="D28" s="87">
        <v>2500000</v>
      </c>
      <c r="E28" s="85">
        <f t="shared" si="5"/>
        <v>2500000</v>
      </c>
      <c r="F28" s="95">
        <v>2</v>
      </c>
      <c r="G28" s="86">
        <v>1800000</v>
      </c>
      <c r="H28" s="54">
        <f t="shared" si="3"/>
        <v>3600000</v>
      </c>
      <c r="I28" s="95"/>
      <c r="J28" s="87">
        <v>7000</v>
      </c>
      <c r="K28" s="85">
        <f t="shared" si="1"/>
        <v>0</v>
      </c>
      <c r="L28" s="99"/>
      <c r="M28" s="87">
        <v>5000</v>
      </c>
      <c r="N28" s="85">
        <f t="shared" si="6"/>
        <v>0</v>
      </c>
      <c r="O28" s="79">
        <f t="shared" si="7"/>
        <v>6100000</v>
      </c>
    </row>
    <row r="29" spans="1:15" ht="13.5" customHeight="1" x14ac:dyDescent="0.3">
      <c r="A29" s="66">
        <v>26</v>
      </c>
      <c r="B29" s="52">
        <v>46039</v>
      </c>
      <c r="C29" s="95">
        <v>1</v>
      </c>
      <c r="D29" s="87">
        <v>2500000</v>
      </c>
      <c r="E29" s="85">
        <f t="shared" si="5"/>
        <v>2500000</v>
      </c>
      <c r="F29" s="95">
        <v>1</v>
      </c>
      <c r="G29" s="86">
        <v>1800000</v>
      </c>
      <c r="H29" s="54">
        <f t="shared" si="3"/>
        <v>1800000</v>
      </c>
      <c r="I29" s="95"/>
      <c r="J29" s="87">
        <v>7000</v>
      </c>
      <c r="K29" s="85">
        <f t="shared" si="1"/>
        <v>0</v>
      </c>
      <c r="L29" s="99"/>
      <c r="M29" s="87">
        <v>5000</v>
      </c>
      <c r="N29" s="85">
        <f t="shared" si="6"/>
        <v>0</v>
      </c>
      <c r="O29" s="79">
        <f t="shared" si="7"/>
        <v>4300000</v>
      </c>
    </row>
    <row r="30" spans="1:15" ht="13.5" customHeight="1" x14ac:dyDescent="0.3">
      <c r="A30" s="66">
        <v>27</v>
      </c>
      <c r="B30" s="52">
        <v>46041</v>
      </c>
      <c r="C30" s="95">
        <v>2</v>
      </c>
      <c r="D30" s="87">
        <v>2500000</v>
      </c>
      <c r="E30" s="85">
        <f t="shared" si="5"/>
        <v>5000000</v>
      </c>
      <c r="F30" s="95">
        <v>2</v>
      </c>
      <c r="G30" s="86">
        <v>1800000</v>
      </c>
      <c r="H30" s="54">
        <f t="shared" si="3"/>
        <v>3600000</v>
      </c>
      <c r="I30" s="95"/>
      <c r="J30" s="87">
        <v>7000</v>
      </c>
      <c r="K30" s="85">
        <f t="shared" si="1"/>
        <v>0</v>
      </c>
      <c r="L30" s="99"/>
      <c r="M30" s="87">
        <v>5000</v>
      </c>
      <c r="N30" s="85">
        <f t="shared" si="6"/>
        <v>0</v>
      </c>
      <c r="O30" s="79">
        <f t="shared" si="7"/>
        <v>8600000</v>
      </c>
    </row>
    <row r="31" spans="1:15" ht="13.5" customHeight="1" x14ac:dyDescent="0.3">
      <c r="A31" s="66">
        <v>28</v>
      </c>
      <c r="B31" s="52">
        <v>46042</v>
      </c>
      <c r="C31" s="95">
        <v>1</v>
      </c>
      <c r="D31" s="87">
        <v>2500000</v>
      </c>
      <c r="E31" s="85">
        <f t="shared" si="5"/>
        <v>2500000</v>
      </c>
      <c r="F31" s="95">
        <v>2</v>
      </c>
      <c r="G31" s="86">
        <v>1800000</v>
      </c>
      <c r="H31" s="54">
        <f t="shared" si="3"/>
        <v>3600000</v>
      </c>
      <c r="I31" s="95"/>
      <c r="J31" s="87">
        <v>7000</v>
      </c>
      <c r="K31" s="85">
        <f t="shared" si="1"/>
        <v>0</v>
      </c>
      <c r="L31" s="99"/>
      <c r="M31" s="87">
        <v>5000</v>
      </c>
      <c r="N31" s="85">
        <f t="shared" si="6"/>
        <v>0</v>
      </c>
      <c r="O31" s="79">
        <f t="shared" si="7"/>
        <v>6100000</v>
      </c>
    </row>
    <row r="32" spans="1:15" ht="13.5" customHeight="1" x14ac:dyDescent="0.3">
      <c r="A32" s="66">
        <v>29</v>
      </c>
      <c r="B32" s="52">
        <v>46043</v>
      </c>
      <c r="C32" s="95">
        <v>2</v>
      </c>
      <c r="D32" s="87">
        <v>2500000</v>
      </c>
      <c r="E32" s="85">
        <f t="shared" si="5"/>
        <v>5000000</v>
      </c>
      <c r="F32" s="95">
        <v>2</v>
      </c>
      <c r="G32" s="86">
        <v>1800000</v>
      </c>
      <c r="H32" s="54">
        <f t="shared" si="3"/>
        <v>3600000</v>
      </c>
      <c r="I32" s="95"/>
      <c r="J32" s="87">
        <v>7000</v>
      </c>
      <c r="K32" s="85">
        <f t="shared" si="1"/>
        <v>0</v>
      </c>
      <c r="L32" s="99"/>
      <c r="M32" s="87">
        <v>5000</v>
      </c>
      <c r="N32" s="85">
        <f t="shared" si="6"/>
        <v>0</v>
      </c>
      <c r="O32" s="79">
        <f t="shared" si="7"/>
        <v>8600000</v>
      </c>
    </row>
    <row r="33" spans="1:15" ht="13.5" customHeight="1" x14ac:dyDescent="0.3">
      <c r="A33" s="66">
        <v>30</v>
      </c>
      <c r="B33" s="52">
        <v>46044</v>
      </c>
      <c r="C33" s="95">
        <v>1</v>
      </c>
      <c r="D33" s="87">
        <v>2500000</v>
      </c>
      <c r="E33" s="85">
        <f t="shared" ref="E33:E34" si="8">D33*C33</f>
        <v>2500000</v>
      </c>
      <c r="F33" s="95">
        <v>2</v>
      </c>
      <c r="G33" s="86">
        <v>1800000</v>
      </c>
      <c r="H33" s="54">
        <f t="shared" ref="H33:H34" si="9">G33*F33</f>
        <v>3600000</v>
      </c>
      <c r="I33" s="95"/>
      <c r="J33" s="87">
        <v>7000</v>
      </c>
      <c r="K33" s="85">
        <f t="shared" ref="K33:K34" si="10">J33*I33</f>
        <v>0</v>
      </c>
      <c r="L33" s="99"/>
      <c r="M33" s="87">
        <v>5000</v>
      </c>
      <c r="N33" s="85">
        <f t="shared" ref="N33:N34" si="11">L33*M33</f>
        <v>0</v>
      </c>
      <c r="O33" s="79">
        <f t="shared" ref="O33:O34" si="12">E33+H33+N33+K33</f>
        <v>6100000</v>
      </c>
    </row>
    <row r="34" spans="1:15" ht="13.5" customHeight="1" x14ac:dyDescent="0.3">
      <c r="A34" s="66">
        <v>31</v>
      </c>
      <c r="B34" s="52">
        <v>46045</v>
      </c>
      <c r="C34" s="95">
        <v>1</v>
      </c>
      <c r="D34" s="87">
        <v>2500000</v>
      </c>
      <c r="E34" s="85">
        <f t="shared" si="8"/>
        <v>2500000</v>
      </c>
      <c r="F34" s="95">
        <v>2</v>
      </c>
      <c r="G34" s="86">
        <v>1800000</v>
      </c>
      <c r="H34" s="54">
        <f t="shared" si="9"/>
        <v>3600000</v>
      </c>
      <c r="I34" s="95"/>
      <c r="J34" s="87">
        <v>7000</v>
      </c>
      <c r="K34" s="85">
        <f t="shared" si="10"/>
        <v>0</v>
      </c>
      <c r="L34" s="99"/>
      <c r="M34" s="87">
        <v>5000</v>
      </c>
      <c r="N34" s="85">
        <f t="shared" si="11"/>
        <v>0</v>
      </c>
      <c r="O34" s="79">
        <f t="shared" si="12"/>
        <v>6100000</v>
      </c>
    </row>
    <row r="35" spans="1:15" ht="13.5" customHeight="1" x14ac:dyDescent="0.3">
      <c r="A35" s="66">
        <v>31</v>
      </c>
      <c r="B35" s="52">
        <v>46046</v>
      </c>
      <c r="C35" s="95">
        <v>1</v>
      </c>
      <c r="D35" s="87">
        <v>2500000</v>
      </c>
      <c r="E35" s="85">
        <f t="shared" si="5"/>
        <v>2500000</v>
      </c>
      <c r="F35" s="95">
        <v>1</v>
      </c>
      <c r="G35" s="86">
        <v>1800000</v>
      </c>
      <c r="H35" s="54">
        <f t="shared" si="3"/>
        <v>1800000</v>
      </c>
      <c r="I35" s="95"/>
      <c r="J35" s="87">
        <v>7000</v>
      </c>
      <c r="K35" s="85">
        <f t="shared" si="1"/>
        <v>0</v>
      </c>
      <c r="L35" s="99"/>
      <c r="M35" s="87">
        <v>5000</v>
      </c>
      <c r="N35" s="85">
        <f t="shared" si="6"/>
        <v>0</v>
      </c>
      <c r="O35" s="79">
        <f t="shared" si="7"/>
        <v>4300000</v>
      </c>
    </row>
    <row r="36" spans="1:15" ht="13.5" customHeight="1" x14ac:dyDescent="0.3">
      <c r="A36" s="119"/>
      <c r="B36" s="119"/>
      <c r="C36" s="100">
        <f>SUM(C4:C35)</f>
        <v>35</v>
      </c>
      <c r="D36" s="100"/>
      <c r="E36" s="101">
        <f>SUM(E4:E35)</f>
        <v>87500000</v>
      </c>
      <c r="F36" s="101">
        <f>SUM(F4:F35)</f>
        <v>47</v>
      </c>
      <c r="G36" s="101"/>
      <c r="H36" s="101">
        <f>SUM(H4:H35)</f>
        <v>84600000</v>
      </c>
      <c r="I36" s="101">
        <f>SUM(I4:I35)</f>
        <v>0</v>
      </c>
      <c r="J36" s="101"/>
      <c r="K36" s="101">
        <f>SUM(K4:K35)</f>
        <v>0</v>
      </c>
      <c r="L36" s="101">
        <f>SUM(L4:L35)</f>
        <v>740</v>
      </c>
      <c r="M36" s="101"/>
      <c r="N36" s="101">
        <f>SUM(N4:N35)</f>
        <v>3700000</v>
      </c>
      <c r="O36" s="101">
        <f>SUM(O4:O35)</f>
        <v>175800000</v>
      </c>
    </row>
    <row r="37" spans="1:15" ht="14.5" customHeight="1" x14ac:dyDescent="0.3">
      <c r="A37" s="120" t="s">
        <v>34</v>
      </c>
      <c r="B37" s="121"/>
      <c r="C37" s="121"/>
      <c r="D37" s="121"/>
      <c r="E37" s="122"/>
      <c r="F37" s="53"/>
      <c r="G37" s="103"/>
      <c r="H37" s="102"/>
      <c r="I37" s="102"/>
      <c r="J37" s="102"/>
      <c r="K37" s="102"/>
      <c r="L37" s="123" t="s">
        <v>34</v>
      </c>
      <c r="M37" s="123"/>
      <c r="N37" s="123"/>
      <c r="O37" s="123"/>
    </row>
    <row r="38" spans="1:15" x14ac:dyDescent="0.3">
      <c r="B38" s="118" t="s">
        <v>37</v>
      </c>
      <c r="C38" s="118"/>
      <c r="D38" s="118"/>
      <c r="E38" s="118"/>
      <c r="F38" s="37"/>
      <c r="G38" s="56"/>
      <c r="H38" s="37"/>
      <c r="I38" s="37"/>
      <c r="J38" s="37"/>
      <c r="K38" s="37"/>
      <c r="L38" s="118" t="s">
        <v>38</v>
      </c>
      <c r="M38" s="118"/>
      <c r="N38" s="118"/>
      <c r="O38" s="118"/>
    </row>
    <row r="44" spans="1:15" x14ac:dyDescent="0.3">
      <c r="B44" s="124" t="s">
        <v>51</v>
      </c>
      <c r="C44" s="124"/>
      <c r="D44" s="124"/>
      <c r="E44" s="124"/>
    </row>
    <row r="46" spans="1:15" x14ac:dyDescent="0.3">
      <c r="E46" s="65"/>
    </row>
  </sheetData>
  <mergeCells count="12">
    <mergeCell ref="A3:B3"/>
    <mergeCell ref="A1:O1"/>
    <mergeCell ref="C2:E2"/>
    <mergeCell ref="F2:H2"/>
    <mergeCell ref="I2:K2"/>
    <mergeCell ref="L2:N2"/>
    <mergeCell ref="B44:E44"/>
    <mergeCell ref="A36:B36"/>
    <mergeCell ref="L37:O37"/>
    <mergeCell ref="B38:E38"/>
    <mergeCell ref="L38:O38"/>
    <mergeCell ref="A37:E37"/>
  </mergeCells>
  <pageMargins left="0.19" right="0.17" top="0.89500000000000002" bottom="0.75" header="0.3" footer="0.3"/>
  <pageSetup scale="7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467EB-961D-4D58-85C9-4992B5C81D20}">
  <dimension ref="A1:O30"/>
  <sheetViews>
    <sheetView topLeftCell="A7" zoomScaleNormal="100" zoomScaleSheetLayoutView="100" workbookViewId="0">
      <selection activeCell="F30" sqref="F30"/>
    </sheetView>
  </sheetViews>
  <sheetFormatPr defaultColWidth="9.36328125" defaultRowHeight="12" x14ac:dyDescent="0.3"/>
  <cols>
    <col min="1" max="1" width="3.36328125" style="32" customWidth="1"/>
    <col min="2" max="3" width="9.36328125" style="32" customWidth="1"/>
    <col min="4" max="4" width="12.90625" style="32" customWidth="1"/>
    <col min="5" max="5" width="12.36328125" style="32" customWidth="1"/>
    <col min="6" max="6" width="8.1796875" style="32" customWidth="1"/>
    <col min="7" max="7" width="14.54296875" style="38" customWidth="1"/>
    <col min="8" max="8" width="12.6328125" style="32" customWidth="1"/>
    <col min="9" max="9" width="8.36328125" style="32" customWidth="1"/>
    <col min="10" max="10" width="9.36328125" style="32" customWidth="1"/>
    <col min="11" max="11" width="11.6328125" style="32" customWidth="1"/>
    <col min="12" max="12" width="7.54296875" style="32" customWidth="1"/>
    <col min="13" max="13" width="11.453125" style="32" customWidth="1"/>
    <col min="14" max="14" width="15.81640625" style="32" customWidth="1"/>
    <col min="15" max="15" width="13.90625" style="32" customWidth="1"/>
    <col min="16" max="16384" width="9.36328125" style="32"/>
  </cols>
  <sheetData>
    <row r="1" spans="1:15" ht="36" customHeight="1" x14ac:dyDescent="0.3">
      <c r="A1" s="156" t="s">
        <v>52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</row>
    <row r="2" spans="1:15" ht="19.5" customHeight="1" x14ac:dyDescent="0.3">
      <c r="A2" s="39" t="s">
        <v>21</v>
      </c>
      <c r="B2" s="40" t="s">
        <v>22</v>
      </c>
      <c r="C2" s="114" t="s">
        <v>23</v>
      </c>
      <c r="D2" s="114"/>
      <c r="E2" s="114"/>
      <c r="F2" s="114" t="s">
        <v>24</v>
      </c>
      <c r="G2" s="114"/>
      <c r="H2" s="114"/>
      <c r="I2" s="115" t="s">
        <v>25</v>
      </c>
      <c r="J2" s="116"/>
      <c r="K2" s="117"/>
      <c r="L2" s="114" t="s">
        <v>26</v>
      </c>
      <c r="M2" s="114"/>
      <c r="N2" s="114"/>
      <c r="O2" s="41" t="s">
        <v>27</v>
      </c>
    </row>
    <row r="3" spans="1:15" ht="21.5" customHeight="1" x14ac:dyDescent="0.3">
      <c r="A3" s="112" t="s">
        <v>28</v>
      </c>
      <c r="B3" s="112"/>
      <c r="C3" s="88" t="s">
        <v>29</v>
      </c>
      <c r="D3" s="89" t="s">
        <v>30</v>
      </c>
      <c r="E3" s="90" t="s">
        <v>31</v>
      </c>
      <c r="F3" s="91" t="s">
        <v>29</v>
      </c>
      <c r="G3" s="92" t="s">
        <v>30</v>
      </c>
      <c r="H3" s="90" t="s">
        <v>32</v>
      </c>
      <c r="I3" s="93" t="s">
        <v>29</v>
      </c>
      <c r="J3" s="89" t="s">
        <v>30</v>
      </c>
      <c r="K3" s="90" t="s">
        <v>32</v>
      </c>
      <c r="L3" s="93" t="s">
        <v>33</v>
      </c>
      <c r="M3" s="89" t="s">
        <v>30</v>
      </c>
      <c r="N3" s="90" t="s">
        <v>32</v>
      </c>
      <c r="O3" s="94"/>
    </row>
    <row r="4" spans="1:15" ht="16.5" customHeight="1" x14ac:dyDescent="0.3">
      <c r="A4" s="66">
        <v>1</v>
      </c>
      <c r="B4" s="52">
        <v>46048</v>
      </c>
      <c r="C4" s="53">
        <v>1</v>
      </c>
      <c r="D4" s="62">
        <v>2500000</v>
      </c>
      <c r="E4" s="54">
        <f t="shared" ref="E4:E17" si="0">D4*C4</f>
        <v>2500000</v>
      </c>
      <c r="F4" s="53">
        <v>2</v>
      </c>
      <c r="G4" s="59">
        <v>1800000</v>
      </c>
      <c r="H4" s="54">
        <f t="shared" ref="H4:H17" si="1">G4*F4</f>
        <v>3600000</v>
      </c>
      <c r="I4" s="53">
        <v>930</v>
      </c>
      <c r="J4" s="62">
        <v>7000</v>
      </c>
      <c r="K4" s="54">
        <f t="shared" ref="K4:K17" si="2">J4*I4</f>
        <v>6510000</v>
      </c>
      <c r="L4" s="67"/>
      <c r="M4" s="62">
        <v>5000</v>
      </c>
      <c r="N4" s="54">
        <f t="shared" ref="N4:N17" si="3">L4*M4</f>
        <v>0</v>
      </c>
      <c r="O4" s="54">
        <f t="shared" ref="O4:O17" si="4">E4+H4+N4+K4</f>
        <v>12610000</v>
      </c>
    </row>
    <row r="5" spans="1:15" ht="16.5" customHeight="1" x14ac:dyDescent="0.3">
      <c r="A5" s="66">
        <v>2</v>
      </c>
      <c r="B5" s="52">
        <v>46049</v>
      </c>
      <c r="C5" s="53">
        <v>2</v>
      </c>
      <c r="D5" s="62">
        <v>2500000</v>
      </c>
      <c r="E5" s="54">
        <f t="shared" si="0"/>
        <v>5000000</v>
      </c>
      <c r="F5" s="53">
        <v>1</v>
      </c>
      <c r="G5" s="59">
        <v>1800000</v>
      </c>
      <c r="H5" s="54">
        <f t="shared" si="1"/>
        <v>1800000</v>
      </c>
      <c r="I5" s="53"/>
      <c r="J5" s="62">
        <v>7000</v>
      </c>
      <c r="K5" s="54">
        <f t="shared" si="2"/>
        <v>0</v>
      </c>
      <c r="L5" s="67"/>
      <c r="M5" s="62">
        <v>5000</v>
      </c>
      <c r="N5" s="54">
        <f t="shared" si="3"/>
        <v>0</v>
      </c>
      <c r="O5" s="54">
        <f t="shared" si="4"/>
        <v>6800000</v>
      </c>
    </row>
    <row r="6" spans="1:15" ht="16.5" customHeight="1" x14ac:dyDescent="0.3">
      <c r="A6" s="66">
        <v>3</v>
      </c>
      <c r="B6" s="52">
        <v>46050</v>
      </c>
      <c r="C6" s="95">
        <v>1</v>
      </c>
      <c r="D6" s="81">
        <v>2500000</v>
      </c>
      <c r="E6" s="79">
        <f t="shared" si="0"/>
        <v>2500000</v>
      </c>
      <c r="F6" s="95">
        <v>2</v>
      </c>
      <c r="G6" s="80">
        <v>1800000</v>
      </c>
      <c r="H6" s="54">
        <f t="shared" si="1"/>
        <v>3600000</v>
      </c>
      <c r="I6" s="95"/>
      <c r="J6" s="81">
        <v>7000</v>
      </c>
      <c r="K6" s="79">
        <f t="shared" si="2"/>
        <v>0</v>
      </c>
      <c r="L6" s="96"/>
      <c r="M6" s="81">
        <v>5000</v>
      </c>
      <c r="N6" s="79">
        <f t="shared" si="3"/>
        <v>0</v>
      </c>
      <c r="O6" s="79">
        <f t="shared" si="4"/>
        <v>6100000</v>
      </c>
    </row>
    <row r="7" spans="1:15" ht="16.5" customHeight="1" x14ac:dyDescent="0.3">
      <c r="A7" s="66">
        <v>4</v>
      </c>
      <c r="B7" s="52">
        <v>46051</v>
      </c>
      <c r="C7" s="95">
        <v>1</v>
      </c>
      <c r="D7" s="81">
        <v>2500000</v>
      </c>
      <c r="E7" s="79">
        <f>D7*C7</f>
        <v>2500000</v>
      </c>
      <c r="F7" s="95">
        <v>1</v>
      </c>
      <c r="G7" s="80">
        <v>1800000</v>
      </c>
      <c r="H7" s="54">
        <f t="shared" si="1"/>
        <v>1800000</v>
      </c>
      <c r="I7" s="95"/>
      <c r="J7" s="81">
        <v>7000</v>
      </c>
      <c r="K7" s="79">
        <f t="shared" si="2"/>
        <v>0</v>
      </c>
      <c r="L7" s="96"/>
      <c r="M7" s="81">
        <v>5000</v>
      </c>
      <c r="N7" s="79">
        <f t="shared" si="3"/>
        <v>0</v>
      </c>
      <c r="O7" s="79">
        <f t="shared" si="4"/>
        <v>4300000</v>
      </c>
    </row>
    <row r="8" spans="1:15" ht="16.5" customHeight="1" x14ac:dyDescent="0.3">
      <c r="A8" s="66">
        <v>5</v>
      </c>
      <c r="B8" s="52">
        <v>46052</v>
      </c>
      <c r="C8" s="95">
        <v>1</v>
      </c>
      <c r="D8" s="81">
        <v>2500000</v>
      </c>
      <c r="E8" s="79">
        <f t="shared" si="0"/>
        <v>2500000</v>
      </c>
      <c r="F8" s="95">
        <v>2</v>
      </c>
      <c r="G8" s="80">
        <v>1800000</v>
      </c>
      <c r="H8" s="54">
        <f t="shared" si="1"/>
        <v>3600000</v>
      </c>
      <c r="I8" s="95"/>
      <c r="J8" s="81">
        <v>7000</v>
      </c>
      <c r="K8" s="79">
        <f t="shared" si="2"/>
        <v>0</v>
      </c>
      <c r="L8" s="96"/>
      <c r="M8" s="81">
        <v>5000</v>
      </c>
      <c r="N8" s="79">
        <f t="shared" si="3"/>
        <v>0</v>
      </c>
      <c r="O8" s="79">
        <f t="shared" si="4"/>
        <v>6100000</v>
      </c>
    </row>
    <row r="9" spans="1:15" ht="16.5" customHeight="1" x14ac:dyDescent="0.3">
      <c r="A9" s="66">
        <v>6</v>
      </c>
      <c r="B9" s="52">
        <v>46053</v>
      </c>
      <c r="C9" s="95">
        <v>1</v>
      </c>
      <c r="D9" s="81">
        <v>2500000</v>
      </c>
      <c r="E9" s="79">
        <f>D9*C9</f>
        <v>2500000</v>
      </c>
      <c r="F9" s="95">
        <v>1</v>
      </c>
      <c r="G9" s="80">
        <v>1800000</v>
      </c>
      <c r="H9" s="54">
        <f t="shared" si="1"/>
        <v>1800000</v>
      </c>
      <c r="I9" s="95"/>
      <c r="J9" s="81">
        <v>7000</v>
      </c>
      <c r="K9" s="79">
        <f t="shared" si="2"/>
        <v>0</v>
      </c>
      <c r="L9" s="96"/>
      <c r="M9" s="81">
        <v>5000</v>
      </c>
      <c r="N9" s="79">
        <f t="shared" si="3"/>
        <v>0</v>
      </c>
      <c r="O9" s="79">
        <f>E9+H9+N9+K9</f>
        <v>4300000</v>
      </c>
    </row>
    <row r="10" spans="1:15" ht="16.5" customHeight="1" x14ac:dyDescent="0.3">
      <c r="A10" s="66">
        <v>7</v>
      </c>
      <c r="B10" s="52">
        <v>46055</v>
      </c>
      <c r="C10" s="72">
        <v>1</v>
      </c>
      <c r="D10" s="73">
        <v>2500000</v>
      </c>
      <c r="E10" s="74">
        <f>D10*C10</f>
        <v>2500000</v>
      </c>
      <c r="F10" s="72">
        <v>2</v>
      </c>
      <c r="G10" s="80">
        <v>1800000</v>
      </c>
      <c r="H10" s="54">
        <f t="shared" si="1"/>
        <v>3600000</v>
      </c>
      <c r="I10" s="95"/>
      <c r="J10" s="81">
        <v>7000</v>
      </c>
      <c r="K10" s="79">
        <f t="shared" si="2"/>
        <v>0</v>
      </c>
      <c r="L10" s="96"/>
      <c r="M10" s="81">
        <v>5000</v>
      </c>
      <c r="N10" s="79">
        <f t="shared" si="3"/>
        <v>0</v>
      </c>
      <c r="O10" s="79">
        <f t="shared" si="4"/>
        <v>6100000</v>
      </c>
    </row>
    <row r="11" spans="1:15" ht="16.5" customHeight="1" x14ac:dyDescent="0.3">
      <c r="A11" s="66">
        <v>8</v>
      </c>
      <c r="B11" s="52">
        <v>46056</v>
      </c>
      <c r="C11" s="95">
        <v>1</v>
      </c>
      <c r="D11" s="81">
        <v>2500000</v>
      </c>
      <c r="E11" s="79">
        <f>D11*C11</f>
        <v>2500000</v>
      </c>
      <c r="F11" s="95">
        <v>2</v>
      </c>
      <c r="G11" s="80">
        <v>1800000</v>
      </c>
      <c r="H11" s="54">
        <f t="shared" si="1"/>
        <v>3600000</v>
      </c>
      <c r="I11" s="95"/>
      <c r="J11" s="81">
        <v>7000</v>
      </c>
      <c r="K11" s="79">
        <f t="shared" si="2"/>
        <v>0</v>
      </c>
      <c r="L11" s="96"/>
      <c r="M11" s="81">
        <v>5000</v>
      </c>
      <c r="N11" s="79">
        <f t="shared" si="3"/>
        <v>0</v>
      </c>
      <c r="O11" s="79">
        <f t="shared" si="4"/>
        <v>6100000</v>
      </c>
    </row>
    <row r="12" spans="1:15" ht="16.5" customHeight="1" x14ac:dyDescent="0.3">
      <c r="A12" s="66">
        <v>9</v>
      </c>
      <c r="B12" s="52">
        <v>46057</v>
      </c>
      <c r="C12" s="95">
        <v>1</v>
      </c>
      <c r="D12" s="81">
        <v>2500000</v>
      </c>
      <c r="E12" s="79">
        <f t="shared" si="0"/>
        <v>2500000</v>
      </c>
      <c r="F12" s="95">
        <v>1</v>
      </c>
      <c r="G12" s="80">
        <v>1800000</v>
      </c>
      <c r="H12" s="54">
        <f t="shared" si="1"/>
        <v>1800000</v>
      </c>
      <c r="I12" s="95"/>
      <c r="J12" s="81">
        <v>7000</v>
      </c>
      <c r="K12" s="79">
        <f t="shared" si="2"/>
        <v>0</v>
      </c>
      <c r="L12" s="96"/>
      <c r="M12" s="81">
        <v>5000</v>
      </c>
      <c r="N12" s="79">
        <f t="shared" si="3"/>
        <v>0</v>
      </c>
      <c r="O12" s="79">
        <f t="shared" si="4"/>
        <v>4300000</v>
      </c>
    </row>
    <row r="13" spans="1:15" ht="16.5" customHeight="1" x14ac:dyDescent="0.3">
      <c r="A13" s="66">
        <v>10</v>
      </c>
      <c r="B13" s="52">
        <v>46058</v>
      </c>
      <c r="C13" s="95">
        <v>1</v>
      </c>
      <c r="D13" s="81">
        <v>2500000</v>
      </c>
      <c r="E13" s="79">
        <f t="shared" si="0"/>
        <v>2500000</v>
      </c>
      <c r="F13" s="95">
        <v>2</v>
      </c>
      <c r="G13" s="80">
        <v>1800000</v>
      </c>
      <c r="H13" s="54">
        <f t="shared" si="1"/>
        <v>3600000</v>
      </c>
      <c r="I13" s="95"/>
      <c r="J13" s="81">
        <v>7000</v>
      </c>
      <c r="K13" s="79">
        <f t="shared" si="2"/>
        <v>0</v>
      </c>
      <c r="L13" s="96"/>
      <c r="M13" s="81">
        <v>5000</v>
      </c>
      <c r="N13" s="79">
        <f t="shared" si="3"/>
        <v>0</v>
      </c>
      <c r="O13" s="79">
        <f>E13+H13+N13+K13</f>
        <v>6100000</v>
      </c>
    </row>
    <row r="14" spans="1:15" ht="16.5" customHeight="1" x14ac:dyDescent="0.3">
      <c r="A14" s="66">
        <v>11</v>
      </c>
      <c r="B14" s="52">
        <v>46059</v>
      </c>
      <c r="C14" s="95">
        <v>1</v>
      </c>
      <c r="D14" s="81">
        <v>2500000</v>
      </c>
      <c r="E14" s="79">
        <f t="shared" si="0"/>
        <v>2500000</v>
      </c>
      <c r="F14" s="95">
        <v>2</v>
      </c>
      <c r="G14" s="80">
        <v>1800000</v>
      </c>
      <c r="H14" s="54">
        <f t="shared" si="1"/>
        <v>3600000</v>
      </c>
      <c r="I14" s="95"/>
      <c r="J14" s="81">
        <v>7000</v>
      </c>
      <c r="K14" s="79">
        <f t="shared" si="2"/>
        <v>0</v>
      </c>
      <c r="L14" s="96"/>
      <c r="M14" s="81">
        <v>5000</v>
      </c>
      <c r="N14" s="79">
        <f t="shared" si="3"/>
        <v>0</v>
      </c>
      <c r="O14" s="79">
        <f t="shared" si="4"/>
        <v>6100000</v>
      </c>
    </row>
    <row r="15" spans="1:15" ht="16.5" customHeight="1" x14ac:dyDescent="0.3">
      <c r="A15" s="66">
        <v>12</v>
      </c>
      <c r="B15" s="52">
        <v>46060</v>
      </c>
      <c r="C15" s="95">
        <v>1</v>
      </c>
      <c r="D15" s="81">
        <v>2500000</v>
      </c>
      <c r="E15" s="79">
        <f t="shared" ref="E15" si="5">D15*C15</f>
        <v>2500000</v>
      </c>
      <c r="F15" s="95">
        <v>1</v>
      </c>
      <c r="G15" s="80">
        <v>1800000</v>
      </c>
      <c r="H15" s="54">
        <f t="shared" ref="H15" si="6">G15*F15</f>
        <v>1800000</v>
      </c>
      <c r="I15" s="95"/>
      <c r="J15" s="81">
        <v>7000</v>
      </c>
      <c r="K15" s="79">
        <f t="shared" ref="K15" si="7">J15*I15</f>
        <v>0</v>
      </c>
      <c r="L15" s="96"/>
      <c r="M15" s="81">
        <v>5000</v>
      </c>
      <c r="N15" s="79">
        <f t="shared" ref="N15" si="8">L15*M15</f>
        <v>0</v>
      </c>
      <c r="O15" s="79">
        <f t="shared" ref="O15" si="9">E15+H15+N15+K15</f>
        <v>4300000</v>
      </c>
    </row>
    <row r="16" spans="1:15" ht="16.5" customHeight="1" x14ac:dyDescent="0.3">
      <c r="A16" s="66">
        <v>13</v>
      </c>
      <c r="B16" s="52">
        <v>46061</v>
      </c>
      <c r="C16" s="95">
        <v>0</v>
      </c>
      <c r="D16" s="81">
        <v>2500000</v>
      </c>
      <c r="E16" s="79">
        <f t="shared" ref="E16" si="10">D16*C16</f>
        <v>0</v>
      </c>
      <c r="F16" s="95">
        <v>0</v>
      </c>
      <c r="G16" s="80">
        <v>1800000</v>
      </c>
      <c r="H16" s="54">
        <f t="shared" ref="H16" si="11">G16*F16</f>
        <v>0</v>
      </c>
      <c r="I16" s="95"/>
      <c r="J16" s="81">
        <v>7000</v>
      </c>
      <c r="K16" s="79">
        <f t="shared" ref="K16" si="12">J16*I16</f>
        <v>0</v>
      </c>
      <c r="L16" s="96"/>
      <c r="M16" s="81">
        <v>5000</v>
      </c>
      <c r="N16" s="79">
        <f t="shared" ref="N16" si="13">L16*M16</f>
        <v>0</v>
      </c>
      <c r="O16" s="79">
        <f t="shared" ref="O16" si="14">E16+H16+N16+K16</f>
        <v>0</v>
      </c>
    </row>
    <row r="17" spans="1:15" ht="16.5" customHeight="1" x14ac:dyDescent="0.3">
      <c r="A17" s="66">
        <v>14</v>
      </c>
      <c r="B17" s="52">
        <v>46062</v>
      </c>
      <c r="C17" s="95">
        <v>1</v>
      </c>
      <c r="D17" s="81">
        <v>2500000</v>
      </c>
      <c r="E17" s="79">
        <f t="shared" si="0"/>
        <v>2500000</v>
      </c>
      <c r="F17" s="95">
        <v>2</v>
      </c>
      <c r="G17" s="80">
        <v>1800000</v>
      </c>
      <c r="H17" s="54">
        <f t="shared" si="1"/>
        <v>3600000</v>
      </c>
      <c r="I17" s="95"/>
      <c r="J17" s="81">
        <v>7000</v>
      </c>
      <c r="K17" s="79">
        <f t="shared" si="2"/>
        <v>0</v>
      </c>
      <c r="L17" s="96"/>
      <c r="M17" s="81">
        <v>5000</v>
      </c>
      <c r="N17" s="79">
        <f t="shared" si="3"/>
        <v>0</v>
      </c>
      <c r="O17" s="79">
        <f t="shared" si="4"/>
        <v>6100000</v>
      </c>
    </row>
    <row r="18" spans="1:15" ht="16.5" customHeight="1" x14ac:dyDescent="0.3">
      <c r="A18" s="66">
        <v>15</v>
      </c>
      <c r="B18" s="52">
        <v>46063</v>
      </c>
      <c r="C18" s="95">
        <v>1</v>
      </c>
      <c r="D18" s="81">
        <v>2500000</v>
      </c>
      <c r="E18" s="79">
        <f t="shared" ref="E18" si="15">D18*C18</f>
        <v>2500000</v>
      </c>
      <c r="F18" s="95">
        <v>2</v>
      </c>
      <c r="G18" s="80">
        <v>1800000</v>
      </c>
      <c r="H18" s="54">
        <f t="shared" ref="H18" si="16">G18*F18</f>
        <v>3600000</v>
      </c>
      <c r="I18" s="95"/>
      <c r="J18" s="81">
        <v>7000</v>
      </c>
      <c r="K18" s="79">
        <f t="shared" ref="K18" si="17">J18*I18</f>
        <v>0</v>
      </c>
      <c r="L18" s="96"/>
      <c r="M18" s="81">
        <v>5000</v>
      </c>
      <c r="N18" s="79">
        <f t="shared" ref="N18" si="18">L18*M18</f>
        <v>0</v>
      </c>
      <c r="O18" s="79">
        <f t="shared" ref="O18" si="19">E18+H18+N18+K18</f>
        <v>6100000</v>
      </c>
    </row>
    <row r="19" spans="1:15" ht="16.5" customHeight="1" x14ac:dyDescent="0.3">
      <c r="A19" s="66">
        <v>16</v>
      </c>
      <c r="B19" s="52">
        <v>46064</v>
      </c>
      <c r="C19" s="95">
        <v>1</v>
      </c>
      <c r="D19" s="81">
        <v>2500000</v>
      </c>
      <c r="E19" s="79">
        <f t="shared" ref="E19" si="20">D19*C19</f>
        <v>2500000</v>
      </c>
      <c r="F19" s="95">
        <v>1</v>
      </c>
      <c r="G19" s="80">
        <v>1800000</v>
      </c>
      <c r="H19" s="54">
        <f t="shared" ref="H19" si="21">G19*F19</f>
        <v>1800000</v>
      </c>
      <c r="I19" s="95"/>
      <c r="J19" s="81">
        <v>7000</v>
      </c>
      <c r="K19" s="79">
        <f t="shared" ref="K19" si="22">J19*I19</f>
        <v>0</v>
      </c>
      <c r="L19" s="96"/>
      <c r="M19" s="81">
        <v>5000</v>
      </c>
      <c r="N19" s="79">
        <f t="shared" ref="N19" si="23">L19*M19</f>
        <v>0</v>
      </c>
      <c r="O19" s="79">
        <f t="shared" ref="O19" si="24">E19+H19+N19+K19</f>
        <v>4300000</v>
      </c>
    </row>
    <row r="20" spans="1:15" ht="13.5" customHeight="1" x14ac:dyDescent="0.3">
      <c r="A20" s="119"/>
      <c r="B20" s="119"/>
      <c r="C20" s="100">
        <f>SUM(C4:C19)</f>
        <v>16</v>
      </c>
      <c r="D20" s="100"/>
      <c r="E20" s="101">
        <f>SUM(E4:E19)</f>
        <v>40000000</v>
      </c>
      <c r="F20" s="101">
        <f>SUM(F4:F19)</f>
        <v>24</v>
      </c>
      <c r="G20" s="101"/>
      <c r="H20" s="101">
        <f>SUM(H4:H19)</f>
        <v>43200000</v>
      </c>
      <c r="I20" s="101">
        <f>SUM(I4:I19)</f>
        <v>930</v>
      </c>
      <c r="J20" s="101"/>
      <c r="K20" s="101">
        <f>SUM(K4:K19)</f>
        <v>6510000</v>
      </c>
      <c r="L20" s="101">
        <f>SUM(L4:L17)</f>
        <v>0</v>
      </c>
      <c r="M20" s="101"/>
      <c r="N20" s="101">
        <f>SUM(N4:N17)</f>
        <v>0</v>
      </c>
      <c r="O20" s="101">
        <f>SUM(O4:O19)</f>
        <v>89710000</v>
      </c>
    </row>
    <row r="21" spans="1:15" ht="14.5" customHeight="1" x14ac:dyDescent="0.3">
      <c r="A21" s="120" t="s">
        <v>34</v>
      </c>
      <c r="B21" s="121"/>
      <c r="C21" s="121"/>
      <c r="D21" s="121"/>
      <c r="E21" s="122"/>
      <c r="F21" s="53"/>
      <c r="G21" s="103"/>
      <c r="H21" s="102"/>
      <c r="I21" s="102"/>
      <c r="J21" s="102"/>
      <c r="K21" s="102"/>
      <c r="L21" s="123" t="s">
        <v>34</v>
      </c>
      <c r="M21" s="123"/>
      <c r="N21" s="123"/>
      <c r="O21" s="123"/>
    </row>
    <row r="22" spans="1:15" ht="24" customHeight="1" x14ac:dyDescent="0.3">
      <c r="B22" s="118" t="s">
        <v>37</v>
      </c>
      <c r="C22" s="118"/>
      <c r="D22" s="118"/>
      <c r="E22" s="118"/>
      <c r="F22" s="37"/>
      <c r="G22" s="56"/>
      <c r="H22" s="37"/>
      <c r="I22" s="37"/>
      <c r="J22" s="37"/>
      <c r="K22" s="37"/>
      <c r="L22" s="118" t="s">
        <v>38</v>
      </c>
      <c r="M22" s="118"/>
      <c r="N22" s="118"/>
      <c r="O22" s="118"/>
    </row>
    <row r="26" spans="1:15" x14ac:dyDescent="0.3">
      <c r="N26" s="65"/>
    </row>
    <row r="27" spans="1:15" x14ac:dyDescent="0.3">
      <c r="N27" s="65"/>
    </row>
    <row r="28" spans="1:15" x14ac:dyDescent="0.3">
      <c r="B28" s="124" t="s">
        <v>51</v>
      </c>
      <c r="C28" s="124"/>
      <c r="D28" s="124"/>
      <c r="E28" s="124"/>
      <c r="N28" s="65"/>
    </row>
    <row r="30" spans="1:15" x14ac:dyDescent="0.3">
      <c r="E30" s="65"/>
    </row>
  </sheetData>
  <mergeCells count="12">
    <mergeCell ref="B28:E28"/>
    <mergeCell ref="A1:O1"/>
    <mergeCell ref="C2:E2"/>
    <mergeCell ref="F2:H2"/>
    <mergeCell ref="I2:K2"/>
    <mergeCell ref="L2:N2"/>
    <mergeCell ref="A3:B3"/>
    <mergeCell ref="A20:B20"/>
    <mergeCell ref="A21:E21"/>
    <mergeCell ref="L21:O21"/>
    <mergeCell ref="B22:E22"/>
    <mergeCell ref="L22:O22"/>
  </mergeCells>
  <pageMargins left="0.19" right="0.17" top="0.89500000000000002" bottom="0.75" header="0.3" footer="0.3"/>
  <pageSetup scale="7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61AC3-A2AA-4B9D-A65D-E5B5B699246F}">
  <dimension ref="A1:O47"/>
  <sheetViews>
    <sheetView topLeftCell="A25" zoomScale="80" zoomScaleNormal="80" zoomScaleSheetLayoutView="100" workbookViewId="0">
      <selection activeCell="L31" sqref="L31"/>
    </sheetView>
  </sheetViews>
  <sheetFormatPr defaultColWidth="9.36328125" defaultRowHeight="12" x14ac:dyDescent="0.3"/>
  <cols>
    <col min="1" max="1" width="3.36328125" style="32" customWidth="1"/>
    <col min="2" max="3" width="9.36328125" style="32" customWidth="1"/>
    <col min="4" max="4" width="12.90625" style="32" customWidth="1"/>
    <col min="5" max="5" width="12.36328125" style="32" customWidth="1"/>
    <col min="6" max="6" width="8.1796875" style="32" customWidth="1"/>
    <col min="7" max="7" width="14.54296875" style="38" customWidth="1"/>
    <col min="8" max="8" width="12.6328125" style="32" customWidth="1"/>
    <col min="9" max="9" width="8.36328125" style="32" customWidth="1"/>
    <col min="10" max="10" width="9.36328125" style="32" customWidth="1"/>
    <col min="11" max="11" width="11.6328125" style="32" customWidth="1"/>
    <col min="12" max="12" width="7.54296875" style="32" customWidth="1"/>
    <col min="13" max="13" width="11.453125" style="32" customWidth="1"/>
    <col min="14" max="14" width="15.81640625" style="32" customWidth="1"/>
    <col min="15" max="15" width="13.90625" style="32" customWidth="1"/>
    <col min="16" max="16384" width="9.36328125" style="32"/>
  </cols>
  <sheetData>
    <row r="1" spans="1:15" ht="36" customHeight="1" x14ac:dyDescent="0.3">
      <c r="A1" s="156" t="s">
        <v>60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</row>
    <row r="2" spans="1:15" ht="19.5" customHeight="1" x14ac:dyDescent="0.3">
      <c r="A2" s="39" t="s">
        <v>21</v>
      </c>
      <c r="B2" s="40" t="s">
        <v>22</v>
      </c>
      <c r="C2" s="114" t="s">
        <v>23</v>
      </c>
      <c r="D2" s="114"/>
      <c r="E2" s="114"/>
      <c r="F2" s="114" t="s">
        <v>24</v>
      </c>
      <c r="G2" s="114"/>
      <c r="H2" s="114"/>
      <c r="I2" s="115" t="s">
        <v>25</v>
      </c>
      <c r="J2" s="116"/>
      <c r="K2" s="117"/>
      <c r="L2" s="114" t="s">
        <v>26</v>
      </c>
      <c r="M2" s="114"/>
      <c r="N2" s="114"/>
      <c r="O2" s="41" t="s">
        <v>27</v>
      </c>
    </row>
    <row r="3" spans="1:15" ht="21.5" customHeight="1" x14ac:dyDescent="0.3">
      <c r="A3" s="112" t="s">
        <v>28</v>
      </c>
      <c r="B3" s="112"/>
      <c r="C3" s="88" t="s">
        <v>29</v>
      </c>
      <c r="D3" s="89" t="s">
        <v>30</v>
      </c>
      <c r="E3" s="90" t="s">
        <v>31</v>
      </c>
      <c r="F3" s="91" t="s">
        <v>29</v>
      </c>
      <c r="G3" s="92" t="s">
        <v>30</v>
      </c>
      <c r="H3" s="90" t="s">
        <v>32</v>
      </c>
      <c r="I3" s="93" t="s">
        <v>29</v>
      </c>
      <c r="J3" s="89" t="s">
        <v>30</v>
      </c>
      <c r="K3" s="90" t="s">
        <v>32</v>
      </c>
      <c r="L3" s="93" t="s">
        <v>33</v>
      </c>
      <c r="M3" s="89" t="s">
        <v>30</v>
      </c>
      <c r="N3" s="90" t="s">
        <v>32</v>
      </c>
      <c r="O3" s="94"/>
    </row>
    <row r="4" spans="1:15" ht="18" customHeight="1" x14ac:dyDescent="0.3">
      <c r="A4" s="66">
        <v>1</v>
      </c>
      <c r="B4" s="52">
        <v>46084</v>
      </c>
      <c r="C4" s="53">
        <v>1</v>
      </c>
      <c r="D4" s="62">
        <v>2500000</v>
      </c>
      <c r="E4" s="54">
        <f t="shared" ref="E4:E24" si="0">D4*C4</f>
        <v>2500000</v>
      </c>
      <c r="F4" s="53">
        <v>0</v>
      </c>
      <c r="G4" s="59">
        <v>1800000</v>
      </c>
      <c r="H4" s="54">
        <f t="shared" ref="H4:H24" si="1">G4*F4</f>
        <v>0</v>
      </c>
      <c r="I4" s="53"/>
      <c r="J4" s="62">
        <v>7000</v>
      </c>
      <c r="K4" s="54">
        <f t="shared" ref="K4:K24" si="2">J4*I4</f>
        <v>0</v>
      </c>
      <c r="L4" s="67"/>
      <c r="M4" s="62">
        <v>5000</v>
      </c>
      <c r="N4" s="54">
        <f t="shared" ref="N4:N24" si="3">L4*M4</f>
        <v>0</v>
      </c>
      <c r="O4" s="54">
        <f t="shared" ref="O4:O24" si="4">E4+H4+N4+K4</f>
        <v>2500000</v>
      </c>
    </row>
    <row r="5" spans="1:15" ht="18" customHeight="1" x14ac:dyDescent="0.3">
      <c r="A5" s="66">
        <v>2</v>
      </c>
      <c r="B5" s="52">
        <v>46085</v>
      </c>
      <c r="C5" s="95">
        <v>1</v>
      </c>
      <c r="D5" s="81">
        <v>2500000</v>
      </c>
      <c r="E5" s="79">
        <f t="shared" si="0"/>
        <v>2500000</v>
      </c>
      <c r="F5" s="95">
        <v>2</v>
      </c>
      <c r="G5" s="80">
        <v>1800000</v>
      </c>
      <c r="H5" s="54">
        <f t="shared" si="1"/>
        <v>3600000</v>
      </c>
      <c r="I5" s="95"/>
      <c r="J5" s="81">
        <v>7000</v>
      </c>
      <c r="K5" s="79">
        <f t="shared" si="2"/>
        <v>0</v>
      </c>
      <c r="L5" s="96"/>
      <c r="M5" s="81">
        <v>5000</v>
      </c>
      <c r="N5" s="79">
        <f t="shared" si="3"/>
        <v>0</v>
      </c>
      <c r="O5" s="79">
        <f t="shared" si="4"/>
        <v>6100000</v>
      </c>
    </row>
    <row r="6" spans="1:15" ht="18" customHeight="1" x14ac:dyDescent="0.3">
      <c r="A6" s="66">
        <v>3</v>
      </c>
      <c r="B6" s="52">
        <v>46086</v>
      </c>
      <c r="C6" s="95">
        <v>2</v>
      </c>
      <c r="D6" s="81">
        <v>2500000</v>
      </c>
      <c r="E6" s="79">
        <f>D6*C6</f>
        <v>5000000</v>
      </c>
      <c r="F6" s="95">
        <v>2</v>
      </c>
      <c r="G6" s="80">
        <v>1800000</v>
      </c>
      <c r="H6" s="54">
        <f t="shared" si="1"/>
        <v>3600000</v>
      </c>
      <c r="I6" s="95"/>
      <c r="J6" s="81">
        <v>7000</v>
      </c>
      <c r="K6" s="79">
        <f t="shared" si="2"/>
        <v>0</v>
      </c>
      <c r="L6" s="96"/>
      <c r="M6" s="81">
        <v>5000</v>
      </c>
      <c r="N6" s="79">
        <f t="shared" si="3"/>
        <v>0</v>
      </c>
      <c r="O6" s="79">
        <f t="shared" si="4"/>
        <v>8600000</v>
      </c>
    </row>
    <row r="7" spans="1:15" ht="18" customHeight="1" x14ac:dyDescent="0.3">
      <c r="A7" s="66">
        <v>4</v>
      </c>
      <c r="B7" s="52">
        <v>46087</v>
      </c>
      <c r="C7" s="95">
        <v>1</v>
      </c>
      <c r="D7" s="81">
        <v>2500000</v>
      </c>
      <c r="E7" s="79">
        <f t="shared" si="0"/>
        <v>2500000</v>
      </c>
      <c r="F7" s="95">
        <v>1</v>
      </c>
      <c r="G7" s="80">
        <v>1800000</v>
      </c>
      <c r="H7" s="54">
        <f t="shared" si="1"/>
        <v>1800000</v>
      </c>
      <c r="I7" s="95"/>
      <c r="J7" s="81">
        <v>7000</v>
      </c>
      <c r="K7" s="79">
        <f t="shared" si="2"/>
        <v>0</v>
      </c>
      <c r="L7" s="96"/>
      <c r="M7" s="81">
        <v>5000</v>
      </c>
      <c r="N7" s="79">
        <f t="shared" si="3"/>
        <v>0</v>
      </c>
      <c r="O7" s="79">
        <f t="shared" si="4"/>
        <v>4300000</v>
      </c>
    </row>
    <row r="8" spans="1:15" ht="18" customHeight="1" x14ac:dyDescent="0.3">
      <c r="A8" s="66">
        <v>5</v>
      </c>
      <c r="B8" s="52">
        <v>46088</v>
      </c>
      <c r="C8" s="95">
        <v>1</v>
      </c>
      <c r="D8" s="81">
        <v>2500000</v>
      </c>
      <c r="E8" s="79">
        <f>D8*C8</f>
        <v>2500000</v>
      </c>
      <c r="F8" s="95">
        <v>1</v>
      </c>
      <c r="G8" s="80">
        <v>1800000</v>
      </c>
      <c r="H8" s="54">
        <f t="shared" si="1"/>
        <v>1800000</v>
      </c>
      <c r="I8" s="95"/>
      <c r="J8" s="81">
        <v>7000</v>
      </c>
      <c r="K8" s="79">
        <f t="shared" si="2"/>
        <v>0</v>
      </c>
      <c r="L8" s="96"/>
      <c r="M8" s="81">
        <v>5000</v>
      </c>
      <c r="N8" s="79">
        <f t="shared" si="3"/>
        <v>0</v>
      </c>
      <c r="O8" s="79">
        <f>E8+H8+N8+K8</f>
        <v>4300000</v>
      </c>
    </row>
    <row r="9" spans="1:15" ht="20.5" customHeight="1" x14ac:dyDescent="0.3">
      <c r="A9" s="66">
        <v>6</v>
      </c>
      <c r="B9" s="52">
        <v>46090</v>
      </c>
      <c r="C9" s="95">
        <v>1</v>
      </c>
      <c r="D9" s="81">
        <v>2500000</v>
      </c>
      <c r="E9" s="79">
        <f>D9*C9</f>
        <v>2500000</v>
      </c>
      <c r="F9" s="95">
        <v>2</v>
      </c>
      <c r="G9" s="80">
        <v>1800000</v>
      </c>
      <c r="H9" s="54">
        <f t="shared" si="1"/>
        <v>3600000</v>
      </c>
      <c r="I9" s="95"/>
      <c r="J9" s="81">
        <v>7000</v>
      </c>
      <c r="K9" s="79">
        <f t="shared" si="2"/>
        <v>0</v>
      </c>
      <c r="L9" s="96"/>
      <c r="M9" s="81">
        <v>5000</v>
      </c>
      <c r="N9" s="79">
        <f t="shared" si="3"/>
        <v>0</v>
      </c>
      <c r="O9" s="79">
        <f t="shared" si="4"/>
        <v>6100000</v>
      </c>
    </row>
    <row r="10" spans="1:15" ht="20.5" customHeight="1" x14ac:dyDescent="0.3">
      <c r="A10" s="66">
        <v>7</v>
      </c>
      <c r="B10" s="52">
        <v>46091</v>
      </c>
      <c r="C10" s="95">
        <v>1</v>
      </c>
      <c r="D10" s="81">
        <v>2500000</v>
      </c>
      <c r="E10" s="79">
        <f t="shared" si="0"/>
        <v>2500000</v>
      </c>
      <c r="F10" s="95">
        <v>1</v>
      </c>
      <c r="G10" s="80">
        <v>1800000</v>
      </c>
      <c r="H10" s="54">
        <f t="shared" si="1"/>
        <v>1800000</v>
      </c>
      <c r="I10" s="95"/>
      <c r="J10" s="81">
        <v>7000</v>
      </c>
      <c r="K10" s="79">
        <f t="shared" si="2"/>
        <v>0</v>
      </c>
      <c r="L10" s="96"/>
      <c r="M10" s="81">
        <v>5000</v>
      </c>
      <c r="N10" s="79">
        <f t="shared" si="3"/>
        <v>0</v>
      </c>
      <c r="O10" s="79">
        <f t="shared" si="4"/>
        <v>4300000</v>
      </c>
    </row>
    <row r="11" spans="1:15" ht="20.5" customHeight="1" x14ac:dyDescent="0.3">
      <c r="A11" s="66">
        <v>8</v>
      </c>
      <c r="B11" s="52">
        <v>46092</v>
      </c>
      <c r="C11" s="95">
        <v>1</v>
      </c>
      <c r="D11" s="81">
        <v>2500000</v>
      </c>
      <c r="E11" s="79">
        <f t="shared" si="0"/>
        <v>2500000</v>
      </c>
      <c r="F11" s="95">
        <v>2</v>
      </c>
      <c r="G11" s="80">
        <v>1800000</v>
      </c>
      <c r="H11" s="54">
        <f t="shared" si="1"/>
        <v>3600000</v>
      </c>
      <c r="I11" s="95"/>
      <c r="J11" s="81">
        <v>7000</v>
      </c>
      <c r="K11" s="79">
        <f t="shared" si="2"/>
        <v>0</v>
      </c>
      <c r="L11" s="96"/>
      <c r="M11" s="81">
        <v>5000</v>
      </c>
      <c r="N11" s="79">
        <f t="shared" si="3"/>
        <v>0</v>
      </c>
      <c r="O11" s="79">
        <f>E11+H11+N11+K11</f>
        <v>6100000</v>
      </c>
    </row>
    <row r="12" spans="1:15" ht="20.5" customHeight="1" x14ac:dyDescent="0.3">
      <c r="A12" s="66">
        <v>9</v>
      </c>
      <c r="B12" s="52">
        <v>46093</v>
      </c>
      <c r="C12" s="95">
        <v>0</v>
      </c>
      <c r="D12" s="81">
        <v>2500000</v>
      </c>
      <c r="E12" s="79">
        <f t="shared" si="0"/>
        <v>0</v>
      </c>
      <c r="F12" s="95">
        <v>1</v>
      </c>
      <c r="G12" s="80">
        <v>1800000</v>
      </c>
      <c r="H12" s="54">
        <f t="shared" si="1"/>
        <v>1800000</v>
      </c>
      <c r="I12" s="95"/>
      <c r="J12" s="81">
        <v>7000</v>
      </c>
      <c r="K12" s="79">
        <f t="shared" si="2"/>
        <v>0</v>
      </c>
      <c r="L12" s="96"/>
      <c r="M12" s="81">
        <v>5000</v>
      </c>
      <c r="N12" s="79">
        <f t="shared" si="3"/>
        <v>0</v>
      </c>
      <c r="O12" s="79">
        <f t="shared" si="4"/>
        <v>1800000</v>
      </c>
    </row>
    <row r="13" spans="1:15" ht="20.5" customHeight="1" x14ac:dyDescent="0.3">
      <c r="A13" s="66">
        <v>10</v>
      </c>
      <c r="B13" s="52">
        <v>46094</v>
      </c>
      <c r="C13" s="95">
        <v>2</v>
      </c>
      <c r="D13" s="81">
        <v>2500000</v>
      </c>
      <c r="E13" s="79">
        <f t="shared" si="0"/>
        <v>5000000</v>
      </c>
      <c r="F13" s="95">
        <v>1</v>
      </c>
      <c r="G13" s="80">
        <v>1800000</v>
      </c>
      <c r="H13" s="54">
        <f t="shared" si="1"/>
        <v>1800000</v>
      </c>
      <c r="I13" s="95"/>
      <c r="J13" s="81">
        <v>7000</v>
      </c>
      <c r="K13" s="79">
        <f t="shared" si="2"/>
        <v>0</v>
      </c>
      <c r="L13" s="96">
        <v>1640</v>
      </c>
      <c r="M13" s="81">
        <v>5000</v>
      </c>
      <c r="N13" s="79">
        <f t="shared" si="3"/>
        <v>8200000</v>
      </c>
      <c r="O13" s="79">
        <f t="shared" si="4"/>
        <v>15000000</v>
      </c>
    </row>
    <row r="14" spans="1:15" ht="20.5" customHeight="1" x14ac:dyDescent="0.3">
      <c r="A14" s="66">
        <v>11</v>
      </c>
      <c r="B14" s="52">
        <v>46095</v>
      </c>
      <c r="C14" s="95">
        <v>1</v>
      </c>
      <c r="D14" s="81">
        <v>2500000</v>
      </c>
      <c r="E14" s="79">
        <f t="shared" ref="E14" si="5">D14*C14</f>
        <v>2500000</v>
      </c>
      <c r="F14" s="95">
        <v>2</v>
      </c>
      <c r="G14" s="80">
        <v>1800000</v>
      </c>
      <c r="H14" s="54">
        <f t="shared" ref="H14" si="6">G14*F14</f>
        <v>3600000</v>
      </c>
      <c r="I14" s="95"/>
      <c r="J14" s="81">
        <v>7000</v>
      </c>
      <c r="K14" s="79">
        <f t="shared" ref="K14" si="7">J14*I14</f>
        <v>0</v>
      </c>
      <c r="L14" s="96"/>
      <c r="M14" s="81">
        <v>5000</v>
      </c>
      <c r="N14" s="79">
        <f t="shared" ref="N14" si="8">L14*M14</f>
        <v>0</v>
      </c>
      <c r="O14" s="79">
        <f t="shared" ref="O14" si="9">E14+H14+N14+K14</f>
        <v>6100000</v>
      </c>
    </row>
    <row r="15" spans="1:15" ht="20.5" customHeight="1" x14ac:dyDescent="0.3">
      <c r="A15" s="66">
        <v>12</v>
      </c>
      <c r="B15" s="52">
        <v>46096</v>
      </c>
      <c r="C15" s="95">
        <v>0</v>
      </c>
      <c r="D15" s="81">
        <v>2500000</v>
      </c>
      <c r="E15" s="79">
        <f t="shared" ref="E15" si="10">D15*C15</f>
        <v>0</v>
      </c>
      <c r="F15" s="95">
        <v>0</v>
      </c>
      <c r="G15" s="80">
        <v>1800000</v>
      </c>
      <c r="H15" s="54">
        <f>G15*F15</f>
        <v>0</v>
      </c>
      <c r="I15" s="95"/>
      <c r="J15" s="81">
        <v>7000</v>
      </c>
      <c r="K15" s="79">
        <f t="shared" ref="K15" si="11">J15*I15</f>
        <v>0</v>
      </c>
      <c r="L15" s="96"/>
      <c r="M15" s="81">
        <v>5000</v>
      </c>
      <c r="N15" s="79">
        <f t="shared" ref="N15" si="12">L15*M15</f>
        <v>0</v>
      </c>
      <c r="O15" s="79">
        <f t="shared" ref="O15" si="13">E15+H15+N15+K15</f>
        <v>0</v>
      </c>
    </row>
    <row r="16" spans="1:15" ht="20.5" customHeight="1" x14ac:dyDescent="0.3">
      <c r="A16" s="66">
        <v>13</v>
      </c>
      <c r="B16" s="52">
        <v>46097</v>
      </c>
      <c r="C16" s="95">
        <v>1</v>
      </c>
      <c r="D16" s="81">
        <v>2500000</v>
      </c>
      <c r="E16" s="79">
        <f t="shared" ref="E16" si="14">D16*C16</f>
        <v>2500000</v>
      </c>
      <c r="F16" s="95">
        <v>1</v>
      </c>
      <c r="G16" s="80">
        <v>1800000</v>
      </c>
      <c r="H16" s="54">
        <f t="shared" ref="H16" si="15">G16*F16</f>
        <v>1800000</v>
      </c>
      <c r="I16" s="95"/>
      <c r="J16" s="81">
        <v>7000</v>
      </c>
      <c r="K16" s="79">
        <f t="shared" ref="K16" si="16">J16*I16</f>
        <v>0</v>
      </c>
      <c r="L16" s="96"/>
      <c r="M16" s="81">
        <v>5000</v>
      </c>
      <c r="N16" s="79">
        <f t="shared" ref="N16" si="17">L16*M16</f>
        <v>0</v>
      </c>
      <c r="O16" s="79">
        <f t="shared" ref="O16" si="18">E16+H16+N16+K16</f>
        <v>4300000</v>
      </c>
    </row>
    <row r="17" spans="1:15" ht="20.5" customHeight="1" x14ac:dyDescent="0.3">
      <c r="A17" s="66">
        <v>14</v>
      </c>
      <c r="B17" s="52">
        <v>46098</v>
      </c>
      <c r="C17" s="95">
        <v>1</v>
      </c>
      <c r="D17" s="81">
        <v>2500000</v>
      </c>
      <c r="E17" s="79">
        <f t="shared" ref="E17" si="19">D17*C17</f>
        <v>2500000</v>
      </c>
      <c r="F17" s="53">
        <v>1</v>
      </c>
      <c r="G17" s="80">
        <v>1800000</v>
      </c>
      <c r="H17" s="54">
        <f t="shared" ref="H17" si="20">G17*F17</f>
        <v>1800000</v>
      </c>
      <c r="I17" s="95"/>
      <c r="J17" s="81">
        <v>7000</v>
      </c>
      <c r="K17" s="79">
        <f t="shared" ref="K17" si="21">J17*I17</f>
        <v>0</v>
      </c>
      <c r="L17" s="96"/>
      <c r="M17" s="81">
        <v>5000</v>
      </c>
      <c r="N17" s="79">
        <f t="shared" ref="N17" si="22">L17*M17</f>
        <v>0</v>
      </c>
      <c r="O17" s="79">
        <f t="shared" ref="O17" si="23">E17+H17+N17+K17</f>
        <v>4300000</v>
      </c>
    </row>
    <row r="18" spans="1:15" ht="20.5" customHeight="1" x14ac:dyDescent="0.3">
      <c r="A18" s="66">
        <v>15</v>
      </c>
      <c r="B18" s="52">
        <v>46099</v>
      </c>
      <c r="C18" s="95">
        <v>1</v>
      </c>
      <c r="D18" s="81">
        <v>2500000</v>
      </c>
      <c r="E18" s="79">
        <f t="shared" ref="E18" si="24">D18*C18</f>
        <v>2500000</v>
      </c>
      <c r="F18" s="95">
        <v>1</v>
      </c>
      <c r="G18" s="80">
        <v>1800000</v>
      </c>
      <c r="H18" s="54">
        <f t="shared" ref="H18" si="25">G18*F18</f>
        <v>1800000</v>
      </c>
      <c r="I18" s="95"/>
      <c r="J18" s="81">
        <v>7000</v>
      </c>
      <c r="K18" s="79">
        <f t="shared" ref="K18" si="26">J18*I18</f>
        <v>0</v>
      </c>
      <c r="L18" s="96">
        <v>960</v>
      </c>
      <c r="M18" s="81">
        <v>5000</v>
      </c>
      <c r="N18" s="79">
        <f t="shared" ref="N18" si="27">L18*M18</f>
        <v>4800000</v>
      </c>
      <c r="O18" s="79">
        <f t="shared" ref="O18" si="28">E18+H18+N18+K18</f>
        <v>9100000</v>
      </c>
    </row>
    <row r="19" spans="1:15" ht="20.5" customHeight="1" x14ac:dyDescent="0.3">
      <c r="A19" s="66">
        <v>16</v>
      </c>
      <c r="B19" s="52">
        <v>46100</v>
      </c>
      <c r="C19" s="95">
        <v>1</v>
      </c>
      <c r="D19" s="81">
        <v>2500000</v>
      </c>
      <c r="E19" s="79">
        <f t="shared" ref="E19" si="29">D19*C19</f>
        <v>2500000</v>
      </c>
      <c r="F19" s="95">
        <v>2</v>
      </c>
      <c r="G19" s="80">
        <v>1800000</v>
      </c>
      <c r="H19" s="54">
        <f t="shared" ref="H19" si="30">G19*F19</f>
        <v>3600000</v>
      </c>
      <c r="I19" s="95"/>
      <c r="J19" s="81">
        <v>7000</v>
      </c>
      <c r="K19" s="79">
        <f t="shared" ref="K19" si="31">J19*I19</f>
        <v>0</v>
      </c>
      <c r="L19" s="96"/>
      <c r="M19" s="81">
        <v>5000</v>
      </c>
      <c r="N19" s="79">
        <f t="shared" ref="N19" si="32">L19*M19</f>
        <v>0</v>
      </c>
      <c r="O19" s="79">
        <f t="shared" ref="O19" si="33">E19+H19+N19+K19</f>
        <v>6100000</v>
      </c>
    </row>
    <row r="20" spans="1:15" ht="20.5" customHeight="1" x14ac:dyDescent="0.3">
      <c r="A20" s="66">
        <v>17</v>
      </c>
      <c r="B20" s="52">
        <v>46101</v>
      </c>
      <c r="C20" s="95">
        <v>1</v>
      </c>
      <c r="D20" s="81">
        <v>2500000</v>
      </c>
      <c r="E20" s="79">
        <f t="shared" ref="E20" si="34">D20*C20</f>
        <v>2500000</v>
      </c>
      <c r="F20" s="95">
        <v>1</v>
      </c>
      <c r="G20" s="80">
        <v>1800000</v>
      </c>
      <c r="H20" s="54">
        <f t="shared" ref="H20" si="35">G20*F20</f>
        <v>1800000</v>
      </c>
      <c r="I20" s="95"/>
      <c r="J20" s="81">
        <v>7000</v>
      </c>
      <c r="K20" s="79">
        <f t="shared" ref="K20" si="36">J20*I20</f>
        <v>0</v>
      </c>
      <c r="L20" s="96"/>
      <c r="M20" s="81">
        <v>5000</v>
      </c>
      <c r="N20" s="79">
        <f t="shared" ref="N20" si="37">L20*M20</f>
        <v>0</v>
      </c>
      <c r="O20" s="79">
        <f t="shared" ref="O20" si="38">E20+H20+N20+K20</f>
        <v>4300000</v>
      </c>
    </row>
    <row r="21" spans="1:15" ht="20.5" customHeight="1" x14ac:dyDescent="0.3">
      <c r="A21" s="66">
        <v>18</v>
      </c>
      <c r="B21" s="52">
        <v>46102</v>
      </c>
      <c r="C21" s="95">
        <v>1</v>
      </c>
      <c r="D21" s="81">
        <v>2500000</v>
      </c>
      <c r="E21" s="79">
        <f t="shared" si="0"/>
        <v>2500000</v>
      </c>
      <c r="F21" s="53">
        <v>1</v>
      </c>
      <c r="G21" s="80">
        <v>1800000</v>
      </c>
      <c r="H21" s="54">
        <f t="shared" si="1"/>
        <v>1800000</v>
      </c>
      <c r="I21" s="95"/>
      <c r="J21" s="81">
        <v>7000</v>
      </c>
      <c r="K21" s="79">
        <f t="shared" si="2"/>
        <v>0</v>
      </c>
      <c r="L21" s="96"/>
      <c r="M21" s="81">
        <v>5000</v>
      </c>
      <c r="N21" s="79">
        <f t="shared" si="3"/>
        <v>0</v>
      </c>
      <c r="O21" s="79">
        <f t="shared" si="4"/>
        <v>4300000</v>
      </c>
    </row>
    <row r="22" spans="1:15" ht="20.5" customHeight="1" x14ac:dyDescent="0.3">
      <c r="A22" s="66">
        <v>19</v>
      </c>
      <c r="B22" s="52">
        <v>46103</v>
      </c>
      <c r="C22" s="95">
        <v>0</v>
      </c>
      <c r="D22" s="81">
        <v>2500000</v>
      </c>
      <c r="E22" s="79">
        <f t="shared" si="0"/>
        <v>0</v>
      </c>
      <c r="F22" s="95">
        <v>0</v>
      </c>
      <c r="G22" s="80">
        <v>1800000</v>
      </c>
      <c r="H22" s="54">
        <f t="shared" si="1"/>
        <v>0</v>
      </c>
      <c r="I22" s="95"/>
      <c r="J22" s="81">
        <v>7000</v>
      </c>
      <c r="K22" s="79">
        <f t="shared" si="2"/>
        <v>0</v>
      </c>
      <c r="L22" s="96"/>
      <c r="M22" s="81">
        <v>5000</v>
      </c>
      <c r="N22" s="79">
        <f t="shared" si="3"/>
        <v>0</v>
      </c>
      <c r="O22" s="79">
        <f t="shared" si="4"/>
        <v>0</v>
      </c>
    </row>
    <row r="23" spans="1:15" ht="20.5" customHeight="1" x14ac:dyDescent="0.3">
      <c r="A23" s="66">
        <v>20</v>
      </c>
      <c r="B23" s="52">
        <v>46104</v>
      </c>
      <c r="C23" s="95">
        <v>1</v>
      </c>
      <c r="D23" s="81">
        <v>2500000</v>
      </c>
      <c r="E23" s="79">
        <f t="shared" si="0"/>
        <v>2500000</v>
      </c>
      <c r="F23" s="95">
        <v>1</v>
      </c>
      <c r="G23" s="80">
        <v>1800000</v>
      </c>
      <c r="H23" s="54">
        <f t="shared" si="1"/>
        <v>1800000</v>
      </c>
      <c r="I23" s="95"/>
      <c r="J23" s="81">
        <v>7000</v>
      </c>
      <c r="K23" s="79">
        <f t="shared" si="2"/>
        <v>0</v>
      </c>
      <c r="L23" s="96"/>
      <c r="M23" s="81">
        <v>5000</v>
      </c>
      <c r="N23" s="79">
        <f t="shared" si="3"/>
        <v>0</v>
      </c>
      <c r="O23" s="79">
        <f t="shared" si="4"/>
        <v>4300000</v>
      </c>
    </row>
    <row r="24" spans="1:15" ht="20.5" customHeight="1" x14ac:dyDescent="0.3">
      <c r="A24" s="66">
        <v>21</v>
      </c>
      <c r="B24" s="52">
        <v>46105</v>
      </c>
      <c r="C24" s="95">
        <v>1</v>
      </c>
      <c r="D24" s="81">
        <v>2500000</v>
      </c>
      <c r="E24" s="79">
        <f t="shared" si="0"/>
        <v>2500000</v>
      </c>
      <c r="F24" s="95">
        <v>2</v>
      </c>
      <c r="G24" s="80">
        <v>1800000</v>
      </c>
      <c r="H24" s="54">
        <f t="shared" si="1"/>
        <v>3600000</v>
      </c>
      <c r="I24" s="95"/>
      <c r="J24" s="81">
        <v>7000</v>
      </c>
      <c r="K24" s="79">
        <f t="shared" si="2"/>
        <v>0</v>
      </c>
      <c r="L24" s="96"/>
      <c r="M24" s="81">
        <v>5000</v>
      </c>
      <c r="N24" s="79">
        <f t="shared" si="3"/>
        <v>0</v>
      </c>
      <c r="O24" s="79">
        <f t="shared" si="4"/>
        <v>6100000</v>
      </c>
    </row>
    <row r="25" spans="1:15" ht="20.5" customHeight="1" x14ac:dyDescent="0.3">
      <c r="A25" s="119"/>
      <c r="B25" s="119"/>
      <c r="C25" s="100">
        <f>SUM(C4:C24)</f>
        <v>20</v>
      </c>
      <c r="D25" s="100"/>
      <c r="E25" s="101">
        <f>SUM(E4:E24)</f>
        <v>50000000</v>
      </c>
      <c r="F25" s="101">
        <f>SUM(F4:F24)</f>
        <v>25</v>
      </c>
      <c r="G25" s="101"/>
      <c r="H25" s="101">
        <f>SUM(H4:H24)</f>
        <v>45000000</v>
      </c>
      <c r="I25" s="101">
        <f>SUM(I4:I24)</f>
        <v>0</v>
      </c>
      <c r="J25" s="101"/>
      <c r="K25" s="101">
        <f>SUM(K4:K24)</f>
        <v>0</v>
      </c>
      <c r="L25" s="101">
        <f>SUM(L4:L22)</f>
        <v>2600</v>
      </c>
      <c r="M25" s="101"/>
      <c r="N25" s="101">
        <f>SUM(N4:N22)</f>
        <v>13000000</v>
      </c>
      <c r="O25" s="101">
        <f>SUM(O4:O24)</f>
        <v>108000000</v>
      </c>
    </row>
    <row r="26" spans="1:15" ht="14.5" customHeight="1" x14ac:dyDescent="0.3">
      <c r="A26" s="120" t="s">
        <v>34</v>
      </c>
      <c r="B26" s="121"/>
      <c r="C26" s="121"/>
      <c r="D26" s="121"/>
      <c r="E26" s="122"/>
      <c r="F26" s="53"/>
      <c r="G26" s="103"/>
      <c r="H26" s="102"/>
      <c r="I26" s="102"/>
      <c r="J26" s="102"/>
      <c r="K26" s="102"/>
      <c r="L26" s="123" t="s">
        <v>34</v>
      </c>
      <c r="M26" s="123"/>
      <c r="N26" s="123"/>
      <c r="O26" s="123"/>
    </row>
    <row r="27" spans="1:15" ht="24" customHeight="1" x14ac:dyDescent="0.3">
      <c r="B27" s="118" t="s">
        <v>37</v>
      </c>
      <c r="C27" s="118"/>
      <c r="D27" s="118"/>
      <c r="E27" s="118"/>
      <c r="F27" s="37"/>
      <c r="G27" s="56"/>
      <c r="H27" s="37"/>
      <c r="I27" s="37"/>
      <c r="J27" s="37"/>
      <c r="K27" s="37"/>
      <c r="L27" s="118" t="s">
        <v>38</v>
      </c>
      <c r="M27" s="118"/>
      <c r="N27" s="118"/>
      <c r="O27" s="118"/>
    </row>
    <row r="31" spans="1:15" x14ac:dyDescent="0.3">
      <c r="N31" s="65"/>
    </row>
    <row r="32" spans="1:15" x14ac:dyDescent="0.3">
      <c r="N32" s="65"/>
    </row>
    <row r="33" spans="2:14" x14ac:dyDescent="0.3">
      <c r="B33" s="124" t="s">
        <v>51</v>
      </c>
      <c r="C33" s="124"/>
      <c r="D33" s="124"/>
      <c r="E33" s="124"/>
      <c r="N33" s="65"/>
    </row>
    <row r="35" spans="2:14" x14ac:dyDescent="0.3">
      <c r="E35" s="65"/>
    </row>
    <row r="42" spans="2:14" x14ac:dyDescent="0.3">
      <c r="G42" s="157" t="s">
        <v>59</v>
      </c>
      <c r="H42" s="157"/>
      <c r="I42" s="157"/>
    </row>
    <row r="43" spans="2:14" x14ac:dyDescent="0.3">
      <c r="G43" s="103"/>
      <c r="H43" s="66" t="s">
        <v>57</v>
      </c>
      <c r="I43" s="66" t="s">
        <v>58</v>
      </c>
    </row>
    <row r="44" spans="2:14" x14ac:dyDescent="0.3">
      <c r="G44" s="103" t="s">
        <v>53</v>
      </c>
      <c r="H44" s="66">
        <v>300</v>
      </c>
      <c r="I44" s="66">
        <v>500</v>
      </c>
    </row>
    <row r="45" spans="2:14" x14ac:dyDescent="0.3">
      <c r="G45" s="103" t="s">
        <v>54</v>
      </c>
      <c r="H45" s="66">
        <v>200</v>
      </c>
      <c r="I45" s="66">
        <v>200</v>
      </c>
    </row>
    <row r="46" spans="2:14" x14ac:dyDescent="0.3">
      <c r="G46" s="103" t="s">
        <v>55</v>
      </c>
      <c r="H46" s="66">
        <v>100</v>
      </c>
      <c r="I46" s="66">
        <v>400</v>
      </c>
    </row>
    <row r="47" spans="2:14" x14ac:dyDescent="0.3">
      <c r="G47" s="103" t="s">
        <v>56</v>
      </c>
      <c r="H47" s="66">
        <v>100</v>
      </c>
      <c r="I47" s="66">
        <v>200</v>
      </c>
    </row>
  </sheetData>
  <mergeCells count="13">
    <mergeCell ref="A3:B3"/>
    <mergeCell ref="A1:O1"/>
    <mergeCell ref="C2:E2"/>
    <mergeCell ref="F2:H2"/>
    <mergeCell ref="I2:K2"/>
    <mergeCell ref="L2:N2"/>
    <mergeCell ref="G42:I42"/>
    <mergeCell ref="A25:B25"/>
    <mergeCell ref="A26:E26"/>
    <mergeCell ref="L26:O26"/>
    <mergeCell ref="B27:E27"/>
    <mergeCell ref="L27:O27"/>
    <mergeCell ref="B33:E33"/>
  </mergeCells>
  <pageMargins left="0.19" right="0.17" top="0.89500000000000002" bottom="0.75" header="0.3" footer="0.3"/>
  <pageSetup scale="7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2918F-5FCF-4EB8-B5CB-4E18CE73D797}">
  <dimension ref="A1:O45"/>
  <sheetViews>
    <sheetView topLeftCell="A27" zoomScale="80" zoomScaleNormal="80" zoomScaleSheetLayoutView="100" workbookViewId="0">
      <selection activeCell="I48" sqref="I48"/>
    </sheetView>
  </sheetViews>
  <sheetFormatPr defaultColWidth="9.36328125" defaultRowHeight="12" x14ac:dyDescent="0.3"/>
  <cols>
    <col min="1" max="1" width="3.36328125" style="32" customWidth="1"/>
    <col min="2" max="3" width="9.36328125" style="32" customWidth="1"/>
    <col min="4" max="4" width="12.90625" style="32" customWidth="1"/>
    <col min="5" max="5" width="12.36328125" style="32" customWidth="1"/>
    <col min="6" max="6" width="8.1796875" style="32" customWidth="1"/>
    <col min="7" max="7" width="14.54296875" style="38" customWidth="1"/>
    <col min="8" max="8" width="12.6328125" style="32" customWidth="1"/>
    <col min="9" max="9" width="8.36328125" style="32" customWidth="1"/>
    <col min="10" max="10" width="9.36328125" style="32" customWidth="1"/>
    <col min="11" max="11" width="11.6328125" style="32" customWidth="1"/>
    <col min="12" max="12" width="7.54296875" style="32" customWidth="1"/>
    <col min="13" max="13" width="11.453125" style="32" customWidth="1"/>
    <col min="14" max="14" width="15.81640625" style="32" customWidth="1"/>
    <col min="15" max="15" width="13.90625" style="32" customWidth="1"/>
    <col min="16" max="16384" width="9.36328125" style="32"/>
  </cols>
  <sheetData>
    <row r="1" spans="1:15" ht="36" customHeight="1" x14ac:dyDescent="0.3">
      <c r="A1" s="156" t="s">
        <v>61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</row>
    <row r="2" spans="1:15" ht="19.5" customHeight="1" x14ac:dyDescent="0.3">
      <c r="A2" s="39" t="s">
        <v>21</v>
      </c>
      <c r="B2" s="40" t="s">
        <v>22</v>
      </c>
      <c r="C2" s="114" t="s">
        <v>23</v>
      </c>
      <c r="D2" s="114"/>
      <c r="E2" s="114"/>
      <c r="F2" s="114" t="s">
        <v>24</v>
      </c>
      <c r="G2" s="114"/>
      <c r="H2" s="114"/>
      <c r="I2" s="115" t="s">
        <v>25</v>
      </c>
      <c r="J2" s="116"/>
      <c r="K2" s="117"/>
      <c r="L2" s="114" t="s">
        <v>26</v>
      </c>
      <c r="M2" s="114"/>
      <c r="N2" s="114"/>
      <c r="O2" s="41" t="s">
        <v>27</v>
      </c>
    </row>
    <row r="3" spans="1:15" ht="21.5" customHeight="1" x14ac:dyDescent="0.3">
      <c r="A3" s="112" t="s">
        <v>28</v>
      </c>
      <c r="B3" s="112"/>
      <c r="C3" s="88" t="s">
        <v>29</v>
      </c>
      <c r="D3" s="89" t="s">
        <v>30</v>
      </c>
      <c r="E3" s="90" t="s">
        <v>31</v>
      </c>
      <c r="F3" s="91" t="s">
        <v>29</v>
      </c>
      <c r="G3" s="92" t="s">
        <v>30</v>
      </c>
      <c r="H3" s="90" t="s">
        <v>32</v>
      </c>
      <c r="I3" s="93" t="s">
        <v>29</v>
      </c>
      <c r="J3" s="89" t="s">
        <v>30</v>
      </c>
      <c r="K3" s="90" t="s">
        <v>32</v>
      </c>
      <c r="L3" s="93" t="s">
        <v>33</v>
      </c>
      <c r="M3" s="89" t="s">
        <v>30</v>
      </c>
      <c r="N3" s="90" t="s">
        <v>32</v>
      </c>
      <c r="O3" s="94"/>
    </row>
    <row r="4" spans="1:15" ht="24" customHeight="1" x14ac:dyDescent="0.3">
      <c r="A4" s="66">
        <v>1</v>
      </c>
      <c r="B4" s="52">
        <v>46106</v>
      </c>
      <c r="C4" s="53">
        <v>1</v>
      </c>
      <c r="D4" s="62">
        <v>2500000</v>
      </c>
      <c r="E4" s="54">
        <f t="shared" ref="E4:E32" si="0">D4*C4</f>
        <v>2500000</v>
      </c>
      <c r="F4" s="53">
        <v>2</v>
      </c>
      <c r="G4" s="59">
        <v>1800000</v>
      </c>
      <c r="H4" s="54">
        <f t="shared" ref="H4:H32" si="1">G4*F4</f>
        <v>3600000</v>
      </c>
      <c r="I4" s="53"/>
      <c r="J4" s="62">
        <v>7000</v>
      </c>
      <c r="K4" s="54">
        <f t="shared" ref="K4:K32" si="2">J4*I4</f>
        <v>0</v>
      </c>
      <c r="L4" s="67"/>
      <c r="M4" s="62">
        <v>5000</v>
      </c>
      <c r="N4" s="54">
        <f t="shared" ref="N4:N32" si="3">L4*M4</f>
        <v>0</v>
      </c>
      <c r="O4" s="54">
        <f t="shared" ref="O4:O32" si="4">E4+H4+N4+K4</f>
        <v>6100000</v>
      </c>
    </row>
    <row r="5" spans="1:15" ht="24" customHeight="1" x14ac:dyDescent="0.3">
      <c r="A5" s="66">
        <v>2</v>
      </c>
      <c r="B5" s="52">
        <v>46107</v>
      </c>
      <c r="C5" s="95">
        <v>2</v>
      </c>
      <c r="D5" s="81">
        <v>2500000</v>
      </c>
      <c r="E5" s="79">
        <f t="shared" si="0"/>
        <v>5000000</v>
      </c>
      <c r="F5" s="95">
        <v>1</v>
      </c>
      <c r="G5" s="80">
        <v>1800000</v>
      </c>
      <c r="H5" s="54">
        <f t="shared" si="1"/>
        <v>1800000</v>
      </c>
      <c r="I5" s="95"/>
      <c r="J5" s="81">
        <v>7000</v>
      </c>
      <c r="K5" s="79">
        <f t="shared" si="2"/>
        <v>0</v>
      </c>
      <c r="L5" s="96"/>
      <c r="M5" s="81">
        <v>5000</v>
      </c>
      <c r="N5" s="79">
        <f t="shared" si="3"/>
        <v>0</v>
      </c>
      <c r="O5" s="79">
        <f t="shared" si="4"/>
        <v>6800000</v>
      </c>
    </row>
    <row r="6" spans="1:15" ht="24" customHeight="1" x14ac:dyDescent="0.3">
      <c r="A6" s="66">
        <v>3</v>
      </c>
      <c r="B6" s="52">
        <v>46108</v>
      </c>
      <c r="C6" s="95">
        <v>1</v>
      </c>
      <c r="D6" s="81">
        <v>2500000</v>
      </c>
      <c r="E6" s="79">
        <f>D6*C6</f>
        <v>2500000</v>
      </c>
      <c r="F6" s="95">
        <v>1</v>
      </c>
      <c r="G6" s="80">
        <v>1800000</v>
      </c>
      <c r="H6" s="54">
        <f t="shared" si="1"/>
        <v>1800000</v>
      </c>
      <c r="I6" s="95"/>
      <c r="J6" s="81">
        <v>7000</v>
      </c>
      <c r="K6" s="79">
        <f t="shared" si="2"/>
        <v>0</v>
      </c>
      <c r="L6" s="96"/>
      <c r="M6" s="81">
        <v>5000</v>
      </c>
      <c r="N6" s="79">
        <f t="shared" si="3"/>
        <v>0</v>
      </c>
      <c r="O6" s="79">
        <f t="shared" si="4"/>
        <v>4300000</v>
      </c>
    </row>
    <row r="7" spans="1:15" ht="24" customHeight="1" x14ac:dyDescent="0.3">
      <c r="A7" s="66">
        <v>4</v>
      </c>
      <c r="B7" s="52">
        <v>46109</v>
      </c>
      <c r="C7" s="95">
        <v>0</v>
      </c>
      <c r="D7" s="81">
        <v>2500000</v>
      </c>
      <c r="E7" s="79">
        <f t="shared" si="0"/>
        <v>0</v>
      </c>
      <c r="F7" s="95">
        <v>1</v>
      </c>
      <c r="G7" s="80">
        <v>1800000</v>
      </c>
      <c r="H7" s="54">
        <f t="shared" si="1"/>
        <v>1800000</v>
      </c>
      <c r="I7" s="95"/>
      <c r="J7" s="81">
        <v>7000</v>
      </c>
      <c r="K7" s="79">
        <f t="shared" si="2"/>
        <v>0</v>
      </c>
      <c r="L7" s="96"/>
      <c r="M7" s="81">
        <v>5000</v>
      </c>
      <c r="N7" s="79">
        <f t="shared" si="3"/>
        <v>0</v>
      </c>
      <c r="O7" s="79">
        <f t="shared" si="4"/>
        <v>1800000</v>
      </c>
    </row>
    <row r="8" spans="1:15" ht="24" customHeight="1" x14ac:dyDescent="0.3">
      <c r="A8" s="66">
        <v>5</v>
      </c>
      <c r="B8" s="52">
        <v>46111</v>
      </c>
      <c r="C8" s="95">
        <v>1</v>
      </c>
      <c r="D8" s="81">
        <v>2500000</v>
      </c>
      <c r="E8" s="79">
        <f>D8*C8</f>
        <v>2500000</v>
      </c>
      <c r="F8" s="95">
        <v>2</v>
      </c>
      <c r="G8" s="80">
        <v>1800000</v>
      </c>
      <c r="H8" s="54">
        <f t="shared" si="1"/>
        <v>3600000</v>
      </c>
      <c r="I8" s="95"/>
      <c r="J8" s="81">
        <v>7000</v>
      </c>
      <c r="K8" s="79">
        <f t="shared" si="2"/>
        <v>0</v>
      </c>
      <c r="L8" s="96"/>
      <c r="M8" s="81">
        <v>5000</v>
      </c>
      <c r="N8" s="79">
        <f t="shared" si="3"/>
        <v>0</v>
      </c>
      <c r="O8" s="79">
        <f t="shared" si="4"/>
        <v>6100000</v>
      </c>
    </row>
    <row r="9" spans="1:15" ht="24" customHeight="1" x14ac:dyDescent="0.3">
      <c r="A9" s="66">
        <v>6</v>
      </c>
      <c r="B9" s="52">
        <v>46112</v>
      </c>
      <c r="C9" s="95">
        <v>1</v>
      </c>
      <c r="D9" s="81">
        <v>2500000</v>
      </c>
      <c r="E9" s="79">
        <f t="shared" si="0"/>
        <v>2500000</v>
      </c>
      <c r="F9" s="95">
        <v>2</v>
      </c>
      <c r="G9" s="80">
        <v>1800000</v>
      </c>
      <c r="H9" s="54">
        <f t="shared" si="1"/>
        <v>3600000</v>
      </c>
      <c r="I9" s="95"/>
      <c r="J9" s="81">
        <v>7000</v>
      </c>
      <c r="K9" s="79">
        <f t="shared" si="2"/>
        <v>0</v>
      </c>
      <c r="L9" s="96"/>
      <c r="M9" s="81">
        <v>5000</v>
      </c>
      <c r="N9" s="79">
        <f t="shared" si="3"/>
        <v>0</v>
      </c>
      <c r="O9" s="79">
        <f t="shared" si="4"/>
        <v>6100000</v>
      </c>
    </row>
    <row r="10" spans="1:15" ht="24" customHeight="1" x14ac:dyDescent="0.3">
      <c r="A10" s="66">
        <v>7</v>
      </c>
      <c r="B10" s="52">
        <v>46113</v>
      </c>
      <c r="C10" s="95">
        <v>2</v>
      </c>
      <c r="D10" s="81">
        <v>2500000</v>
      </c>
      <c r="E10" s="79">
        <f t="shared" si="0"/>
        <v>5000000</v>
      </c>
      <c r="F10" s="95">
        <v>1</v>
      </c>
      <c r="G10" s="80">
        <v>1800000</v>
      </c>
      <c r="H10" s="54">
        <f t="shared" si="1"/>
        <v>1800000</v>
      </c>
      <c r="I10" s="95"/>
      <c r="J10" s="81">
        <v>7000</v>
      </c>
      <c r="K10" s="79">
        <f t="shared" si="2"/>
        <v>0</v>
      </c>
      <c r="L10" s="96"/>
      <c r="M10" s="81">
        <v>5000</v>
      </c>
      <c r="N10" s="79">
        <f t="shared" si="3"/>
        <v>0</v>
      </c>
      <c r="O10" s="79">
        <f>E10+H10+N10+K10</f>
        <v>6800000</v>
      </c>
    </row>
    <row r="11" spans="1:15" ht="24" customHeight="1" x14ac:dyDescent="0.3">
      <c r="A11" s="66">
        <v>8</v>
      </c>
      <c r="B11" s="52">
        <v>46114</v>
      </c>
      <c r="C11" s="95">
        <v>1</v>
      </c>
      <c r="D11" s="81">
        <v>2500000</v>
      </c>
      <c r="E11" s="79">
        <f t="shared" si="0"/>
        <v>2500000</v>
      </c>
      <c r="F11" s="95">
        <v>2</v>
      </c>
      <c r="G11" s="80">
        <v>1800000</v>
      </c>
      <c r="H11" s="54">
        <f t="shared" si="1"/>
        <v>3600000</v>
      </c>
      <c r="I11" s="95"/>
      <c r="J11" s="81">
        <v>7000</v>
      </c>
      <c r="K11" s="79">
        <f t="shared" si="2"/>
        <v>0</v>
      </c>
      <c r="L11" s="96"/>
      <c r="M11" s="81">
        <v>5000</v>
      </c>
      <c r="N11" s="79">
        <f t="shared" si="3"/>
        <v>0</v>
      </c>
      <c r="O11" s="79">
        <f t="shared" si="4"/>
        <v>6100000</v>
      </c>
    </row>
    <row r="12" spans="1:15" ht="24" customHeight="1" x14ac:dyDescent="0.3">
      <c r="A12" s="66">
        <v>9</v>
      </c>
      <c r="B12" s="52">
        <v>46115</v>
      </c>
      <c r="C12" s="95">
        <v>1</v>
      </c>
      <c r="D12" s="81">
        <v>2500000</v>
      </c>
      <c r="E12" s="79">
        <f t="shared" si="0"/>
        <v>2500000</v>
      </c>
      <c r="F12" s="95">
        <v>1</v>
      </c>
      <c r="G12" s="80">
        <v>1800000</v>
      </c>
      <c r="H12" s="54">
        <f t="shared" si="1"/>
        <v>1800000</v>
      </c>
      <c r="I12" s="95"/>
      <c r="J12" s="81">
        <v>7000</v>
      </c>
      <c r="K12" s="79">
        <f t="shared" si="2"/>
        <v>0</v>
      </c>
      <c r="L12" s="96"/>
      <c r="M12" s="81">
        <v>5000</v>
      </c>
      <c r="N12" s="79">
        <f t="shared" si="3"/>
        <v>0</v>
      </c>
      <c r="O12" s="79">
        <f t="shared" si="4"/>
        <v>4300000</v>
      </c>
    </row>
    <row r="13" spans="1:15" ht="24" customHeight="1" x14ac:dyDescent="0.3">
      <c r="A13" s="66">
        <v>10</v>
      </c>
      <c r="B13" s="52">
        <v>46116</v>
      </c>
      <c r="C13" s="95">
        <v>1</v>
      </c>
      <c r="D13" s="81">
        <v>2500000</v>
      </c>
      <c r="E13" s="79">
        <f t="shared" si="0"/>
        <v>2500000</v>
      </c>
      <c r="F13" s="95">
        <v>2</v>
      </c>
      <c r="G13" s="80">
        <v>1800000</v>
      </c>
      <c r="H13" s="54">
        <f t="shared" si="1"/>
        <v>3600000</v>
      </c>
      <c r="I13" s="95"/>
      <c r="J13" s="81">
        <v>7000</v>
      </c>
      <c r="K13" s="79">
        <f t="shared" si="2"/>
        <v>0</v>
      </c>
      <c r="L13" s="96"/>
      <c r="M13" s="81">
        <v>5000</v>
      </c>
      <c r="N13" s="79">
        <f t="shared" si="3"/>
        <v>0</v>
      </c>
      <c r="O13" s="79">
        <f t="shared" si="4"/>
        <v>6100000</v>
      </c>
    </row>
    <row r="14" spans="1:15" ht="24" customHeight="1" x14ac:dyDescent="0.3">
      <c r="A14" s="66">
        <v>11</v>
      </c>
      <c r="B14" s="52">
        <v>46118</v>
      </c>
      <c r="C14" s="95">
        <v>2</v>
      </c>
      <c r="D14" s="81">
        <v>2500000</v>
      </c>
      <c r="E14" s="79">
        <f t="shared" si="0"/>
        <v>5000000</v>
      </c>
      <c r="F14" s="95">
        <v>1</v>
      </c>
      <c r="G14" s="80">
        <v>1800000</v>
      </c>
      <c r="H14" s="54">
        <f t="shared" ref="H14:H27" si="5">G14*F14</f>
        <v>1800000</v>
      </c>
      <c r="I14" s="95"/>
      <c r="J14" s="81">
        <v>7000</v>
      </c>
      <c r="K14" s="79">
        <f t="shared" si="2"/>
        <v>0</v>
      </c>
      <c r="L14" s="96"/>
      <c r="M14" s="81">
        <v>5000</v>
      </c>
      <c r="N14" s="79">
        <f t="shared" si="3"/>
        <v>0</v>
      </c>
      <c r="O14" s="79">
        <f t="shared" si="4"/>
        <v>6800000</v>
      </c>
    </row>
    <row r="15" spans="1:15" ht="24" customHeight="1" x14ac:dyDescent="0.3">
      <c r="A15" s="66">
        <v>12</v>
      </c>
      <c r="B15" s="52">
        <v>46119</v>
      </c>
      <c r="C15" s="95">
        <v>1</v>
      </c>
      <c r="D15" s="81">
        <v>2500000</v>
      </c>
      <c r="E15" s="79">
        <f t="shared" si="0"/>
        <v>2500000</v>
      </c>
      <c r="F15" s="53">
        <v>2</v>
      </c>
      <c r="G15" s="80">
        <v>1800000</v>
      </c>
      <c r="H15" s="54">
        <f t="shared" si="5"/>
        <v>3600000</v>
      </c>
      <c r="I15" s="95"/>
      <c r="J15" s="81">
        <v>7000</v>
      </c>
      <c r="K15" s="79">
        <f t="shared" si="2"/>
        <v>0</v>
      </c>
      <c r="L15" s="96"/>
      <c r="M15" s="81">
        <v>5000</v>
      </c>
      <c r="N15" s="79">
        <f t="shared" si="3"/>
        <v>0</v>
      </c>
      <c r="O15" s="79">
        <f t="shared" si="4"/>
        <v>6100000</v>
      </c>
    </row>
    <row r="16" spans="1:15" ht="24" customHeight="1" x14ac:dyDescent="0.3">
      <c r="A16" s="66">
        <v>13</v>
      </c>
      <c r="B16" s="52">
        <v>46120</v>
      </c>
      <c r="C16" s="95">
        <v>1</v>
      </c>
      <c r="D16" s="81">
        <v>2500000</v>
      </c>
      <c r="E16" s="79">
        <f t="shared" ref="E16" si="6">D16*C16</f>
        <v>2500000</v>
      </c>
      <c r="F16" s="53">
        <v>2</v>
      </c>
      <c r="G16" s="80">
        <v>1800000</v>
      </c>
      <c r="H16" s="54">
        <f t="shared" ref="H16" si="7">G16*F16</f>
        <v>3600000</v>
      </c>
      <c r="I16" s="95"/>
      <c r="J16" s="81">
        <v>7000</v>
      </c>
      <c r="K16" s="79">
        <f t="shared" ref="K16" si="8">J16*I16</f>
        <v>0</v>
      </c>
      <c r="L16" s="96"/>
      <c r="M16" s="81">
        <v>5000</v>
      </c>
      <c r="N16" s="79">
        <f t="shared" ref="N16" si="9">L16*M16</f>
        <v>0</v>
      </c>
      <c r="O16" s="79">
        <f t="shared" ref="O16" si="10">E16+H16+N16+K16</f>
        <v>6100000</v>
      </c>
    </row>
    <row r="17" spans="1:15" ht="24" customHeight="1" x14ac:dyDescent="0.3">
      <c r="A17" s="66">
        <v>14</v>
      </c>
      <c r="B17" s="52">
        <v>46121</v>
      </c>
      <c r="C17" s="95">
        <v>1</v>
      </c>
      <c r="D17" s="81">
        <v>2500000</v>
      </c>
      <c r="E17" s="79">
        <f t="shared" ref="E17" si="11">D17*C17</f>
        <v>2500000</v>
      </c>
      <c r="F17" s="53">
        <v>1</v>
      </c>
      <c r="G17" s="80">
        <v>1800000</v>
      </c>
      <c r="H17" s="54">
        <f t="shared" ref="H17" si="12">G17*F17</f>
        <v>1800000</v>
      </c>
      <c r="I17" s="95"/>
      <c r="J17" s="81">
        <v>7000</v>
      </c>
      <c r="K17" s="79">
        <f t="shared" ref="K17" si="13">J17*I17</f>
        <v>0</v>
      </c>
      <c r="L17" s="96"/>
      <c r="M17" s="81">
        <v>5000</v>
      </c>
      <c r="N17" s="79">
        <f t="shared" ref="N17" si="14">L17*M17</f>
        <v>0</v>
      </c>
      <c r="O17" s="79">
        <f t="shared" ref="O17" si="15">E17+H17+N17+K17</f>
        <v>4300000</v>
      </c>
    </row>
    <row r="18" spans="1:15" ht="24" customHeight="1" x14ac:dyDescent="0.3">
      <c r="A18" s="66">
        <v>15</v>
      </c>
      <c r="B18" s="52">
        <v>46122</v>
      </c>
      <c r="C18" s="95">
        <v>1</v>
      </c>
      <c r="D18" s="81">
        <v>2500000</v>
      </c>
      <c r="E18" s="79">
        <f t="shared" ref="E18" si="16">D18*C18</f>
        <v>2500000</v>
      </c>
      <c r="F18" s="53">
        <v>2</v>
      </c>
      <c r="G18" s="80">
        <v>1800000</v>
      </c>
      <c r="H18" s="54">
        <f t="shared" ref="H18" si="17">G18*F18</f>
        <v>3600000</v>
      </c>
      <c r="I18" s="95"/>
      <c r="J18" s="81">
        <v>7000</v>
      </c>
      <c r="K18" s="79">
        <f t="shared" ref="K18" si="18">J18*I18</f>
        <v>0</v>
      </c>
      <c r="L18" s="96"/>
      <c r="M18" s="81">
        <v>5000</v>
      </c>
      <c r="N18" s="79">
        <f t="shared" ref="N18" si="19">L18*M18</f>
        <v>0</v>
      </c>
      <c r="O18" s="79">
        <f t="shared" ref="O18" si="20">E18+H18+N18+K18</f>
        <v>6100000</v>
      </c>
    </row>
    <row r="19" spans="1:15" ht="24" customHeight="1" x14ac:dyDescent="0.3">
      <c r="A19" s="66">
        <v>16</v>
      </c>
      <c r="B19" s="52">
        <v>46123</v>
      </c>
      <c r="C19" s="95">
        <v>1</v>
      </c>
      <c r="D19" s="81">
        <v>2500000</v>
      </c>
      <c r="E19" s="79">
        <f t="shared" ref="E19" si="21">D19*C19</f>
        <v>2500000</v>
      </c>
      <c r="F19" s="53">
        <v>1</v>
      </c>
      <c r="G19" s="80">
        <v>1800000</v>
      </c>
      <c r="H19" s="54">
        <f t="shared" ref="H19" si="22">G19*F19</f>
        <v>1800000</v>
      </c>
      <c r="I19" s="95"/>
      <c r="J19" s="81">
        <v>7000</v>
      </c>
      <c r="K19" s="79">
        <f t="shared" ref="K19" si="23">J19*I19</f>
        <v>0</v>
      </c>
      <c r="L19" s="96"/>
      <c r="M19" s="81">
        <v>5000</v>
      </c>
      <c r="N19" s="79">
        <f t="shared" ref="N19" si="24">L19*M19</f>
        <v>0</v>
      </c>
      <c r="O19" s="79">
        <f t="shared" ref="O19" si="25">E19+H19+N19+K19</f>
        <v>4300000</v>
      </c>
    </row>
    <row r="20" spans="1:15" ht="24" customHeight="1" x14ac:dyDescent="0.3">
      <c r="A20" s="66">
        <v>17</v>
      </c>
      <c r="B20" s="52">
        <v>46125</v>
      </c>
      <c r="C20" s="95">
        <v>1</v>
      </c>
      <c r="D20" s="81">
        <v>2500000</v>
      </c>
      <c r="E20" s="79">
        <f t="shared" si="0"/>
        <v>2500000</v>
      </c>
      <c r="F20" s="95">
        <v>1</v>
      </c>
      <c r="G20" s="80">
        <v>1800000</v>
      </c>
      <c r="H20" s="54">
        <f t="shared" si="5"/>
        <v>1800000</v>
      </c>
      <c r="I20" s="95"/>
      <c r="J20" s="81">
        <v>7000</v>
      </c>
      <c r="K20" s="79">
        <f t="shared" si="2"/>
        <v>0</v>
      </c>
      <c r="L20" s="96"/>
      <c r="M20" s="81">
        <v>5000</v>
      </c>
      <c r="N20" s="79">
        <f t="shared" si="3"/>
        <v>0</v>
      </c>
      <c r="O20" s="79">
        <f t="shared" si="4"/>
        <v>4300000</v>
      </c>
    </row>
    <row r="21" spans="1:15" ht="24" customHeight="1" x14ac:dyDescent="0.3">
      <c r="A21" s="66">
        <v>18</v>
      </c>
      <c r="B21" s="52">
        <v>46126</v>
      </c>
      <c r="C21" s="95">
        <v>1</v>
      </c>
      <c r="D21" s="81">
        <v>2500000</v>
      </c>
      <c r="E21" s="79">
        <f t="shared" ref="E21" si="26">D21*C21</f>
        <v>2500000</v>
      </c>
      <c r="F21" s="95">
        <v>2</v>
      </c>
      <c r="G21" s="80">
        <v>1800000</v>
      </c>
      <c r="H21" s="54">
        <f t="shared" ref="H21" si="27">G21*F21</f>
        <v>3600000</v>
      </c>
      <c r="I21" s="95"/>
      <c r="J21" s="81">
        <v>7000</v>
      </c>
      <c r="K21" s="79">
        <f t="shared" ref="K21" si="28">J21*I21</f>
        <v>0</v>
      </c>
      <c r="L21" s="96"/>
      <c r="M21" s="81">
        <v>5000</v>
      </c>
      <c r="N21" s="79">
        <f t="shared" ref="N21" si="29">L21*M21</f>
        <v>0</v>
      </c>
      <c r="O21" s="79">
        <f t="shared" ref="O21" si="30">E21+H21+N21+K21</f>
        <v>6100000</v>
      </c>
    </row>
    <row r="22" spans="1:15" ht="24" customHeight="1" x14ac:dyDescent="0.3">
      <c r="A22" s="66">
        <v>19</v>
      </c>
      <c r="B22" s="52">
        <v>46127</v>
      </c>
      <c r="C22" s="95">
        <v>1</v>
      </c>
      <c r="D22" s="81">
        <v>2500000</v>
      </c>
      <c r="E22" s="79">
        <f t="shared" ref="E22" si="31">D22*C22</f>
        <v>2500000</v>
      </c>
      <c r="F22" s="95">
        <v>1</v>
      </c>
      <c r="G22" s="80">
        <v>1800000</v>
      </c>
      <c r="H22" s="54">
        <f t="shared" ref="H22" si="32">G22*F22</f>
        <v>1800000</v>
      </c>
      <c r="I22" s="95"/>
      <c r="J22" s="81">
        <v>7000</v>
      </c>
      <c r="K22" s="79">
        <f t="shared" ref="K22" si="33">J22*I22</f>
        <v>0</v>
      </c>
      <c r="L22" s="96"/>
      <c r="M22" s="81">
        <v>5000</v>
      </c>
      <c r="N22" s="79">
        <f t="shared" ref="N22" si="34">L22*M22</f>
        <v>0</v>
      </c>
      <c r="O22" s="79">
        <f t="shared" ref="O22" si="35">E22+H22+N22+K22</f>
        <v>4300000</v>
      </c>
    </row>
    <row r="23" spans="1:15" ht="24" customHeight="1" x14ac:dyDescent="0.3">
      <c r="A23" s="66">
        <v>20</v>
      </c>
      <c r="B23" s="52">
        <v>46128</v>
      </c>
      <c r="C23" s="95">
        <v>1</v>
      </c>
      <c r="D23" s="81">
        <v>2500000</v>
      </c>
      <c r="E23" s="79">
        <f t="shared" ref="E23" si="36">D23*C23</f>
        <v>2500000</v>
      </c>
      <c r="F23" s="95">
        <v>2</v>
      </c>
      <c r="G23" s="80">
        <v>1800000</v>
      </c>
      <c r="H23" s="54">
        <f t="shared" ref="H23" si="37">G23*F23</f>
        <v>3600000</v>
      </c>
      <c r="I23" s="95"/>
      <c r="J23" s="81">
        <v>7000</v>
      </c>
      <c r="K23" s="79">
        <f t="shared" ref="K23" si="38">J23*I23</f>
        <v>0</v>
      </c>
      <c r="L23" s="96"/>
      <c r="M23" s="81">
        <v>5000</v>
      </c>
      <c r="N23" s="79">
        <f t="shared" ref="N23" si="39">L23*M23</f>
        <v>0</v>
      </c>
      <c r="O23" s="79">
        <f t="shared" ref="O23" si="40">E23+H23+N23+K23</f>
        <v>6100000</v>
      </c>
    </row>
    <row r="24" spans="1:15" ht="24" customHeight="1" x14ac:dyDescent="0.3">
      <c r="A24" s="66">
        <v>21</v>
      </c>
      <c r="B24" s="52">
        <v>46129</v>
      </c>
      <c r="C24" s="95">
        <v>1</v>
      </c>
      <c r="D24" s="81">
        <v>2500000</v>
      </c>
      <c r="E24" s="79">
        <f t="shared" ref="E24" si="41">D24*C24</f>
        <v>2500000</v>
      </c>
      <c r="F24" s="95">
        <v>1</v>
      </c>
      <c r="G24" s="80">
        <v>1800000</v>
      </c>
      <c r="H24" s="54">
        <f t="shared" ref="H24" si="42">G24*F24</f>
        <v>1800000</v>
      </c>
      <c r="I24" s="95"/>
      <c r="J24" s="81">
        <v>7000</v>
      </c>
      <c r="K24" s="79">
        <f t="shared" ref="K24" si="43">J24*I24</f>
        <v>0</v>
      </c>
      <c r="L24" s="96"/>
      <c r="M24" s="81">
        <v>5000</v>
      </c>
      <c r="N24" s="79">
        <f t="shared" ref="N24" si="44">L24*M24</f>
        <v>0</v>
      </c>
      <c r="O24" s="79">
        <f t="shared" ref="O24" si="45">E24+H24+N24+K24</f>
        <v>4300000</v>
      </c>
    </row>
    <row r="25" spans="1:15" ht="24" customHeight="1" x14ac:dyDescent="0.3">
      <c r="A25" s="66">
        <v>22</v>
      </c>
      <c r="B25" s="52">
        <v>46130</v>
      </c>
      <c r="C25" s="95">
        <v>1</v>
      </c>
      <c r="D25" s="81">
        <v>2500000</v>
      </c>
      <c r="E25" s="79">
        <f t="shared" ref="E25" si="46">D25*C25</f>
        <v>2500000</v>
      </c>
      <c r="F25" s="95">
        <v>1</v>
      </c>
      <c r="G25" s="80">
        <v>1800000</v>
      </c>
      <c r="H25" s="54">
        <f t="shared" ref="H25" si="47">G25*F25</f>
        <v>1800000</v>
      </c>
      <c r="I25" s="95"/>
      <c r="J25" s="81">
        <v>7000</v>
      </c>
      <c r="K25" s="79">
        <f t="shared" ref="K25" si="48">J25*I25</f>
        <v>0</v>
      </c>
      <c r="L25" s="96"/>
      <c r="M25" s="81">
        <v>5000</v>
      </c>
      <c r="N25" s="79">
        <f t="shared" ref="N25" si="49">L25*M25</f>
        <v>0</v>
      </c>
      <c r="O25" s="79">
        <f t="shared" ref="O25" si="50">E25+H25+N25+K25</f>
        <v>4300000</v>
      </c>
    </row>
    <row r="26" spans="1:15" ht="24" customHeight="1" x14ac:dyDescent="0.3">
      <c r="A26" s="66">
        <v>23</v>
      </c>
      <c r="B26" s="52">
        <v>46131</v>
      </c>
      <c r="C26" s="95">
        <v>0</v>
      </c>
      <c r="D26" s="81">
        <v>2500000</v>
      </c>
      <c r="E26" s="79">
        <f t="shared" ref="E26" si="51">D26*C26</f>
        <v>0</v>
      </c>
      <c r="F26" s="95">
        <v>0</v>
      </c>
      <c r="G26" s="80">
        <v>1800000</v>
      </c>
      <c r="H26" s="54">
        <f t="shared" ref="H26" si="52">G26*F26</f>
        <v>0</v>
      </c>
      <c r="I26" s="95"/>
      <c r="J26" s="81">
        <v>7000</v>
      </c>
      <c r="K26" s="79">
        <f t="shared" ref="K26" si="53">J26*I26</f>
        <v>0</v>
      </c>
      <c r="L26" s="96"/>
      <c r="M26" s="81">
        <v>5000</v>
      </c>
      <c r="N26" s="79">
        <f t="shared" ref="N26" si="54">L26*M26</f>
        <v>0</v>
      </c>
      <c r="O26" s="79">
        <f t="shared" ref="O26" si="55">E26+H26+N26+K26</f>
        <v>0</v>
      </c>
    </row>
    <row r="27" spans="1:15" ht="24" customHeight="1" x14ac:dyDescent="0.3">
      <c r="A27" s="66">
        <v>24</v>
      </c>
      <c r="B27" s="52">
        <v>46132</v>
      </c>
      <c r="C27" s="95">
        <v>1</v>
      </c>
      <c r="D27" s="81">
        <v>2500000</v>
      </c>
      <c r="E27" s="79">
        <f t="shared" si="0"/>
        <v>2500000</v>
      </c>
      <c r="F27" s="95">
        <v>2</v>
      </c>
      <c r="G27" s="80">
        <v>1800000</v>
      </c>
      <c r="H27" s="54">
        <f t="shared" si="5"/>
        <v>3600000</v>
      </c>
      <c r="I27" s="95"/>
      <c r="J27" s="81">
        <v>7000</v>
      </c>
      <c r="K27" s="79">
        <f t="shared" si="2"/>
        <v>0</v>
      </c>
      <c r="L27" s="96"/>
      <c r="M27" s="81">
        <v>5000</v>
      </c>
      <c r="N27" s="79">
        <f t="shared" si="3"/>
        <v>0</v>
      </c>
      <c r="O27" s="79">
        <f t="shared" si="4"/>
        <v>6100000</v>
      </c>
    </row>
    <row r="28" spans="1:15" ht="24" customHeight="1" x14ac:dyDescent="0.3">
      <c r="A28" s="66">
        <v>25</v>
      </c>
      <c r="B28" s="52">
        <v>46133</v>
      </c>
      <c r="C28" s="95">
        <v>1</v>
      </c>
      <c r="D28" s="81">
        <v>2500000</v>
      </c>
      <c r="E28" s="79">
        <f t="shared" si="0"/>
        <v>2500000</v>
      </c>
      <c r="F28" s="53">
        <v>1</v>
      </c>
      <c r="G28" s="80">
        <v>1800000</v>
      </c>
      <c r="H28" s="54">
        <f t="shared" si="1"/>
        <v>1800000</v>
      </c>
      <c r="I28" s="95"/>
      <c r="J28" s="81">
        <v>7000</v>
      </c>
      <c r="K28" s="79">
        <f t="shared" si="2"/>
        <v>0</v>
      </c>
      <c r="L28" s="96"/>
      <c r="M28" s="81">
        <v>5000</v>
      </c>
      <c r="N28" s="79">
        <f t="shared" si="3"/>
        <v>0</v>
      </c>
      <c r="O28" s="79">
        <f t="shared" si="4"/>
        <v>4300000</v>
      </c>
    </row>
    <row r="29" spans="1:15" ht="24" customHeight="1" x14ac:dyDescent="0.3">
      <c r="A29" s="66">
        <v>26</v>
      </c>
      <c r="B29" s="52">
        <v>46134</v>
      </c>
      <c r="C29" s="95">
        <v>1</v>
      </c>
      <c r="D29" s="81">
        <v>2500000</v>
      </c>
      <c r="E29" s="79">
        <f t="shared" ref="E29" si="56">D29*C29</f>
        <v>2500000</v>
      </c>
      <c r="F29" s="95">
        <v>1</v>
      </c>
      <c r="G29" s="80">
        <v>1800000</v>
      </c>
      <c r="H29" s="54">
        <f t="shared" ref="H29" si="57">G29*F29</f>
        <v>1800000</v>
      </c>
      <c r="I29" s="95"/>
      <c r="J29" s="81">
        <v>7000</v>
      </c>
      <c r="K29" s="79">
        <f t="shared" ref="K29" si="58">J29*I29</f>
        <v>0</v>
      </c>
      <c r="L29" s="96"/>
      <c r="M29" s="81">
        <v>5000</v>
      </c>
      <c r="N29" s="79">
        <f t="shared" ref="N29" si="59">L29*M29</f>
        <v>0</v>
      </c>
      <c r="O29" s="79">
        <f t="shared" ref="O29" si="60">E29+H29+N29+K29</f>
        <v>4300000</v>
      </c>
    </row>
    <row r="30" spans="1:15" ht="24" customHeight="1" x14ac:dyDescent="0.3">
      <c r="A30" s="66">
        <v>27</v>
      </c>
      <c r="B30" s="52">
        <v>46135</v>
      </c>
      <c r="C30" s="95">
        <v>0</v>
      </c>
      <c r="D30" s="81">
        <v>2500000</v>
      </c>
      <c r="E30" s="79">
        <f t="shared" ref="E30" si="61">D30*C30</f>
        <v>0</v>
      </c>
      <c r="F30" s="95">
        <v>2</v>
      </c>
      <c r="G30" s="80">
        <v>1800000</v>
      </c>
      <c r="H30" s="54">
        <f t="shared" ref="H30" si="62">G30*F30</f>
        <v>3600000</v>
      </c>
      <c r="I30" s="95"/>
      <c r="J30" s="81">
        <v>7000</v>
      </c>
      <c r="K30" s="79">
        <f t="shared" ref="K30" si="63">J30*I30</f>
        <v>0</v>
      </c>
      <c r="L30" s="96"/>
      <c r="M30" s="81">
        <v>5000</v>
      </c>
      <c r="N30" s="79">
        <f t="shared" ref="N30" si="64">L30*M30</f>
        <v>0</v>
      </c>
      <c r="O30" s="79">
        <f t="shared" ref="O30" si="65">E30+H30+N30+K30</f>
        <v>3600000</v>
      </c>
    </row>
    <row r="31" spans="1:15" ht="24" customHeight="1" x14ac:dyDescent="0.3">
      <c r="A31" s="66">
        <v>28</v>
      </c>
      <c r="B31" s="52">
        <v>46136</v>
      </c>
      <c r="C31" s="95">
        <v>1</v>
      </c>
      <c r="D31" s="81">
        <v>2500000</v>
      </c>
      <c r="E31" s="79">
        <f t="shared" ref="E31" si="66">D31*C31</f>
        <v>2500000</v>
      </c>
      <c r="F31" s="95">
        <v>1</v>
      </c>
      <c r="G31" s="80">
        <v>1800000</v>
      </c>
      <c r="H31" s="54">
        <f t="shared" ref="H31" si="67">G31*F31</f>
        <v>1800000</v>
      </c>
      <c r="I31" s="95"/>
      <c r="J31" s="81">
        <v>7000</v>
      </c>
      <c r="K31" s="79">
        <f t="shared" ref="K31" si="68">J31*I31</f>
        <v>0</v>
      </c>
      <c r="L31" s="96"/>
      <c r="M31" s="81">
        <v>5000</v>
      </c>
      <c r="N31" s="79">
        <f t="shared" ref="N31" si="69">L31*M31</f>
        <v>0</v>
      </c>
      <c r="O31" s="79">
        <f t="shared" ref="O31" si="70">E31+H31+N31+K31</f>
        <v>4300000</v>
      </c>
    </row>
    <row r="32" spans="1:15" ht="24" customHeight="1" x14ac:dyDescent="0.3">
      <c r="A32" s="66">
        <v>29</v>
      </c>
      <c r="B32" s="52">
        <v>46137</v>
      </c>
      <c r="C32" s="95">
        <v>1</v>
      </c>
      <c r="D32" s="81">
        <v>2500000</v>
      </c>
      <c r="E32" s="79">
        <f t="shared" si="0"/>
        <v>2500000</v>
      </c>
      <c r="F32" s="95">
        <v>2</v>
      </c>
      <c r="G32" s="80">
        <v>1800000</v>
      </c>
      <c r="H32" s="54">
        <f t="shared" si="1"/>
        <v>3600000</v>
      </c>
      <c r="I32" s="95"/>
      <c r="J32" s="81">
        <v>7000</v>
      </c>
      <c r="K32" s="79">
        <f t="shared" si="2"/>
        <v>0</v>
      </c>
      <c r="L32" s="96"/>
      <c r="M32" s="81">
        <v>5000</v>
      </c>
      <c r="N32" s="79">
        <f t="shared" si="3"/>
        <v>0</v>
      </c>
      <c r="O32" s="79">
        <f t="shared" si="4"/>
        <v>6100000</v>
      </c>
    </row>
    <row r="33" spans="1:15" ht="17" customHeight="1" x14ac:dyDescent="0.3">
      <c r="A33" s="119"/>
      <c r="B33" s="119"/>
      <c r="C33" s="100">
        <f>SUM(C4:C32)</f>
        <v>29</v>
      </c>
      <c r="D33" s="100"/>
      <c r="E33" s="101">
        <f>SUM(E4:E32)</f>
        <v>72500000</v>
      </c>
      <c r="F33" s="101">
        <f>SUM(F4:F32)</f>
        <v>41</v>
      </c>
      <c r="G33" s="101"/>
      <c r="H33" s="101">
        <f>SUM(H4:H32)</f>
        <v>73800000</v>
      </c>
      <c r="I33" s="101">
        <f>SUM(I4:I32)</f>
        <v>0</v>
      </c>
      <c r="J33" s="101"/>
      <c r="K33" s="101">
        <f>SUM(K4:K32)</f>
        <v>0</v>
      </c>
      <c r="L33" s="101">
        <f>SUM(L4:L32)</f>
        <v>0</v>
      </c>
      <c r="M33" s="101"/>
      <c r="N33" s="101">
        <f>SUM(N4:N32)</f>
        <v>0</v>
      </c>
      <c r="O33" s="101">
        <f>SUM(O4:O32)</f>
        <v>146300000</v>
      </c>
    </row>
    <row r="34" spans="1:15" ht="17" customHeight="1" x14ac:dyDescent="0.3">
      <c r="A34" s="120" t="s">
        <v>34</v>
      </c>
      <c r="B34" s="121"/>
      <c r="C34" s="121"/>
      <c r="D34" s="121"/>
      <c r="E34" s="122"/>
      <c r="F34" s="53"/>
      <c r="G34" s="103"/>
      <c r="H34" s="102"/>
      <c r="I34" s="102"/>
      <c r="J34" s="102"/>
      <c r="K34" s="102"/>
      <c r="L34" s="123" t="s">
        <v>34</v>
      </c>
      <c r="M34" s="123"/>
      <c r="N34" s="123"/>
      <c r="O34" s="123"/>
    </row>
    <row r="35" spans="1:15" ht="24" customHeight="1" x14ac:dyDescent="0.3">
      <c r="B35" s="118" t="s">
        <v>37</v>
      </c>
      <c r="C35" s="118"/>
      <c r="D35" s="118"/>
      <c r="E35" s="118"/>
      <c r="F35" s="37"/>
      <c r="G35" s="56"/>
      <c r="H35" s="37"/>
      <c r="I35" s="37"/>
      <c r="J35" s="37"/>
      <c r="K35" s="37"/>
      <c r="L35" s="118" t="s">
        <v>38</v>
      </c>
      <c r="M35" s="118"/>
      <c r="N35" s="118"/>
      <c r="O35" s="118"/>
    </row>
    <row r="41" spans="1:15" x14ac:dyDescent="0.3">
      <c r="N41" s="65"/>
    </row>
    <row r="42" spans="1:15" x14ac:dyDescent="0.3">
      <c r="N42" s="65"/>
    </row>
    <row r="43" spans="1:15" x14ac:dyDescent="0.3">
      <c r="B43" s="124" t="s">
        <v>51</v>
      </c>
      <c r="C43" s="124"/>
      <c r="D43" s="124"/>
      <c r="E43" s="124"/>
      <c r="N43" s="65"/>
    </row>
    <row r="45" spans="1:15" x14ac:dyDescent="0.3">
      <c r="E45" s="65"/>
    </row>
  </sheetData>
  <mergeCells count="12">
    <mergeCell ref="A3:B3"/>
    <mergeCell ref="A1:O1"/>
    <mergeCell ref="C2:E2"/>
    <mergeCell ref="F2:H2"/>
    <mergeCell ref="I2:K2"/>
    <mergeCell ref="L2:N2"/>
    <mergeCell ref="B43:E43"/>
    <mergeCell ref="A33:B33"/>
    <mergeCell ref="A34:E34"/>
    <mergeCell ref="L34:O34"/>
    <mergeCell ref="B35:E35"/>
    <mergeCell ref="L35:O35"/>
  </mergeCells>
  <pageMargins left="0.19" right="0.17" top="0.89500000000000002" bottom="0.75" header="0.3" footer="0.3"/>
  <pageSetup scale="78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F9951-6857-4CF4-B8C9-1DB3C0D6FB5F}">
  <dimension ref="A1:O36"/>
  <sheetViews>
    <sheetView topLeftCell="A13" zoomScale="80" zoomScaleNormal="80" zoomScaleSheetLayoutView="100" workbookViewId="0">
      <selection activeCell="O19" sqref="O19"/>
    </sheetView>
  </sheetViews>
  <sheetFormatPr defaultColWidth="9.36328125" defaultRowHeight="12" x14ac:dyDescent="0.3"/>
  <cols>
    <col min="1" max="1" width="5.7265625" style="32" customWidth="1"/>
    <col min="2" max="3" width="9.36328125" style="32" customWidth="1"/>
    <col min="4" max="4" width="16.453125" style="32" customWidth="1"/>
    <col min="5" max="5" width="15.90625" style="32" customWidth="1"/>
    <col min="6" max="6" width="8.1796875" style="32" customWidth="1"/>
    <col min="7" max="7" width="17.36328125" style="38" customWidth="1"/>
    <col min="8" max="8" width="16.6328125" style="32" customWidth="1"/>
    <col min="9" max="9" width="8.36328125" style="32" customWidth="1"/>
    <col min="10" max="10" width="11.453125" style="32" customWidth="1"/>
    <col min="11" max="11" width="11.6328125" style="32" customWidth="1"/>
    <col min="12" max="12" width="7.54296875" style="32" customWidth="1"/>
    <col min="13" max="13" width="16.26953125" style="32" customWidth="1"/>
    <col min="14" max="14" width="15.81640625" style="32" customWidth="1"/>
    <col min="15" max="15" width="18.36328125" style="32" customWidth="1"/>
    <col min="16" max="16384" width="9.36328125" style="32"/>
  </cols>
  <sheetData>
    <row r="1" spans="1:15" ht="29.5" customHeight="1" x14ac:dyDescent="0.3">
      <c r="A1" s="113" t="s">
        <v>62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</row>
    <row r="2" spans="1:15" ht="19.5" customHeight="1" x14ac:dyDescent="0.3">
      <c r="A2" s="39" t="s">
        <v>21</v>
      </c>
      <c r="B2" s="40" t="s">
        <v>22</v>
      </c>
      <c r="C2" s="114" t="s">
        <v>23</v>
      </c>
      <c r="D2" s="114"/>
      <c r="E2" s="114"/>
      <c r="F2" s="114" t="s">
        <v>24</v>
      </c>
      <c r="G2" s="114"/>
      <c r="H2" s="114"/>
      <c r="I2" s="115" t="s">
        <v>25</v>
      </c>
      <c r="J2" s="116"/>
      <c r="K2" s="117"/>
      <c r="L2" s="114" t="s">
        <v>26</v>
      </c>
      <c r="M2" s="114"/>
      <c r="N2" s="114"/>
      <c r="O2" s="41" t="s">
        <v>27</v>
      </c>
    </row>
    <row r="3" spans="1:15" ht="21.5" customHeight="1" x14ac:dyDescent="0.3">
      <c r="A3" s="112" t="s">
        <v>28</v>
      </c>
      <c r="B3" s="112"/>
      <c r="C3" s="88" t="s">
        <v>29</v>
      </c>
      <c r="D3" s="89" t="s">
        <v>30</v>
      </c>
      <c r="E3" s="90" t="s">
        <v>31</v>
      </c>
      <c r="F3" s="91" t="s">
        <v>29</v>
      </c>
      <c r="G3" s="92" t="s">
        <v>30</v>
      </c>
      <c r="H3" s="90" t="s">
        <v>32</v>
      </c>
      <c r="I3" s="93" t="s">
        <v>29</v>
      </c>
      <c r="J3" s="89" t="s">
        <v>30</v>
      </c>
      <c r="K3" s="90" t="s">
        <v>32</v>
      </c>
      <c r="L3" s="93" t="s">
        <v>33</v>
      </c>
      <c r="M3" s="89" t="s">
        <v>30</v>
      </c>
      <c r="N3" s="90" t="s">
        <v>32</v>
      </c>
      <c r="O3" s="94"/>
    </row>
    <row r="4" spans="1:15" ht="22" customHeight="1" x14ac:dyDescent="0.3">
      <c r="A4" s="66">
        <v>1</v>
      </c>
      <c r="B4" s="52">
        <v>46140</v>
      </c>
      <c r="C4" s="95">
        <v>1</v>
      </c>
      <c r="D4" s="81">
        <v>2500000</v>
      </c>
      <c r="E4" s="79">
        <f t="shared" ref="E4:E26" si="0">D4*C4</f>
        <v>2500000</v>
      </c>
      <c r="F4" s="95">
        <v>1</v>
      </c>
      <c r="G4" s="80">
        <v>1800000</v>
      </c>
      <c r="H4" s="54">
        <f t="shared" ref="H4:H26" si="1">G4*F4</f>
        <v>1800000</v>
      </c>
      <c r="I4" s="95"/>
      <c r="J4" s="81">
        <v>7000</v>
      </c>
      <c r="K4" s="79">
        <f t="shared" ref="K4:K26" si="2">J4*I4</f>
        <v>0</v>
      </c>
      <c r="L4" s="96"/>
      <c r="M4" s="81">
        <v>5000</v>
      </c>
      <c r="N4" s="79">
        <f t="shared" ref="N4:N26" si="3">L4*M4</f>
        <v>0</v>
      </c>
      <c r="O4" s="79">
        <f t="shared" ref="O4:O26" si="4">E4+H4+N4+K4</f>
        <v>4300000</v>
      </c>
    </row>
    <row r="5" spans="1:15" ht="22" customHeight="1" x14ac:dyDescent="0.3">
      <c r="A5" s="66">
        <v>2</v>
      </c>
      <c r="B5" s="52">
        <v>46141</v>
      </c>
      <c r="C5" s="95">
        <v>0</v>
      </c>
      <c r="D5" s="81">
        <v>2500000</v>
      </c>
      <c r="E5" s="79">
        <f>D5*C5</f>
        <v>0</v>
      </c>
      <c r="F5" s="95">
        <v>1</v>
      </c>
      <c r="G5" s="80">
        <v>1800000</v>
      </c>
      <c r="H5" s="54">
        <f t="shared" si="1"/>
        <v>1800000</v>
      </c>
      <c r="I5" s="95"/>
      <c r="J5" s="81">
        <v>7000</v>
      </c>
      <c r="K5" s="79">
        <f t="shared" si="2"/>
        <v>0</v>
      </c>
      <c r="L5" s="96"/>
      <c r="M5" s="81">
        <v>5000</v>
      </c>
      <c r="N5" s="79">
        <f t="shared" si="3"/>
        <v>0</v>
      </c>
      <c r="O5" s="79">
        <f t="shared" si="4"/>
        <v>1800000</v>
      </c>
    </row>
    <row r="6" spans="1:15" ht="22" customHeight="1" x14ac:dyDescent="0.3">
      <c r="A6" s="66">
        <v>3</v>
      </c>
      <c r="B6" s="52">
        <v>46144</v>
      </c>
      <c r="C6" s="95">
        <v>1</v>
      </c>
      <c r="D6" s="81">
        <v>2500000</v>
      </c>
      <c r="E6" s="79">
        <f t="shared" si="0"/>
        <v>2500000</v>
      </c>
      <c r="F6" s="95">
        <v>1</v>
      </c>
      <c r="G6" s="80">
        <v>1800000</v>
      </c>
      <c r="H6" s="54">
        <f t="shared" si="1"/>
        <v>1800000</v>
      </c>
      <c r="I6" s="95"/>
      <c r="J6" s="81">
        <v>7000</v>
      </c>
      <c r="K6" s="79">
        <f t="shared" si="2"/>
        <v>0</v>
      </c>
      <c r="L6" s="96"/>
      <c r="M6" s="81">
        <v>5000</v>
      </c>
      <c r="N6" s="79">
        <f t="shared" si="3"/>
        <v>0</v>
      </c>
      <c r="O6" s="79">
        <f t="shared" si="4"/>
        <v>4300000</v>
      </c>
    </row>
    <row r="7" spans="1:15" ht="22" customHeight="1" x14ac:dyDescent="0.3">
      <c r="A7" s="66">
        <v>4</v>
      </c>
      <c r="B7" s="52">
        <v>46146</v>
      </c>
      <c r="C7" s="95">
        <v>1</v>
      </c>
      <c r="D7" s="81">
        <v>2500000</v>
      </c>
      <c r="E7" s="79">
        <f t="shared" si="0"/>
        <v>2500000</v>
      </c>
      <c r="F7" s="95">
        <v>0</v>
      </c>
      <c r="G7" s="80">
        <v>1800000</v>
      </c>
      <c r="H7" s="54">
        <f t="shared" si="1"/>
        <v>0</v>
      </c>
      <c r="I7" s="95"/>
      <c r="J7" s="81">
        <v>7000</v>
      </c>
      <c r="K7" s="79">
        <f t="shared" si="2"/>
        <v>0</v>
      </c>
      <c r="L7" s="96"/>
      <c r="M7" s="81">
        <v>5000</v>
      </c>
      <c r="N7" s="79">
        <f t="shared" si="3"/>
        <v>0</v>
      </c>
      <c r="O7" s="79">
        <f>E7+H7+N7+K7</f>
        <v>2500000</v>
      </c>
    </row>
    <row r="8" spans="1:15" ht="22" customHeight="1" x14ac:dyDescent="0.3">
      <c r="A8" s="66">
        <v>5</v>
      </c>
      <c r="B8" s="52">
        <v>46147</v>
      </c>
      <c r="C8" s="95">
        <v>1</v>
      </c>
      <c r="D8" s="81">
        <v>2500000</v>
      </c>
      <c r="E8" s="79">
        <f t="shared" si="0"/>
        <v>2500000</v>
      </c>
      <c r="F8" s="95">
        <v>2</v>
      </c>
      <c r="G8" s="80">
        <v>1800000</v>
      </c>
      <c r="H8" s="54">
        <f t="shared" si="1"/>
        <v>3600000</v>
      </c>
      <c r="I8" s="95"/>
      <c r="J8" s="81">
        <v>7000</v>
      </c>
      <c r="K8" s="79">
        <f t="shared" si="2"/>
        <v>0</v>
      </c>
      <c r="L8" s="96"/>
      <c r="M8" s="81">
        <v>5000</v>
      </c>
      <c r="N8" s="79">
        <f t="shared" si="3"/>
        <v>0</v>
      </c>
      <c r="O8" s="79">
        <f t="shared" si="4"/>
        <v>6100000</v>
      </c>
    </row>
    <row r="9" spans="1:15" ht="22" customHeight="1" x14ac:dyDescent="0.3">
      <c r="A9" s="66">
        <v>6</v>
      </c>
      <c r="B9" s="52">
        <v>46148</v>
      </c>
      <c r="C9" s="95">
        <v>1</v>
      </c>
      <c r="D9" s="81">
        <v>2500000</v>
      </c>
      <c r="E9" s="79">
        <f t="shared" si="0"/>
        <v>2500000</v>
      </c>
      <c r="F9" s="95">
        <v>1</v>
      </c>
      <c r="G9" s="80">
        <v>1800000</v>
      </c>
      <c r="H9" s="54">
        <f t="shared" si="1"/>
        <v>1800000</v>
      </c>
      <c r="I9" s="95"/>
      <c r="J9" s="81">
        <v>7000</v>
      </c>
      <c r="K9" s="79">
        <f t="shared" si="2"/>
        <v>0</v>
      </c>
      <c r="L9" s="96"/>
      <c r="M9" s="81">
        <v>5000</v>
      </c>
      <c r="N9" s="79">
        <f t="shared" si="3"/>
        <v>0</v>
      </c>
      <c r="O9" s="79">
        <f t="shared" si="4"/>
        <v>4300000</v>
      </c>
    </row>
    <row r="10" spans="1:15" ht="22" customHeight="1" x14ac:dyDescent="0.3">
      <c r="A10" s="66">
        <v>7</v>
      </c>
      <c r="B10" s="52">
        <v>46149</v>
      </c>
      <c r="C10" s="95">
        <v>1</v>
      </c>
      <c r="D10" s="81">
        <v>2500000</v>
      </c>
      <c r="E10" s="79">
        <f t="shared" si="0"/>
        <v>2500000</v>
      </c>
      <c r="F10" s="95">
        <v>2</v>
      </c>
      <c r="G10" s="80">
        <v>1800000</v>
      </c>
      <c r="H10" s="54">
        <f t="shared" si="1"/>
        <v>3600000</v>
      </c>
      <c r="I10" s="95"/>
      <c r="J10" s="81">
        <v>7000</v>
      </c>
      <c r="K10" s="79">
        <f t="shared" si="2"/>
        <v>0</v>
      </c>
      <c r="L10" s="96"/>
      <c r="M10" s="81">
        <v>5000</v>
      </c>
      <c r="N10" s="79">
        <f t="shared" si="3"/>
        <v>0</v>
      </c>
      <c r="O10" s="79">
        <f t="shared" si="4"/>
        <v>6100000</v>
      </c>
    </row>
    <row r="11" spans="1:15" ht="22" customHeight="1" x14ac:dyDescent="0.3">
      <c r="A11" s="66">
        <v>8</v>
      </c>
      <c r="B11" s="52">
        <v>46150</v>
      </c>
      <c r="C11" s="95">
        <v>1</v>
      </c>
      <c r="D11" s="81">
        <v>2500000</v>
      </c>
      <c r="E11" s="79">
        <f t="shared" si="0"/>
        <v>2500000</v>
      </c>
      <c r="F11" s="95">
        <v>1</v>
      </c>
      <c r="G11" s="80">
        <v>1800000</v>
      </c>
      <c r="H11" s="54">
        <f t="shared" si="1"/>
        <v>1800000</v>
      </c>
      <c r="I11" s="95"/>
      <c r="J11" s="81">
        <v>7000</v>
      </c>
      <c r="K11" s="79">
        <f t="shared" si="2"/>
        <v>0</v>
      </c>
      <c r="L11" s="96"/>
      <c r="M11" s="81">
        <v>5000</v>
      </c>
      <c r="N11" s="79">
        <f t="shared" si="3"/>
        <v>0</v>
      </c>
      <c r="O11" s="79">
        <f t="shared" si="4"/>
        <v>4300000</v>
      </c>
    </row>
    <row r="12" spans="1:15" ht="22" customHeight="1" x14ac:dyDescent="0.3">
      <c r="A12" s="66">
        <v>9</v>
      </c>
      <c r="B12" s="52">
        <v>46151</v>
      </c>
      <c r="C12" s="95">
        <v>1</v>
      </c>
      <c r="D12" s="81">
        <v>2500000</v>
      </c>
      <c r="E12" s="79">
        <f t="shared" si="0"/>
        <v>2500000</v>
      </c>
      <c r="F12" s="53">
        <v>2</v>
      </c>
      <c r="G12" s="80">
        <v>1800000</v>
      </c>
      <c r="H12" s="54">
        <f t="shared" si="1"/>
        <v>3600000</v>
      </c>
      <c r="I12" s="95"/>
      <c r="J12" s="81">
        <v>7000</v>
      </c>
      <c r="K12" s="79">
        <f t="shared" si="2"/>
        <v>0</v>
      </c>
      <c r="L12" s="96"/>
      <c r="M12" s="81">
        <v>5000</v>
      </c>
      <c r="N12" s="79">
        <f t="shared" si="3"/>
        <v>0</v>
      </c>
      <c r="O12" s="79">
        <f t="shared" si="4"/>
        <v>6100000</v>
      </c>
    </row>
    <row r="13" spans="1:15" ht="22" customHeight="1" x14ac:dyDescent="0.3">
      <c r="A13" s="66">
        <v>10</v>
      </c>
      <c r="B13" s="52">
        <v>46153</v>
      </c>
      <c r="C13" s="95">
        <v>1</v>
      </c>
      <c r="D13" s="81">
        <v>2500000</v>
      </c>
      <c r="E13" s="79">
        <f t="shared" si="0"/>
        <v>2500000</v>
      </c>
      <c r="F13" s="53">
        <v>1</v>
      </c>
      <c r="G13" s="80">
        <v>1800000</v>
      </c>
      <c r="H13" s="54">
        <f t="shared" si="1"/>
        <v>1800000</v>
      </c>
      <c r="I13" s="95"/>
      <c r="J13" s="81">
        <v>7000</v>
      </c>
      <c r="K13" s="79">
        <f t="shared" si="2"/>
        <v>0</v>
      </c>
      <c r="L13" s="96"/>
      <c r="M13" s="81">
        <v>5000</v>
      </c>
      <c r="N13" s="79">
        <f t="shared" si="3"/>
        <v>0</v>
      </c>
      <c r="O13" s="79">
        <f t="shared" si="4"/>
        <v>4300000</v>
      </c>
    </row>
    <row r="14" spans="1:15" ht="22" customHeight="1" x14ac:dyDescent="0.3">
      <c r="A14" s="66">
        <v>11</v>
      </c>
      <c r="B14" s="52">
        <v>46154</v>
      </c>
      <c r="C14" s="95">
        <v>1</v>
      </c>
      <c r="D14" s="81">
        <v>2500000</v>
      </c>
      <c r="E14" s="79">
        <f t="shared" si="0"/>
        <v>2500000</v>
      </c>
      <c r="F14" s="53">
        <v>1</v>
      </c>
      <c r="G14" s="80">
        <v>1800000</v>
      </c>
      <c r="H14" s="54">
        <f t="shared" si="1"/>
        <v>1800000</v>
      </c>
      <c r="I14" s="95"/>
      <c r="J14" s="81">
        <v>7000</v>
      </c>
      <c r="K14" s="79">
        <f t="shared" si="2"/>
        <v>0</v>
      </c>
      <c r="L14" s="96"/>
      <c r="M14" s="81">
        <v>5000</v>
      </c>
      <c r="N14" s="79">
        <f t="shared" si="3"/>
        <v>0</v>
      </c>
      <c r="O14" s="79">
        <f t="shared" si="4"/>
        <v>4300000</v>
      </c>
    </row>
    <row r="15" spans="1:15" ht="22" customHeight="1" x14ac:dyDescent="0.3">
      <c r="A15" s="66">
        <v>12</v>
      </c>
      <c r="B15" s="52">
        <v>46155</v>
      </c>
      <c r="C15" s="95">
        <v>1</v>
      </c>
      <c r="D15" s="81">
        <v>2500000</v>
      </c>
      <c r="E15" s="79">
        <f t="shared" si="0"/>
        <v>2500000</v>
      </c>
      <c r="F15" s="53">
        <v>2</v>
      </c>
      <c r="G15" s="80">
        <v>1800000</v>
      </c>
      <c r="H15" s="54">
        <f t="shared" si="1"/>
        <v>3600000</v>
      </c>
      <c r="I15" s="95"/>
      <c r="J15" s="81">
        <v>7000</v>
      </c>
      <c r="K15" s="79">
        <f t="shared" si="2"/>
        <v>0</v>
      </c>
      <c r="L15" s="96"/>
      <c r="M15" s="81">
        <v>5000</v>
      </c>
      <c r="N15" s="79">
        <f t="shared" si="3"/>
        <v>0</v>
      </c>
      <c r="O15" s="79">
        <f t="shared" si="4"/>
        <v>6100000</v>
      </c>
    </row>
    <row r="16" spans="1:15" ht="22" customHeight="1" x14ac:dyDescent="0.3">
      <c r="A16" s="66">
        <v>13</v>
      </c>
      <c r="B16" s="52">
        <v>46156</v>
      </c>
      <c r="C16" s="95">
        <v>1</v>
      </c>
      <c r="D16" s="81">
        <v>2500000</v>
      </c>
      <c r="E16" s="79">
        <f t="shared" si="0"/>
        <v>2500000</v>
      </c>
      <c r="F16" s="53">
        <v>1</v>
      </c>
      <c r="G16" s="80">
        <v>1800000</v>
      </c>
      <c r="H16" s="54">
        <f t="shared" si="1"/>
        <v>1800000</v>
      </c>
      <c r="I16" s="95"/>
      <c r="J16" s="81">
        <v>7000</v>
      </c>
      <c r="K16" s="79">
        <f t="shared" si="2"/>
        <v>0</v>
      </c>
      <c r="L16" s="96"/>
      <c r="M16" s="81">
        <v>5000</v>
      </c>
      <c r="N16" s="79">
        <f t="shared" si="3"/>
        <v>0</v>
      </c>
      <c r="O16" s="79">
        <f t="shared" si="4"/>
        <v>4300000</v>
      </c>
    </row>
    <row r="17" spans="1:15" ht="22" customHeight="1" x14ac:dyDescent="0.3">
      <c r="A17" s="66">
        <v>14</v>
      </c>
      <c r="B17" s="52">
        <v>46157</v>
      </c>
      <c r="C17" s="95">
        <v>1</v>
      </c>
      <c r="D17" s="81">
        <v>2500000</v>
      </c>
      <c r="E17" s="79">
        <f t="shared" si="0"/>
        <v>2500000</v>
      </c>
      <c r="F17" s="95">
        <v>2</v>
      </c>
      <c r="G17" s="80">
        <v>1800000</v>
      </c>
      <c r="H17" s="54">
        <f t="shared" si="1"/>
        <v>3600000</v>
      </c>
      <c r="I17" s="95"/>
      <c r="J17" s="81">
        <v>7000</v>
      </c>
      <c r="K17" s="79">
        <f t="shared" si="2"/>
        <v>0</v>
      </c>
      <c r="L17" s="96"/>
      <c r="M17" s="81">
        <v>5000</v>
      </c>
      <c r="N17" s="79">
        <f t="shared" si="3"/>
        <v>0</v>
      </c>
      <c r="O17" s="79">
        <f t="shared" si="4"/>
        <v>6100000</v>
      </c>
    </row>
    <row r="18" spans="1:15" ht="22" customHeight="1" x14ac:dyDescent="0.3">
      <c r="A18" s="66">
        <v>15</v>
      </c>
      <c r="B18" s="52">
        <v>46158</v>
      </c>
      <c r="C18" s="95">
        <v>1</v>
      </c>
      <c r="D18" s="81">
        <v>2500000</v>
      </c>
      <c r="E18" s="79">
        <f t="shared" si="0"/>
        <v>2500000</v>
      </c>
      <c r="F18" s="95">
        <v>2</v>
      </c>
      <c r="G18" s="80">
        <v>1800000</v>
      </c>
      <c r="H18" s="54">
        <f t="shared" si="1"/>
        <v>3600000</v>
      </c>
      <c r="I18" s="95"/>
      <c r="J18" s="81">
        <v>7000</v>
      </c>
      <c r="K18" s="79">
        <f t="shared" si="2"/>
        <v>0</v>
      </c>
      <c r="L18" s="96"/>
      <c r="M18" s="81">
        <v>5000</v>
      </c>
      <c r="N18" s="79">
        <f t="shared" si="3"/>
        <v>0</v>
      </c>
      <c r="O18" s="79">
        <f t="shared" si="4"/>
        <v>6100000</v>
      </c>
    </row>
    <row r="19" spans="1:15" ht="22" customHeight="1" x14ac:dyDescent="0.3">
      <c r="A19" s="66">
        <v>16</v>
      </c>
      <c r="B19" s="52">
        <v>46159</v>
      </c>
      <c r="C19" s="95">
        <v>1</v>
      </c>
      <c r="D19" s="81">
        <v>2500000</v>
      </c>
      <c r="E19" s="79">
        <f t="shared" ref="E19" si="5">D19*C19</f>
        <v>2500000</v>
      </c>
      <c r="F19" s="95">
        <v>0</v>
      </c>
      <c r="G19" s="80">
        <v>1800000</v>
      </c>
      <c r="H19" s="54">
        <f t="shared" ref="H19" si="6">G19*F19</f>
        <v>0</v>
      </c>
      <c r="I19" s="95"/>
      <c r="J19" s="81">
        <v>7000</v>
      </c>
      <c r="K19" s="79">
        <f t="shared" ref="K19" si="7">J19*I19</f>
        <v>0</v>
      </c>
      <c r="L19" s="96"/>
      <c r="M19" s="81">
        <v>5000</v>
      </c>
      <c r="N19" s="79">
        <f t="shared" ref="N19" si="8">L19*M19</f>
        <v>0</v>
      </c>
      <c r="O19" s="79">
        <f t="shared" ref="O19" si="9">E19+H19+N19+K19</f>
        <v>2500000</v>
      </c>
    </row>
    <row r="20" spans="1:15" ht="22" customHeight="1" x14ac:dyDescent="0.3">
      <c r="A20" s="66">
        <v>17</v>
      </c>
      <c r="B20" s="52">
        <v>46160</v>
      </c>
      <c r="C20" s="95">
        <v>1</v>
      </c>
      <c r="D20" s="81">
        <v>2500000</v>
      </c>
      <c r="E20" s="79">
        <f t="shared" si="0"/>
        <v>2500000</v>
      </c>
      <c r="F20" s="95">
        <v>2</v>
      </c>
      <c r="G20" s="80">
        <v>1800000</v>
      </c>
      <c r="H20" s="54">
        <f t="shared" si="1"/>
        <v>3600000</v>
      </c>
      <c r="I20" s="95"/>
      <c r="J20" s="81">
        <v>7000</v>
      </c>
      <c r="K20" s="79">
        <f t="shared" si="2"/>
        <v>0</v>
      </c>
      <c r="L20" s="96"/>
      <c r="M20" s="81">
        <v>5000</v>
      </c>
      <c r="N20" s="79">
        <f t="shared" si="3"/>
        <v>0</v>
      </c>
      <c r="O20" s="79">
        <f t="shared" si="4"/>
        <v>6100000</v>
      </c>
    </row>
    <row r="21" spans="1:15" ht="22" customHeight="1" x14ac:dyDescent="0.3">
      <c r="A21" s="66">
        <v>18</v>
      </c>
      <c r="B21" s="52">
        <v>46161</v>
      </c>
      <c r="C21" s="95">
        <v>1</v>
      </c>
      <c r="D21" s="81">
        <v>2500000</v>
      </c>
      <c r="E21" s="79">
        <f t="shared" si="0"/>
        <v>2500000</v>
      </c>
      <c r="F21" s="95">
        <v>1</v>
      </c>
      <c r="G21" s="80">
        <v>1800000</v>
      </c>
      <c r="H21" s="54">
        <f t="shared" si="1"/>
        <v>1800000</v>
      </c>
      <c r="I21" s="95"/>
      <c r="J21" s="81">
        <v>7000</v>
      </c>
      <c r="K21" s="79">
        <f t="shared" si="2"/>
        <v>0</v>
      </c>
      <c r="L21" s="96"/>
      <c r="M21" s="81">
        <v>5000</v>
      </c>
      <c r="N21" s="79">
        <f t="shared" si="3"/>
        <v>0</v>
      </c>
      <c r="O21" s="79">
        <f t="shared" si="4"/>
        <v>4300000</v>
      </c>
    </row>
    <row r="22" spans="1:15" ht="22" customHeight="1" x14ac:dyDescent="0.3">
      <c r="A22" s="66">
        <v>19</v>
      </c>
      <c r="B22" s="52">
        <v>46162</v>
      </c>
      <c r="C22" s="95">
        <v>1</v>
      </c>
      <c r="D22" s="81">
        <v>2500000</v>
      </c>
      <c r="E22" s="79">
        <f t="shared" si="0"/>
        <v>2500000</v>
      </c>
      <c r="F22" s="95">
        <v>1</v>
      </c>
      <c r="G22" s="80">
        <v>1800000</v>
      </c>
      <c r="H22" s="54">
        <f t="shared" si="1"/>
        <v>1800000</v>
      </c>
      <c r="I22" s="95"/>
      <c r="J22" s="81">
        <v>7000</v>
      </c>
      <c r="K22" s="79">
        <f t="shared" si="2"/>
        <v>0</v>
      </c>
      <c r="L22" s="96"/>
      <c r="M22" s="81">
        <v>5000</v>
      </c>
      <c r="N22" s="79">
        <f t="shared" si="3"/>
        <v>0</v>
      </c>
      <c r="O22" s="79">
        <f t="shared" si="4"/>
        <v>4300000</v>
      </c>
    </row>
    <row r="23" spans="1:15" ht="22" customHeight="1" x14ac:dyDescent="0.3">
      <c r="A23" s="66">
        <v>20</v>
      </c>
      <c r="B23" s="52">
        <v>46163</v>
      </c>
      <c r="C23" s="95">
        <v>2</v>
      </c>
      <c r="D23" s="81">
        <v>2500000</v>
      </c>
      <c r="E23" s="79">
        <f t="shared" si="0"/>
        <v>5000000</v>
      </c>
      <c r="F23" s="95">
        <v>2</v>
      </c>
      <c r="G23" s="80">
        <v>1800000</v>
      </c>
      <c r="H23" s="54">
        <f t="shared" si="1"/>
        <v>3600000</v>
      </c>
      <c r="I23" s="95"/>
      <c r="J23" s="81">
        <v>7000</v>
      </c>
      <c r="K23" s="79">
        <f t="shared" si="2"/>
        <v>0</v>
      </c>
      <c r="L23" s="96"/>
      <c r="M23" s="81">
        <v>5000</v>
      </c>
      <c r="N23" s="79">
        <f t="shared" si="3"/>
        <v>0</v>
      </c>
      <c r="O23" s="79">
        <f t="shared" si="4"/>
        <v>8600000</v>
      </c>
    </row>
    <row r="24" spans="1:15" ht="22" customHeight="1" x14ac:dyDescent="0.3">
      <c r="A24" s="66">
        <v>21</v>
      </c>
      <c r="B24" s="52">
        <v>46164</v>
      </c>
      <c r="C24" s="95">
        <v>1</v>
      </c>
      <c r="D24" s="81">
        <v>2500000</v>
      </c>
      <c r="E24" s="79">
        <f t="shared" si="0"/>
        <v>2500000</v>
      </c>
      <c r="F24" s="95">
        <v>2</v>
      </c>
      <c r="G24" s="80">
        <v>1800000</v>
      </c>
      <c r="H24" s="54">
        <f t="shared" si="1"/>
        <v>3600000</v>
      </c>
      <c r="I24" s="95"/>
      <c r="J24" s="81">
        <v>7000</v>
      </c>
      <c r="K24" s="79">
        <f t="shared" si="2"/>
        <v>0</v>
      </c>
      <c r="L24" s="96"/>
      <c r="M24" s="81">
        <v>5000</v>
      </c>
      <c r="N24" s="79">
        <f t="shared" si="3"/>
        <v>0</v>
      </c>
      <c r="O24" s="79">
        <f t="shared" si="4"/>
        <v>6100000</v>
      </c>
    </row>
    <row r="25" spans="1:15" ht="22" customHeight="1" x14ac:dyDescent="0.3">
      <c r="A25" s="66">
        <v>22</v>
      </c>
      <c r="B25" s="52">
        <v>46165</v>
      </c>
      <c r="C25" s="95">
        <v>1</v>
      </c>
      <c r="D25" s="81">
        <v>2500000</v>
      </c>
      <c r="E25" s="79">
        <f t="shared" si="0"/>
        <v>2500000</v>
      </c>
      <c r="F25" s="95">
        <v>1</v>
      </c>
      <c r="G25" s="80">
        <v>1800000</v>
      </c>
      <c r="H25" s="54">
        <f t="shared" si="1"/>
        <v>1800000</v>
      </c>
      <c r="I25" s="95"/>
      <c r="J25" s="81">
        <v>7000</v>
      </c>
      <c r="K25" s="79">
        <f t="shared" si="2"/>
        <v>0</v>
      </c>
      <c r="L25" s="96"/>
      <c r="M25" s="81">
        <v>5000</v>
      </c>
      <c r="N25" s="79">
        <f t="shared" si="3"/>
        <v>0</v>
      </c>
      <c r="O25" s="79">
        <f t="shared" si="4"/>
        <v>4300000</v>
      </c>
    </row>
    <row r="26" spans="1:15" ht="22" customHeight="1" x14ac:dyDescent="0.3">
      <c r="A26" s="66">
        <v>23</v>
      </c>
      <c r="B26" s="52">
        <v>46167</v>
      </c>
      <c r="C26" s="95">
        <v>2</v>
      </c>
      <c r="D26" s="81">
        <v>2500000</v>
      </c>
      <c r="E26" s="79">
        <f t="shared" si="0"/>
        <v>5000000</v>
      </c>
      <c r="F26" s="95">
        <v>2</v>
      </c>
      <c r="G26" s="80">
        <v>1800000</v>
      </c>
      <c r="H26" s="54">
        <f t="shared" si="1"/>
        <v>3600000</v>
      </c>
      <c r="I26" s="95"/>
      <c r="J26" s="81">
        <v>7000</v>
      </c>
      <c r="K26" s="79">
        <f t="shared" si="2"/>
        <v>0</v>
      </c>
      <c r="L26" s="96"/>
      <c r="M26" s="81">
        <v>5000</v>
      </c>
      <c r="N26" s="79">
        <f t="shared" si="3"/>
        <v>0</v>
      </c>
      <c r="O26" s="79">
        <f t="shared" si="4"/>
        <v>8600000</v>
      </c>
    </row>
    <row r="27" spans="1:15" ht="17" customHeight="1" x14ac:dyDescent="0.3">
      <c r="A27" s="119"/>
      <c r="B27" s="119"/>
      <c r="C27" s="100">
        <f>SUM(C4:C26)</f>
        <v>24</v>
      </c>
      <c r="D27" s="100"/>
      <c r="E27" s="101">
        <f>SUM(E4:E26)</f>
        <v>60000000</v>
      </c>
      <c r="F27" s="101">
        <f>SUM(F4:F26)</f>
        <v>31</v>
      </c>
      <c r="G27" s="101"/>
      <c r="H27" s="101">
        <f>SUM(H4:H26)</f>
        <v>55800000</v>
      </c>
      <c r="I27" s="101">
        <f>SUM(I4:I26)</f>
        <v>0</v>
      </c>
      <c r="J27" s="101"/>
      <c r="K27" s="101">
        <f>SUM(K4:K26)</f>
        <v>0</v>
      </c>
      <c r="L27" s="101">
        <f>SUM(L4:L26)</f>
        <v>0</v>
      </c>
      <c r="M27" s="101"/>
      <c r="N27" s="101">
        <f>SUM(N4:N26)</f>
        <v>0</v>
      </c>
      <c r="O27" s="101">
        <f>SUM(O4:O26)</f>
        <v>115800000</v>
      </c>
    </row>
    <row r="28" spans="1:15" ht="17" customHeight="1" x14ac:dyDescent="0.3">
      <c r="A28" s="120" t="s">
        <v>34</v>
      </c>
      <c r="B28" s="121"/>
      <c r="C28" s="121"/>
      <c r="D28" s="121"/>
      <c r="E28" s="122"/>
      <c r="F28" s="53"/>
      <c r="G28" s="103"/>
      <c r="H28" s="102"/>
      <c r="I28" s="102"/>
      <c r="J28" s="102"/>
      <c r="K28" s="102"/>
      <c r="L28" s="123" t="s">
        <v>34</v>
      </c>
      <c r="M28" s="123"/>
      <c r="N28" s="123"/>
      <c r="O28" s="123"/>
    </row>
    <row r="29" spans="1:15" ht="24" customHeight="1" x14ac:dyDescent="0.3">
      <c r="B29" s="118" t="s">
        <v>37</v>
      </c>
      <c r="C29" s="118"/>
      <c r="D29" s="118"/>
      <c r="E29" s="118"/>
      <c r="F29" s="37"/>
      <c r="G29" s="56"/>
      <c r="H29" s="37"/>
      <c r="I29" s="37"/>
      <c r="J29" s="37"/>
      <c r="K29" s="37"/>
      <c r="L29" s="118" t="s">
        <v>38</v>
      </c>
      <c r="M29" s="118"/>
      <c r="N29" s="118"/>
      <c r="O29" s="118"/>
    </row>
    <row r="32" spans="1:15" x14ac:dyDescent="0.3">
      <c r="N32" s="65"/>
    </row>
    <row r="33" spans="2:14" x14ac:dyDescent="0.3">
      <c r="N33" s="65"/>
    </row>
    <row r="34" spans="2:14" x14ac:dyDescent="0.3">
      <c r="B34" s="124"/>
      <c r="C34" s="124"/>
      <c r="D34" s="124"/>
      <c r="E34" s="124"/>
      <c r="N34" s="65"/>
    </row>
    <row r="36" spans="2:14" x14ac:dyDescent="0.3">
      <c r="E36" s="65"/>
    </row>
  </sheetData>
  <mergeCells count="12">
    <mergeCell ref="B34:E34"/>
    <mergeCell ref="A1:O1"/>
    <mergeCell ref="C2:E2"/>
    <mergeCell ref="F2:H2"/>
    <mergeCell ref="I2:K2"/>
    <mergeCell ref="L2:N2"/>
    <mergeCell ref="A3:B3"/>
    <mergeCell ref="A27:B27"/>
    <mergeCell ref="A28:E28"/>
    <mergeCell ref="L28:O28"/>
    <mergeCell ref="B29:E29"/>
    <mergeCell ref="L29:O29"/>
  </mergeCells>
  <pageMargins left="0.19" right="0.17" top="0.89500000000000002" bottom="0.75" header="0.3" footer="0.3"/>
  <pageSetup scale="7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48D3B-59D0-4BD4-A152-2DB7D65703E2}">
  <dimension ref="A1:O46"/>
  <sheetViews>
    <sheetView topLeftCell="A21" zoomScale="70" zoomScaleNormal="70" zoomScaleSheetLayoutView="100" workbookViewId="0">
      <selection activeCell="F31" sqref="F31:F34"/>
    </sheetView>
  </sheetViews>
  <sheetFormatPr defaultColWidth="9.36328125" defaultRowHeight="12" x14ac:dyDescent="0.3"/>
  <cols>
    <col min="1" max="1" width="5.7265625" style="32" customWidth="1"/>
    <col min="2" max="3" width="9.36328125" style="32" customWidth="1"/>
    <col min="4" max="4" width="16.453125" style="32" customWidth="1"/>
    <col min="5" max="5" width="15.90625" style="32" customWidth="1"/>
    <col min="6" max="6" width="8.1796875" style="32" customWidth="1"/>
    <col min="7" max="7" width="17.36328125" style="38" customWidth="1"/>
    <col min="8" max="8" width="16.6328125" style="32" customWidth="1"/>
    <col min="9" max="9" width="8.36328125" style="32" customWidth="1"/>
    <col min="10" max="10" width="11.453125" style="32" customWidth="1"/>
    <col min="11" max="11" width="11.6328125" style="32" customWidth="1"/>
    <col min="12" max="12" width="7.54296875" style="32" customWidth="1"/>
    <col min="13" max="13" width="16.26953125" style="32" customWidth="1"/>
    <col min="14" max="14" width="15.81640625" style="32" customWidth="1"/>
    <col min="15" max="15" width="18.36328125" style="32" customWidth="1"/>
    <col min="16" max="16384" width="9.36328125" style="32"/>
  </cols>
  <sheetData>
    <row r="1" spans="1:15" ht="29.5" customHeight="1" x14ac:dyDescent="0.3">
      <c r="A1" s="113" t="s">
        <v>63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</row>
    <row r="2" spans="1:15" ht="19.5" customHeight="1" x14ac:dyDescent="0.3">
      <c r="A2" s="39" t="s">
        <v>21</v>
      </c>
      <c r="B2" s="40" t="s">
        <v>22</v>
      </c>
      <c r="C2" s="114" t="s">
        <v>23</v>
      </c>
      <c r="D2" s="114"/>
      <c r="E2" s="114"/>
      <c r="F2" s="114" t="s">
        <v>24</v>
      </c>
      <c r="G2" s="114"/>
      <c r="H2" s="114"/>
      <c r="I2" s="115" t="s">
        <v>25</v>
      </c>
      <c r="J2" s="116"/>
      <c r="K2" s="117"/>
      <c r="L2" s="114" t="s">
        <v>26</v>
      </c>
      <c r="M2" s="114"/>
      <c r="N2" s="114"/>
      <c r="O2" s="41" t="s">
        <v>27</v>
      </c>
    </row>
    <row r="3" spans="1:15" ht="21.5" customHeight="1" x14ac:dyDescent="0.3">
      <c r="A3" s="112" t="s">
        <v>28</v>
      </c>
      <c r="B3" s="112"/>
      <c r="C3" s="88" t="s">
        <v>29</v>
      </c>
      <c r="D3" s="89" t="s">
        <v>30</v>
      </c>
      <c r="E3" s="90" t="s">
        <v>31</v>
      </c>
      <c r="F3" s="91" t="s">
        <v>29</v>
      </c>
      <c r="G3" s="92" t="s">
        <v>30</v>
      </c>
      <c r="H3" s="90" t="s">
        <v>32</v>
      </c>
      <c r="I3" s="93" t="s">
        <v>29</v>
      </c>
      <c r="J3" s="89" t="s">
        <v>30</v>
      </c>
      <c r="K3" s="90" t="s">
        <v>32</v>
      </c>
      <c r="L3" s="93" t="s">
        <v>33</v>
      </c>
      <c r="M3" s="89" t="s">
        <v>30</v>
      </c>
      <c r="N3" s="90" t="s">
        <v>32</v>
      </c>
      <c r="O3" s="94"/>
    </row>
    <row r="4" spans="1:15" ht="22" customHeight="1" x14ac:dyDescent="0.3">
      <c r="A4" s="66">
        <v>1</v>
      </c>
      <c r="B4" s="52">
        <v>46168</v>
      </c>
      <c r="C4" s="95">
        <v>1</v>
      </c>
      <c r="D4" s="81">
        <v>2500000</v>
      </c>
      <c r="E4" s="79">
        <f t="shared" ref="E4:E34" si="0">D4*C4</f>
        <v>2500000</v>
      </c>
      <c r="F4" s="95">
        <v>2</v>
      </c>
      <c r="G4" s="80">
        <v>1800000</v>
      </c>
      <c r="H4" s="54">
        <f t="shared" ref="H4:H34" si="1">G4*F4</f>
        <v>3600000</v>
      </c>
      <c r="I4" s="95"/>
      <c r="J4" s="81">
        <v>7000</v>
      </c>
      <c r="K4" s="79">
        <f t="shared" ref="K4:K34" si="2">J4*I4</f>
        <v>0</v>
      </c>
      <c r="L4" s="96"/>
      <c r="M4" s="81">
        <v>5000</v>
      </c>
      <c r="N4" s="79">
        <f t="shared" ref="N4:N34" si="3">L4*M4</f>
        <v>0</v>
      </c>
      <c r="O4" s="79">
        <f t="shared" ref="O4:O34" si="4">E4+H4+N4+K4</f>
        <v>6100000</v>
      </c>
    </row>
    <row r="5" spans="1:15" ht="22" customHeight="1" x14ac:dyDescent="0.3">
      <c r="A5" s="66">
        <v>2</v>
      </c>
      <c r="B5" s="52">
        <v>46169</v>
      </c>
      <c r="C5" s="95">
        <v>1</v>
      </c>
      <c r="D5" s="81">
        <v>2500000</v>
      </c>
      <c r="E5" s="79">
        <f>D5*C5</f>
        <v>2500000</v>
      </c>
      <c r="F5" s="95">
        <v>1</v>
      </c>
      <c r="G5" s="80">
        <v>1800000</v>
      </c>
      <c r="H5" s="54">
        <f t="shared" si="1"/>
        <v>1800000</v>
      </c>
      <c r="I5" s="95"/>
      <c r="J5" s="81">
        <v>7000</v>
      </c>
      <c r="K5" s="79">
        <f t="shared" si="2"/>
        <v>0</v>
      </c>
      <c r="L5" s="96"/>
      <c r="M5" s="81">
        <v>5000</v>
      </c>
      <c r="N5" s="79">
        <f t="shared" si="3"/>
        <v>0</v>
      </c>
      <c r="O5" s="79">
        <f t="shared" si="4"/>
        <v>4300000</v>
      </c>
    </row>
    <row r="6" spans="1:15" ht="22" customHeight="1" x14ac:dyDescent="0.3">
      <c r="A6" s="66">
        <v>3</v>
      </c>
      <c r="B6" s="52">
        <v>46170</v>
      </c>
      <c r="C6" s="95">
        <v>1</v>
      </c>
      <c r="D6" s="81">
        <v>2500000</v>
      </c>
      <c r="E6" s="79">
        <f t="shared" si="0"/>
        <v>2500000</v>
      </c>
      <c r="F6" s="95">
        <v>2</v>
      </c>
      <c r="G6" s="80">
        <v>1800000</v>
      </c>
      <c r="H6" s="54">
        <f t="shared" si="1"/>
        <v>3600000</v>
      </c>
      <c r="I6" s="95"/>
      <c r="J6" s="81">
        <v>7000</v>
      </c>
      <c r="K6" s="79">
        <f t="shared" si="2"/>
        <v>0</v>
      </c>
      <c r="L6" s="96"/>
      <c r="M6" s="81">
        <v>5000</v>
      </c>
      <c r="N6" s="79">
        <f t="shared" si="3"/>
        <v>0</v>
      </c>
      <c r="O6" s="79">
        <f t="shared" si="4"/>
        <v>6100000</v>
      </c>
    </row>
    <row r="7" spans="1:15" ht="22" customHeight="1" x14ac:dyDescent="0.3">
      <c r="A7" s="66">
        <v>4</v>
      </c>
      <c r="B7" s="52">
        <v>46171</v>
      </c>
      <c r="C7" s="95">
        <v>1</v>
      </c>
      <c r="D7" s="81">
        <v>2500000</v>
      </c>
      <c r="E7" s="79">
        <f t="shared" si="0"/>
        <v>2500000</v>
      </c>
      <c r="F7" s="95">
        <v>1</v>
      </c>
      <c r="G7" s="80">
        <v>1800000</v>
      </c>
      <c r="H7" s="54">
        <f t="shared" si="1"/>
        <v>1800000</v>
      </c>
      <c r="I7" s="95"/>
      <c r="J7" s="81">
        <v>7000</v>
      </c>
      <c r="K7" s="79">
        <f t="shared" si="2"/>
        <v>0</v>
      </c>
      <c r="L7" s="96"/>
      <c r="M7" s="81">
        <v>5000</v>
      </c>
      <c r="N7" s="79">
        <f t="shared" si="3"/>
        <v>0</v>
      </c>
      <c r="O7" s="79">
        <f>E7+H7+N7+K7</f>
        <v>4300000</v>
      </c>
    </row>
    <row r="8" spans="1:15" ht="22" customHeight="1" x14ac:dyDescent="0.3">
      <c r="A8" s="66">
        <v>5</v>
      </c>
      <c r="B8" s="52">
        <v>46172</v>
      </c>
      <c r="C8" s="95">
        <v>1</v>
      </c>
      <c r="D8" s="81">
        <v>2500000</v>
      </c>
      <c r="E8" s="79">
        <f t="shared" si="0"/>
        <v>2500000</v>
      </c>
      <c r="F8" s="95">
        <v>1</v>
      </c>
      <c r="G8" s="80">
        <v>1800000</v>
      </c>
      <c r="H8" s="54">
        <f t="shared" si="1"/>
        <v>1800000</v>
      </c>
      <c r="I8" s="95"/>
      <c r="J8" s="81">
        <v>7000</v>
      </c>
      <c r="K8" s="79">
        <f t="shared" si="2"/>
        <v>0</v>
      </c>
      <c r="L8" s="96"/>
      <c r="M8" s="81">
        <v>5000</v>
      </c>
      <c r="N8" s="79">
        <f t="shared" si="3"/>
        <v>0</v>
      </c>
      <c r="O8" s="79">
        <f t="shared" si="4"/>
        <v>4300000</v>
      </c>
    </row>
    <row r="9" spans="1:15" ht="22" customHeight="1" x14ac:dyDescent="0.3">
      <c r="A9" s="66">
        <v>6</v>
      </c>
      <c r="B9" s="52">
        <v>46173</v>
      </c>
      <c r="C9" s="95">
        <v>1</v>
      </c>
      <c r="D9" s="81">
        <v>2500000</v>
      </c>
      <c r="E9" s="79">
        <f t="shared" si="0"/>
        <v>2500000</v>
      </c>
      <c r="F9" s="95">
        <v>1</v>
      </c>
      <c r="G9" s="80">
        <v>1800000</v>
      </c>
      <c r="H9" s="54">
        <f t="shared" si="1"/>
        <v>1800000</v>
      </c>
      <c r="I9" s="95"/>
      <c r="J9" s="81">
        <v>7000</v>
      </c>
      <c r="K9" s="79">
        <f t="shared" si="2"/>
        <v>0</v>
      </c>
      <c r="L9" s="96"/>
      <c r="M9" s="81">
        <v>5000</v>
      </c>
      <c r="N9" s="79">
        <f t="shared" si="3"/>
        <v>0</v>
      </c>
      <c r="O9" s="79">
        <f t="shared" si="4"/>
        <v>4300000</v>
      </c>
    </row>
    <row r="10" spans="1:15" ht="22" customHeight="1" x14ac:dyDescent="0.3">
      <c r="A10" s="66">
        <v>7</v>
      </c>
      <c r="B10" s="52">
        <v>46174</v>
      </c>
      <c r="C10" s="95">
        <v>1</v>
      </c>
      <c r="D10" s="81">
        <v>2500000</v>
      </c>
      <c r="E10" s="79">
        <f t="shared" si="0"/>
        <v>2500000</v>
      </c>
      <c r="F10" s="95">
        <v>1</v>
      </c>
      <c r="G10" s="80">
        <v>1800000</v>
      </c>
      <c r="H10" s="54">
        <f t="shared" si="1"/>
        <v>1800000</v>
      </c>
      <c r="I10" s="95">
        <v>1600</v>
      </c>
      <c r="J10" s="81">
        <v>7000</v>
      </c>
      <c r="K10" s="79">
        <f t="shared" si="2"/>
        <v>11200000</v>
      </c>
      <c r="L10" s="96"/>
      <c r="M10" s="81">
        <v>5000</v>
      </c>
      <c r="N10" s="79">
        <f t="shared" si="3"/>
        <v>0</v>
      </c>
      <c r="O10" s="79">
        <f t="shared" si="4"/>
        <v>15500000</v>
      </c>
    </row>
    <row r="11" spans="1:15" ht="22" customHeight="1" x14ac:dyDescent="0.3">
      <c r="A11" s="66">
        <v>8</v>
      </c>
      <c r="B11" s="52">
        <v>46175</v>
      </c>
      <c r="C11" s="95">
        <v>1</v>
      </c>
      <c r="D11" s="81">
        <v>2500000</v>
      </c>
      <c r="E11" s="79">
        <f t="shared" si="0"/>
        <v>2500000</v>
      </c>
      <c r="F11" s="95">
        <v>2</v>
      </c>
      <c r="G11" s="80">
        <v>1800000</v>
      </c>
      <c r="H11" s="54">
        <f t="shared" si="1"/>
        <v>3600000</v>
      </c>
      <c r="I11" s="95"/>
      <c r="J11" s="81">
        <v>7000</v>
      </c>
      <c r="K11" s="79">
        <f t="shared" si="2"/>
        <v>0</v>
      </c>
      <c r="L11" s="96"/>
      <c r="M11" s="81">
        <v>5000</v>
      </c>
      <c r="N11" s="79">
        <f t="shared" si="3"/>
        <v>0</v>
      </c>
      <c r="O11" s="79">
        <f t="shared" si="4"/>
        <v>6100000</v>
      </c>
    </row>
    <row r="12" spans="1:15" ht="22" customHeight="1" x14ac:dyDescent="0.3">
      <c r="A12" s="66">
        <v>9</v>
      </c>
      <c r="B12" s="52">
        <v>46176</v>
      </c>
      <c r="C12" s="95">
        <v>1</v>
      </c>
      <c r="D12" s="81">
        <v>2500000</v>
      </c>
      <c r="E12" s="79">
        <f t="shared" si="0"/>
        <v>2500000</v>
      </c>
      <c r="F12" s="53">
        <v>1</v>
      </c>
      <c r="G12" s="80">
        <v>1800000</v>
      </c>
      <c r="H12" s="54">
        <f t="shared" si="1"/>
        <v>1800000</v>
      </c>
      <c r="I12" s="95"/>
      <c r="J12" s="81">
        <v>7000</v>
      </c>
      <c r="K12" s="79">
        <f t="shared" si="2"/>
        <v>0</v>
      </c>
      <c r="L12" s="96"/>
      <c r="M12" s="81">
        <v>5000</v>
      </c>
      <c r="N12" s="79">
        <f t="shared" si="3"/>
        <v>0</v>
      </c>
      <c r="O12" s="79">
        <f t="shared" si="4"/>
        <v>4300000</v>
      </c>
    </row>
    <row r="13" spans="1:15" ht="22" customHeight="1" x14ac:dyDescent="0.3">
      <c r="A13" s="66">
        <v>10</v>
      </c>
      <c r="B13" s="52">
        <v>46177</v>
      </c>
      <c r="C13" s="95">
        <v>1</v>
      </c>
      <c r="D13" s="81">
        <v>2500000</v>
      </c>
      <c r="E13" s="79">
        <f t="shared" si="0"/>
        <v>2500000</v>
      </c>
      <c r="F13" s="53">
        <v>2</v>
      </c>
      <c r="G13" s="80">
        <v>1800000</v>
      </c>
      <c r="H13" s="54">
        <f t="shared" si="1"/>
        <v>3600000</v>
      </c>
      <c r="I13" s="95"/>
      <c r="J13" s="81">
        <v>7000</v>
      </c>
      <c r="K13" s="79">
        <f t="shared" si="2"/>
        <v>0</v>
      </c>
      <c r="L13" s="96"/>
      <c r="M13" s="81">
        <v>5000</v>
      </c>
      <c r="N13" s="79">
        <f t="shared" si="3"/>
        <v>0</v>
      </c>
      <c r="O13" s="79">
        <f t="shared" si="4"/>
        <v>6100000</v>
      </c>
    </row>
    <row r="14" spans="1:15" ht="22" customHeight="1" x14ac:dyDescent="0.3">
      <c r="A14" s="66">
        <v>11</v>
      </c>
      <c r="B14" s="52">
        <v>46178</v>
      </c>
      <c r="C14" s="95">
        <v>1</v>
      </c>
      <c r="D14" s="81">
        <v>2500000</v>
      </c>
      <c r="E14" s="79">
        <f t="shared" si="0"/>
        <v>2500000</v>
      </c>
      <c r="F14" s="53">
        <v>1</v>
      </c>
      <c r="G14" s="80">
        <v>1800000</v>
      </c>
      <c r="H14" s="54">
        <f t="shared" si="1"/>
        <v>1800000</v>
      </c>
      <c r="I14" s="95"/>
      <c r="J14" s="81">
        <v>7000</v>
      </c>
      <c r="K14" s="79">
        <f t="shared" si="2"/>
        <v>0</v>
      </c>
      <c r="L14" s="96">
        <v>1130</v>
      </c>
      <c r="M14" s="81">
        <v>5000</v>
      </c>
      <c r="N14" s="79">
        <f t="shared" si="3"/>
        <v>5650000</v>
      </c>
      <c r="O14" s="79">
        <f t="shared" si="4"/>
        <v>9950000</v>
      </c>
    </row>
    <row r="15" spans="1:15" ht="22" customHeight="1" x14ac:dyDescent="0.3">
      <c r="A15" s="66">
        <v>12</v>
      </c>
      <c r="B15" s="52">
        <v>46179</v>
      </c>
      <c r="C15" s="95">
        <v>1</v>
      </c>
      <c r="D15" s="81">
        <v>2500000</v>
      </c>
      <c r="E15" s="79">
        <f t="shared" si="0"/>
        <v>2500000</v>
      </c>
      <c r="F15" s="53">
        <v>2</v>
      </c>
      <c r="G15" s="80">
        <v>1800000</v>
      </c>
      <c r="H15" s="54">
        <f>G15*F15</f>
        <v>3600000</v>
      </c>
      <c r="I15" s="95"/>
      <c r="J15" s="81">
        <v>7000</v>
      </c>
      <c r="K15" s="79">
        <f t="shared" si="2"/>
        <v>0</v>
      </c>
      <c r="L15" s="96"/>
      <c r="M15" s="81">
        <v>5000</v>
      </c>
      <c r="N15" s="79">
        <f t="shared" si="3"/>
        <v>0</v>
      </c>
      <c r="O15" s="79">
        <f t="shared" si="4"/>
        <v>6100000</v>
      </c>
    </row>
    <row r="16" spans="1:15" ht="22.5" customHeight="1" x14ac:dyDescent="0.3">
      <c r="A16" s="66">
        <v>13</v>
      </c>
      <c r="B16" s="52">
        <v>46180</v>
      </c>
      <c r="C16" s="95">
        <v>1</v>
      </c>
      <c r="D16" s="81">
        <v>2500000</v>
      </c>
      <c r="E16" s="79">
        <f t="shared" si="0"/>
        <v>2500000</v>
      </c>
      <c r="F16" s="53">
        <v>1</v>
      </c>
      <c r="G16" s="80">
        <v>1800000</v>
      </c>
      <c r="H16" s="54">
        <f t="shared" si="1"/>
        <v>1800000</v>
      </c>
      <c r="I16" s="95"/>
      <c r="J16" s="81">
        <v>7000</v>
      </c>
      <c r="K16" s="79">
        <f t="shared" si="2"/>
        <v>0</v>
      </c>
      <c r="L16" s="96"/>
      <c r="M16" s="81">
        <v>5000</v>
      </c>
      <c r="N16" s="79">
        <f t="shared" si="3"/>
        <v>0</v>
      </c>
      <c r="O16" s="79">
        <f t="shared" si="4"/>
        <v>4300000</v>
      </c>
    </row>
    <row r="17" spans="1:15" ht="21.5" customHeight="1" x14ac:dyDescent="0.3">
      <c r="A17" s="66">
        <v>14</v>
      </c>
      <c r="B17" s="52">
        <v>46181</v>
      </c>
      <c r="C17" s="95">
        <v>1</v>
      </c>
      <c r="D17" s="81">
        <v>2500000</v>
      </c>
      <c r="E17" s="79">
        <f t="shared" si="0"/>
        <v>2500000</v>
      </c>
      <c r="F17" s="95">
        <v>1</v>
      </c>
      <c r="G17" s="80">
        <v>1800000</v>
      </c>
      <c r="H17" s="54">
        <f t="shared" si="1"/>
        <v>1800000</v>
      </c>
      <c r="I17" s="95"/>
      <c r="J17" s="81">
        <v>7000</v>
      </c>
      <c r="K17" s="79">
        <f t="shared" si="2"/>
        <v>0</v>
      </c>
      <c r="L17" s="96"/>
      <c r="M17" s="81">
        <v>5000</v>
      </c>
      <c r="N17" s="79">
        <f t="shared" si="3"/>
        <v>0</v>
      </c>
      <c r="O17" s="79">
        <f t="shared" si="4"/>
        <v>4300000</v>
      </c>
    </row>
    <row r="18" spans="1:15" ht="22" customHeight="1" x14ac:dyDescent="0.3">
      <c r="A18" s="66">
        <v>15</v>
      </c>
      <c r="B18" s="52">
        <v>46182</v>
      </c>
      <c r="C18" s="95">
        <v>1</v>
      </c>
      <c r="D18" s="81">
        <v>2500000</v>
      </c>
      <c r="E18" s="79">
        <f t="shared" si="0"/>
        <v>2500000</v>
      </c>
      <c r="F18" s="95">
        <v>2</v>
      </c>
      <c r="G18" s="80">
        <v>1800000</v>
      </c>
      <c r="H18" s="54">
        <f t="shared" si="1"/>
        <v>3600000</v>
      </c>
      <c r="I18" s="95"/>
      <c r="J18" s="81">
        <v>7000</v>
      </c>
      <c r="K18" s="79">
        <f t="shared" si="2"/>
        <v>0</v>
      </c>
      <c r="L18" s="96"/>
      <c r="M18" s="81">
        <v>5000</v>
      </c>
      <c r="N18" s="79">
        <f t="shared" si="3"/>
        <v>0</v>
      </c>
      <c r="O18" s="79">
        <f t="shared" si="4"/>
        <v>6100000</v>
      </c>
    </row>
    <row r="19" spans="1:15" ht="22" customHeight="1" x14ac:dyDescent="0.3">
      <c r="A19" s="66">
        <v>16</v>
      </c>
      <c r="B19" s="52">
        <v>46183</v>
      </c>
      <c r="C19" s="95">
        <v>2</v>
      </c>
      <c r="D19" s="81">
        <v>2500000</v>
      </c>
      <c r="E19" s="79">
        <f t="shared" si="0"/>
        <v>5000000</v>
      </c>
      <c r="F19" s="95">
        <v>1</v>
      </c>
      <c r="G19" s="80">
        <v>1800000</v>
      </c>
      <c r="H19" s="54">
        <f t="shared" si="1"/>
        <v>1800000</v>
      </c>
      <c r="I19" s="95"/>
      <c r="J19" s="81">
        <v>7000</v>
      </c>
      <c r="K19" s="79">
        <f t="shared" si="2"/>
        <v>0</v>
      </c>
      <c r="L19" s="96"/>
      <c r="M19" s="81">
        <v>5000</v>
      </c>
      <c r="N19" s="79">
        <f t="shared" si="3"/>
        <v>0</v>
      </c>
      <c r="O19" s="79">
        <f t="shared" si="4"/>
        <v>6800000</v>
      </c>
    </row>
    <row r="20" spans="1:15" ht="22" customHeight="1" x14ac:dyDescent="0.3">
      <c r="A20" s="66">
        <v>17</v>
      </c>
      <c r="B20" s="52">
        <v>46184</v>
      </c>
      <c r="C20" s="95">
        <v>1</v>
      </c>
      <c r="D20" s="81">
        <v>2500000</v>
      </c>
      <c r="E20" s="79">
        <f t="shared" si="0"/>
        <v>2500000</v>
      </c>
      <c r="F20" s="95">
        <v>1</v>
      </c>
      <c r="G20" s="80">
        <v>1800000</v>
      </c>
      <c r="H20" s="54">
        <f t="shared" si="1"/>
        <v>1800000</v>
      </c>
      <c r="I20" s="95"/>
      <c r="J20" s="81">
        <v>7000</v>
      </c>
      <c r="K20" s="79">
        <f t="shared" si="2"/>
        <v>0</v>
      </c>
      <c r="L20" s="96"/>
      <c r="M20" s="81">
        <v>5000</v>
      </c>
      <c r="N20" s="79">
        <f t="shared" si="3"/>
        <v>0</v>
      </c>
      <c r="O20" s="79">
        <f t="shared" si="4"/>
        <v>4300000</v>
      </c>
    </row>
    <row r="21" spans="1:15" ht="22" customHeight="1" x14ac:dyDescent="0.3">
      <c r="A21" s="66">
        <v>18</v>
      </c>
      <c r="B21" s="52">
        <v>46185</v>
      </c>
      <c r="C21" s="95">
        <v>1</v>
      </c>
      <c r="D21" s="81">
        <v>2500000</v>
      </c>
      <c r="E21" s="79">
        <f t="shared" si="0"/>
        <v>2500000</v>
      </c>
      <c r="F21" s="95">
        <v>2</v>
      </c>
      <c r="G21" s="80">
        <v>1800000</v>
      </c>
      <c r="H21" s="54">
        <f t="shared" si="1"/>
        <v>3600000</v>
      </c>
      <c r="I21" s="95"/>
      <c r="J21" s="81">
        <v>7000</v>
      </c>
      <c r="K21" s="79">
        <f t="shared" si="2"/>
        <v>0</v>
      </c>
      <c r="L21" s="96"/>
      <c r="M21" s="81">
        <v>5000</v>
      </c>
      <c r="N21" s="79">
        <f t="shared" si="3"/>
        <v>0</v>
      </c>
      <c r="O21" s="79">
        <f t="shared" si="4"/>
        <v>6100000</v>
      </c>
    </row>
    <row r="22" spans="1:15" ht="22" customHeight="1" x14ac:dyDescent="0.3">
      <c r="A22" s="66">
        <v>19</v>
      </c>
      <c r="B22" s="52">
        <v>46186</v>
      </c>
      <c r="C22" s="95">
        <v>1</v>
      </c>
      <c r="D22" s="81">
        <v>2500000</v>
      </c>
      <c r="E22" s="79">
        <f t="shared" si="0"/>
        <v>2500000</v>
      </c>
      <c r="F22" s="95">
        <v>2</v>
      </c>
      <c r="G22" s="80">
        <v>1800000</v>
      </c>
      <c r="H22" s="54">
        <f t="shared" si="1"/>
        <v>3600000</v>
      </c>
      <c r="I22" s="95"/>
      <c r="J22" s="81">
        <v>7000</v>
      </c>
      <c r="K22" s="79">
        <f t="shared" si="2"/>
        <v>0</v>
      </c>
      <c r="L22" s="96"/>
      <c r="M22" s="81">
        <v>5000</v>
      </c>
      <c r="N22" s="79">
        <f t="shared" si="3"/>
        <v>0</v>
      </c>
      <c r="O22" s="79">
        <f t="shared" si="4"/>
        <v>6100000</v>
      </c>
    </row>
    <row r="23" spans="1:15" ht="22" customHeight="1" x14ac:dyDescent="0.3">
      <c r="A23" s="66">
        <v>20</v>
      </c>
      <c r="B23" s="52">
        <v>46187</v>
      </c>
      <c r="C23" s="95">
        <v>1</v>
      </c>
      <c r="D23" s="81">
        <v>2500000</v>
      </c>
      <c r="E23" s="79">
        <f t="shared" si="0"/>
        <v>2500000</v>
      </c>
      <c r="F23" s="95">
        <v>1</v>
      </c>
      <c r="G23" s="80">
        <v>1800000</v>
      </c>
      <c r="H23" s="54">
        <f t="shared" si="1"/>
        <v>1800000</v>
      </c>
      <c r="I23" s="95"/>
      <c r="J23" s="81">
        <v>7000</v>
      </c>
      <c r="K23" s="79">
        <f t="shared" si="2"/>
        <v>0</v>
      </c>
      <c r="L23" s="96"/>
      <c r="M23" s="81">
        <v>5000</v>
      </c>
      <c r="N23" s="79">
        <f t="shared" si="3"/>
        <v>0</v>
      </c>
      <c r="O23" s="79">
        <f t="shared" si="4"/>
        <v>4300000</v>
      </c>
    </row>
    <row r="24" spans="1:15" ht="22" customHeight="1" x14ac:dyDescent="0.3">
      <c r="A24" s="66">
        <v>21</v>
      </c>
      <c r="B24" s="52">
        <v>46188</v>
      </c>
      <c r="C24" s="95">
        <v>1</v>
      </c>
      <c r="D24" s="81">
        <v>2500000</v>
      </c>
      <c r="E24" s="79">
        <f t="shared" si="0"/>
        <v>2500000</v>
      </c>
      <c r="F24" s="95">
        <v>1</v>
      </c>
      <c r="G24" s="80">
        <v>1800000</v>
      </c>
      <c r="H24" s="54">
        <f t="shared" si="1"/>
        <v>1800000</v>
      </c>
      <c r="I24" s="95"/>
      <c r="J24" s="81">
        <v>7000</v>
      </c>
      <c r="K24" s="79">
        <f t="shared" si="2"/>
        <v>0</v>
      </c>
      <c r="L24" s="96"/>
      <c r="M24" s="81">
        <v>5000</v>
      </c>
      <c r="N24" s="79">
        <f t="shared" si="3"/>
        <v>0</v>
      </c>
      <c r="O24" s="79">
        <f t="shared" si="4"/>
        <v>4300000</v>
      </c>
    </row>
    <row r="25" spans="1:15" ht="22" customHeight="1" x14ac:dyDescent="0.3">
      <c r="A25" s="66">
        <v>22</v>
      </c>
      <c r="B25" s="52">
        <v>46189</v>
      </c>
      <c r="C25" s="95">
        <v>1</v>
      </c>
      <c r="D25" s="81">
        <v>2500000</v>
      </c>
      <c r="E25" s="79">
        <f t="shared" si="0"/>
        <v>2500000</v>
      </c>
      <c r="F25" s="95">
        <v>2</v>
      </c>
      <c r="G25" s="80">
        <v>1800000</v>
      </c>
      <c r="H25" s="54">
        <f>G25*F25</f>
        <v>3600000</v>
      </c>
      <c r="I25" s="95"/>
      <c r="J25" s="81">
        <v>7000</v>
      </c>
      <c r="K25" s="79">
        <f t="shared" si="2"/>
        <v>0</v>
      </c>
      <c r="L25" s="96"/>
      <c r="M25" s="81">
        <v>5000</v>
      </c>
      <c r="N25" s="79">
        <f t="shared" si="3"/>
        <v>0</v>
      </c>
      <c r="O25" s="79">
        <f t="shared" si="4"/>
        <v>6100000</v>
      </c>
    </row>
    <row r="26" spans="1:15" ht="22" customHeight="1" x14ac:dyDescent="0.3">
      <c r="A26" s="66">
        <v>23</v>
      </c>
      <c r="B26" s="52">
        <v>46190</v>
      </c>
      <c r="C26" s="95">
        <v>2</v>
      </c>
      <c r="D26" s="81">
        <v>2500000</v>
      </c>
      <c r="E26" s="79">
        <f t="shared" si="0"/>
        <v>5000000</v>
      </c>
      <c r="F26" s="95">
        <v>1</v>
      </c>
      <c r="G26" s="80">
        <v>1800000</v>
      </c>
      <c r="H26" s="54">
        <f t="shared" ref="H26:H32" si="5">G26*F26</f>
        <v>1800000</v>
      </c>
      <c r="I26" s="95"/>
      <c r="J26" s="81">
        <v>7000</v>
      </c>
      <c r="K26" s="79">
        <f t="shared" si="2"/>
        <v>0</v>
      </c>
      <c r="L26" s="96"/>
      <c r="M26" s="81">
        <v>5000</v>
      </c>
      <c r="N26" s="79">
        <f t="shared" si="3"/>
        <v>0</v>
      </c>
      <c r="O26" s="79">
        <f t="shared" si="4"/>
        <v>6800000</v>
      </c>
    </row>
    <row r="27" spans="1:15" ht="22" customHeight="1" x14ac:dyDescent="0.3">
      <c r="A27" s="66">
        <v>24</v>
      </c>
      <c r="B27" s="52">
        <v>46191</v>
      </c>
      <c r="C27" s="95">
        <v>1</v>
      </c>
      <c r="D27" s="81">
        <v>2500000</v>
      </c>
      <c r="E27" s="79">
        <f t="shared" si="0"/>
        <v>2500000</v>
      </c>
      <c r="F27" s="95">
        <v>2</v>
      </c>
      <c r="G27" s="80">
        <v>1800000</v>
      </c>
      <c r="H27" s="54">
        <f t="shared" si="5"/>
        <v>3600000</v>
      </c>
      <c r="I27" s="95"/>
      <c r="J27" s="81">
        <v>7000</v>
      </c>
      <c r="K27" s="79">
        <f t="shared" si="2"/>
        <v>0</v>
      </c>
      <c r="L27" s="96"/>
      <c r="M27" s="81">
        <v>5000</v>
      </c>
      <c r="N27" s="79">
        <f t="shared" si="3"/>
        <v>0</v>
      </c>
      <c r="O27" s="79">
        <f t="shared" si="4"/>
        <v>6100000</v>
      </c>
    </row>
    <row r="28" spans="1:15" ht="22" customHeight="1" x14ac:dyDescent="0.3">
      <c r="A28" s="66">
        <v>25</v>
      </c>
      <c r="B28" s="52">
        <v>46192</v>
      </c>
      <c r="C28" s="95">
        <v>1</v>
      </c>
      <c r="D28" s="81">
        <v>2500000</v>
      </c>
      <c r="E28" s="79">
        <f t="shared" si="0"/>
        <v>2500000</v>
      </c>
      <c r="F28" s="95">
        <v>2</v>
      </c>
      <c r="G28" s="80">
        <v>1800000</v>
      </c>
      <c r="H28" s="54">
        <f t="shared" si="5"/>
        <v>3600000</v>
      </c>
      <c r="I28" s="95"/>
      <c r="J28" s="81">
        <v>7000</v>
      </c>
      <c r="K28" s="79">
        <f t="shared" si="2"/>
        <v>0</v>
      </c>
      <c r="L28" s="96"/>
      <c r="M28" s="81">
        <v>5000</v>
      </c>
      <c r="N28" s="79">
        <f t="shared" si="3"/>
        <v>0</v>
      </c>
      <c r="O28" s="79">
        <f t="shared" si="4"/>
        <v>6100000</v>
      </c>
    </row>
    <row r="29" spans="1:15" ht="22" customHeight="1" x14ac:dyDescent="0.3">
      <c r="A29" s="66">
        <v>26</v>
      </c>
      <c r="B29" s="52">
        <v>46193</v>
      </c>
      <c r="C29" s="95">
        <v>2</v>
      </c>
      <c r="D29" s="81">
        <v>2500000</v>
      </c>
      <c r="E29" s="79">
        <f t="shared" si="0"/>
        <v>5000000</v>
      </c>
      <c r="F29" s="95">
        <v>1</v>
      </c>
      <c r="G29" s="80">
        <v>1800000</v>
      </c>
      <c r="H29" s="54">
        <f t="shared" si="5"/>
        <v>1800000</v>
      </c>
      <c r="I29" s="95"/>
      <c r="J29" s="81">
        <v>7000</v>
      </c>
      <c r="K29" s="79">
        <f t="shared" si="2"/>
        <v>0</v>
      </c>
      <c r="L29" s="96"/>
      <c r="M29" s="81">
        <v>5000</v>
      </c>
      <c r="N29" s="79">
        <f t="shared" si="3"/>
        <v>0</v>
      </c>
      <c r="O29" s="79">
        <f t="shared" si="4"/>
        <v>6800000</v>
      </c>
    </row>
    <row r="30" spans="1:15" ht="22" customHeight="1" x14ac:dyDescent="0.3">
      <c r="A30" s="66">
        <v>27</v>
      </c>
      <c r="B30" s="52">
        <v>46194</v>
      </c>
      <c r="C30" s="95">
        <v>0</v>
      </c>
      <c r="D30" s="81">
        <v>2500000</v>
      </c>
      <c r="E30" s="79">
        <f t="shared" si="0"/>
        <v>0</v>
      </c>
      <c r="F30" s="95">
        <v>1</v>
      </c>
      <c r="G30" s="80">
        <v>1800000</v>
      </c>
      <c r="H30" s="54">
        <f t="shared" si="5"/>
        <v>1800000</v>
      </c>
      <c r="I30" s="95"/>
      <c r="J30" s="81">
        <v>7000</v>
      </c>
      <c r="K30" s="79">
        <f t="shared" si="2"/>
        <v>0</v>
      </c>
      <c r="L30" s="96"/>
      <c r="M30" s="81">
        <v>5000</v>
      </c>
      <c r="N30" s="79">
        <f t="shared" si="3"/>
        <v>0</v>
      </c>
      <c r="O30" s="79">
        <f t="shared" si="4"/>
        <v>1800000</v>
      </c>
    </row>
    <row r="31" spans="1:15" ht="22" customHeight="1" x14ac:dyDescent="0.3">
      <c r="A31" s="66">
        <v>28</v>
      </c>
      <c r="B31" s="52">
        <v>46195</v>
      </c>
      <c r="C31" s="95">
        <v>1</v>
      </c>
      <c r="D31" s="81">
        <v>2500000</v>
      </c>
      <c r="E31" s="79">
        <f t="shared" si="0"/>
        <v>2500000</v>
      </c>
      <c r="F31" s="95">
        <v>1</v>
      </c>
      <c r="G31" s="80">
        <v>1800000</v>
      </c>
      <c r="H31" s="54">
        <f t="shared" si="5"/>
        <v>1800000</v>
      </c>
      <c r="I31" s="95"/>
      <c r="J31" s="81">
        <v>7000</v>
      </c>
      <c r="K31" s="79">
        <f t="shared" si="2"/>
        <v>0</v>
      </c>
      <c r="L31" s="96"/>
      <c r="M31" s="81">
        <v>5000</v>
      </c>
      <c r="N31" s="79">
        <f t="shared" si="3"/>
        <v>0</v>
      </c>
      <c r="O31" s="79">
        <f t="shared" si="4"/>
        <v>4300000</v>
      </c>
    </row>
    <row r="32" spans="1:15" ht="22" customHeight="1" x14ac:dyDescent="0.3">
      <c r="A32" s="66">
        <v>29</v>
      </c>
      <c r="B32" s="52">
        <v>46196</v>
      </c>
      <c r="C32" s="95">
        <v>2</v>
      </c>
      <c r="D32" s="81">
        <v>2500000</v>
      </c>
      <c r="E32" s="79">
        <f t="shared" si="0"/>
        <v>5000000</v>
      </c>
      <c r="F32" s="95">
        <v>2</v>
      </c>
      <c r="G32" s="80">
        <v>1800000</v>
      </c>
      <c r="H32" s="54">
        <f t="shared" si="5"/>
        <v>3600000</v>
      </c>
      <c r="I32" s="95"/>
      <c r="J32" s="81">
        <v>7000</v>
      </c>
      <c r="K32" s="79">
        <f t="shared" si="2"/>
        <v>0</v>
      </c>
      <c r="L32" s="96"/>
      <c r="M32" s="81">
        <v>5000</v>
      </c>
      <c r="N32" s="79">
        <f t="shared" si="3"/>
        <v>0</v>
      </c>
      <c r="O32" s="79">
        <f t="shared" si="4"/>
        <v>8600000</v>
      </c>
    </row>
    <row r="33" spans="1:15" ht="22" customHeight="1" x14ac:dyDescent="0.3">
      <c r="A33" s="66">
        <v>30</v>
      </c>
      <c r="B33" s="52">
        <v>46197</v>
      </c>
      <c r="C33" s="95">
        <v>1</v>
      </c>
      <c r="D33" s="81">
        <v>2500000</v>
      </c>
      <c r="E33" s="79">
        <f t="shared" si="0"/>
        <v>2500000</v>
      </c>
      <c r="F33" s="95">
        <v>1</v>
      </c>
      <c r="G33" s="80">
        <v>1800000</v>
      </c>
      <c r="H33" s="54">
        <f t="shared" si="1"/>
        <v>1800000</v>
      </c>
      <c r="I33" s="95"/>
      <c r="J33" s="81">
        <v>7000</v>
      </c>
      <c r="K33" s="79">
        <f t="shared" si="2"/>
        <v>0</v>
      </c>
      <c r="L33" s="96"/>
      <c r="M33" s="81">
        <v>5000</v>
      </c>
      <c r="N33" s="79">
        <f t="shared" si="3"/>
        <v>0</v>
      </c>
      <c r="O33" s="79">
        <f t="shared" si="4"/>
        <v>4300000</v>
      </c>
    </row>
    <row r="34" spans="1:15" ht="22" customHeight="1" x14ac:dyDescent="0.3">
      <c r="A34" s="66">
        <v>31</v>
      </c>
      <c r="B34" s="52">
        <v>46198</v>
      </c>
      <c r="C34" s="95">
        <v>1</v>
      </c>
      <c r="D34" s="81">
        <v>2500000</v>
      </c>
      <c r="E34" s="79">
        <f t="shared" si="0"/>
        <v>2500000</v>
      </c>
      <c r="F34" s="95">
        <v>2</v>
      </c>
      <c r="G34" s="80">
        <v>1800000</v>
      </c>
      <c r="H34" s="54">
        <f t="shared" si="1"/>
        <v>3600000</v>
      </c>
      <c r="I34" s="95"/>
      <c r="J34" s="81">
        <v>7000</v>
      </c>
      <c r="K34" s="79">
        <f t="shared" si="2"/>
        <v>0</v>
      </c>
      <c r="L34" s="96"/>
      <c r="M34" s="81">
        <v>5000</v>
      </c>
      <c r="N34" s="79">
        <f t="shared" si="3"/>
        <v>0</v>
      </c>
      <c r="O34" s="79">
        <f t="shared" si="4"/>
        <v>6100000</v>
      </c>
    </row>
    <row r="35" spans="1:15" ht="17" customHeight="1" x14ac:dyDescent="0.3">
      <c r="A35" s="119"/>
      <c r="B35" s="119"/>
      <c r="C35" s="100">
        <f>SUM(C4:C34)</f>
        <v>34</v>
      </c>
      <c r="D35" s="100"/>
      <c r="E35" s="101">
        <f>SUM(E4:E34)</f>
        <v>85000000</v>
      </c>
      <c r="F35" s="101">
        <f>SUM(F4:F34)</f>
        <v>44</v>
      </c>
      <c r="G35" s="101"/>
      <c r="H35" s="101">
        <f>SUM(H4:H34)</f>
        <v>79200000</v>
      </c>
      <c r="I35" s="101">
        <f>SUM(I4:I34)</f>
        <v>1600</v>
      </c>
      <c r="J35" s="101"/>
      <c r="K35" s="101">
        <f>SUM(K4:K34)</f>
        <v>11200000</v>
      </c>
      <c r="L35" s="101">
        <f>SUM(L4:L33)</f>
        <v>1130</v>
      </c>
      <c r="M35" s="101"/>
      <c r="N35" s="101">
        <f>SUM(N4:N34)</f>
        <v>5650000</v>
      </c>
      <c r="O35" s="101">
        <f>SUM(O4:O34)</f>
        <v>181050000</v>
      </c>
    </row>
    <row r="36" spans="1:15" ht="17" customHeight="1" x14ac:dyDescent="0.3">
      <c r="A36" s="120" t="s">
        <v>34</v>
      </c>
      <c r="B36" s="121"/>
      <c r="C36" s="121"/>
      <c r="D36" s="121"/>
      <c r="E36" s="122"/>
      <c r="F36" s="53"/>
      <c r="G36" s="103"/>
      <c r="H36" s="102"/>
      <c r="I36" s="102"/>
      <c r="J36" s="102"/>
      <c r="K36" s="102"/>
      <c r="L36" s="123" t="s">
        <v>34</v>
      </c>
      <c r="M36" s="123"/>
      <c r="N36" s="123"/>
      <c r="O36" s="123"/>
    </row>
    <row r="37" spans="1:15" ht="24" customHeight="1" x14ac:dyDescent="0.3">
      <c r="B37" s="118" t="s">
        <v>37</v>
      </c>
      <c r="C37" s="118"/>
      <c r="D37" s="118"/>
      <c r="E37" s="118"/>
      <c r="F37" s="37"/>
      <c r="G37" s="56"/>
      <c r="H37" s="37"/>
      <c r="I37" s="37"/>
      <c r="J37" s="37"/>
      <c r="K37" s="37"/>
      <c r="L37" s="118" t="s">
        <v>38</v>
      </c>
      <c r="M37" s="118"/>
      <c r="N37" s="118"/>
      <c r="O37" s="118"/>
    </row>
    <row r="40" spans="1:15" x14ac:dyDescent="0.3">
      <c r="N40" s="65"/>
    </row>
    <row r="41" spans="1:15" x14ac:dyDescent="0.3">
      <c r="N41" s="65"/>
    </row>
    <row r="42" spans="1:15" x14ac:dyDescent="0.3">
      <c r="B42" s="124"/>
      <c r="C42" s="124"/>
      <c r="D42" s="124"/>
      <c r="E42" s="124"/>
      <c r="N42" s="65"/>
    </row>
    <row r="44" spans="1:15" x14ac:dyDescent="0.3">
      <c r="E44" s="65"/>
    </row>
    <row r="46" spans="1:15" x14ac:dyDescent="0.3">
      <c r="B46" s="118" t="s">
        <v>51</v>
      </c>
      <c r="C46" s="118"/>
      <c r="D46" s="118"/>
      <c r="E46" s="118"/>
    </row>
  </sheetData>
  <mergeCells count="13">
    <mergeCell ref="B46:E46"/>
    <mergeCell ref="B42:E42"/>
    <mergeCell ref="A1:O1"/>
    <mergeCell ref="C2:E2"/>
    <mergeCell ref="F2:H2"/>
    <mergeCell ref="I2:K2"/>
    <mergeCell ref="L2:N2"/>
    <mergeCell ref="A3:B3"/>
    <mergeCell ref="A35:B35"/>
    <mergeCell ref="A36:E36"/>
    <mergeCell ref="L36:O36"/>
    <mergeCell ref="B37:E37"/>
    <mergeCell ref="L37:O37"/>
  </mergeCells>
  <pageMargins left="0.19" right="0.17" top="0.89500000000000002" bottom="0.75" header="0.3" footer="0.3"/>
  <pageSetup scale="7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3F5F4-F20B-44D3-90FE-9A5E75DCE33C}">
  <dimension ref="A1:O45"/>
  <sheetViews>
    <sheetView topLeftCell="A6" zoomScale="80" zoomScaleNormal="80" zoomScaleSheetLayoutView="100" workbookViewId="0">
      <selection activeCell="G43" sqref="G43"/>
    </sheetView>
  </sheetViews>
  <sheetFormatPr defaultColWidth="9.36328125" defaultRowHeight="12" x14ac:dyDescent="0.3"/>
  <cols>
    <col min="1" max="1" width="5.7265625" style="32" customWidth="1"/>
    <col min="2" max="3" width="9.36328125" style="32" customWidth="1"/>
    <col min="4" max="4" width="16.453125" style="32" customWidth="1"/>
    <col min="5" max="5" width="15.90625" style="32" customWidth="1"/>
    <col min="6" max="6" width="8.1796875" style="32" customWidth="1"/>
    <col min="7" max="7" width="17.36328125" style="38" customWidth="1"/>
    <col min="8" max="8" width="16.6328125" style="32" customWidth="1"/>
    <col min="9" max="9" width="8.36328125" style="32" customWidth="1"/>
    <col min="10" max="10" width="11.453125" style="32" customWidth="1"/>
    <col min="11" max="11" width="11.6328125" style="32" customWidth="1"/>
    <col min="12" max="12" width="7.54296875" style="32" customWidth="1"/>
    <col min="13" max="13" width="16.26953125" style="32" customWidth="1"/>
    <col min="14" max="14" width="15.81640625" style="32" customWidth="1"/>
    <col min="15" max="15" width="18.36328125" style="32" customWidth="1"/>
    <col min="16" max="16384" width="9.36328125" style="32"/>
  </cols>
  <sheetData>
    <row r="1" spans="1:15" ht="29.5" customHeight="1" x14ac:dyDescent="0.3">
      <c r="A1" s="113" t="s">
        <v>64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</row>
    <row r="2" spans="1:15" ht="19.5" customHeight="1" x14ac:dyDescent="0.3">
      <c r="A2" s="39" t="s">
        <v>21</v>
      </c>
      <c r="B2" s="40" t="s">
        <v>22</v>
      </c>
      <c r="C2" s="114" t="s">
        <v>23</v>
      </c>
      <c r="D2" s="114"/>
      <c r="E2" s="114"/>
      <c r="F2" s="114" t="s">
        <v>24</v>
      </c>
      <c r="G2" s="114"/>
      <c r="H2" s="114"/>
      <c r="I2" s="115" t="s">
        <v>25</v>
      </c>
      <c r="J2" s="116"/>
      <c r="K2" s="117"/>
      <c r="L2" s="114" t="s">
        <v>26</v>
      </c>
      <c r="M2" s="114"/>
      <c r="N2" s="114"/>
      <c r="O2" s="41" t="s">
        <v>27</v>
      </c>
    </row>
    <row r="3" spans="1:15" ht="21.5" customHeight="1" x14ac:dyDescent="0.3">
      <c r="A3" s="112" t="s">
        <v>28</v>
      </c>
      <c r="B3" s="112"/>
      <c r="C3" s="88" t="s">
        <v>29</v>
      </c>
      <c r="D3" s="89" t="s">
        <v>30</v>
      </c>
      <c r="E3" s="90" t="s">
        <v>31</v>
      </c>
      <c r="F3" s="91" t="s">
        <v>29</v>
      </c>
      <c r="G3" s="92" t="s">
        <v>30</v>
      </c>
      <c r="H3" s="90" t="s">
        <v>32</v>
      </c>
      <c r="I3" s="93" t="s">
        <v>29</v>
      </c>
      <c r="J3" s="89" t="s">
        <v>30</v>
      </c>
      <c r="K3" s="90" t="s">
        <v>32</v>
      </c>
      <c r="L3" s="93" t="s">
        <v>33</v>
      </c>
      <c r="M3" s="89" t="s">
        <v>30</v>
      </c>
      <c r="N3" s="90" t="s">
        <v>32</v>
      </c>
      <c r="O3" s="94"/>
    </row>
    <row r="4" spans="1:15" ht="22" customHeight="1" x14ac:dyDescent="0.3">
      <c r="A4" s="66">
        <v>1</v>
      </c>
      <c r="B4" s="52">
        <v>46199</v>
      </c>
      <c r="C4" s="53">
        <v>1</v>
      </c>
      <c r="D4" s="62">
        <v>2500000</v>
      </c>
      <c r="E4" s="54">
        <f t="shared" ref="E4:E33" si="0">D4*C4</f>
        <v>2500000</v>
      </c>
      <c r="F4" s="53">
        <v>2</v>
      </c>
      <c r="G4" s="59">
        <v>1800000</v>
      </c>
      <c r="H4" s="54">
        <f t="shared" ref="H4:H33" si="1">G4*F4</f>
        <v>3600000</v>
      </c>
      <c r="I4" s="53"/>
      <c r="J4" s="62">
        <v>7000</v>
      </c>
      <c r="K4" s="54">
        <f t="shared" ref="K4:K33" si="2">J4*I4</f>
        <v>0</v>
      </c>
      <c r="L4" s="67"/>
      <c r="M4" s="62">
        <v>5000</v>
      </c>
      <c r="N4" s="54">
        <f t="shared" ref="N4:N33" si="3">L4*M4</f>
        <v>0</v>
      </c>
      <c r="O4" s="54">
        <f t="shared" ref="O4:O33" si="4">E4+H4+N4+K4</f>
        <v>6100000</v>
      </c>
    </row>
    <row r="5" spans="1:15" ht="22" customHeight="1" x14ac:dyDescent="0.3">
      <c r="A5" s="66">
        <v>2</v>
      </c>
      <c r="B5" s="52">
        <v>46200</v>
      </c>
      <c r="C5" s="95">
        <v>1</v>
      </c>
      <c r="D5" s="81">
        <v>2500000</v>
      </c>
      <c r="E5" s="79">
        <f>D5*C5</f>
        <v>2500000</v>
      </c>
      <c r="F5" s="95">
        <v>1</v>
      </c>
      <c r="G5" s="80">
        <v>1800000</v>
      </c>
      <c r="H5" s="54">
        <f t="shared" si="1"/>
        <v>1800000</v>
      </c>
      <c r="I5" s="95"/>
      <c r="J5" s="81">
        <v>7000</v>
      </c>
      <c r="K5" s="79">
        <f t="shared" si="2"/>
        <v>0</v>
      </c>
      <c r="L5" s="96"/>
      <c r="M5" s="81">
        <v>5000</v>
      </c>
      <c r="N5" s="79">
        <f t="shared" si="3"/>
        <v>0</v>
      </c>
      <c r="O5" s="79">
        <f t="shared" si="4"/>
        <v>4300000</v>
      </c>
    </row>
    <row r="6" spans="1:15" ht="22" customHeight="1" x14ac:dyDescent="0.3">
      <c r="A6" s="66">
        <v>3</v>
      </c>
      <c r="B6" s="52">
        <v>46201</v>
      </c>
      <c r="C6" s="95">
        <v>1</v>
      </c>
      <c r="D6" s="81">
        <v>2500000</v>
      </c>
      <c r="E6" s="79">
        <f t="shared" si="0"/>
        <v>2500000</v>
      </c>
      <c r="F6" s="95">
        <v>1</v>
      </c>
      <c r="G6" s="80">
        <v>1800000</v>
      </c>
      <c r="H6" s="54">
        <f t="shared" si="1"/>
        <v>1800000</v>
      </c>
      <c r="I6" s="95"/>
      <c r="J6" s="81">
        <v>7000</v>
      </c>
      <c r="K6" s="79">
        <f t="shared" si="2"/>
        <v>0</v>
      </c>
      <c r="L6" s="96"/>
      <c r="M6" s="81">
        <v>5000</v>
      </c>
      <c r="N6" s="79">
        <f t="shared" si="3"/>
        <v>0</v>
      </c>
      <c r="O6" s="79">
        <f t="shared" si="4"/>
        <v>4300000</v>
      </c>
    </row>
    <row r="7" spans="1:15" ht="22" customHeight="1" x14ac:dyDescent="0.3">
      <c r="A7" s="66">
        <v>4</v>
      </c>
      <c r="B7" s="52">
        <v>46202</v>
      </c>
      <c r="C7" s="95">
        <v>1</v>
      </c>
      <c r="D7" s="81">
        <v>2500000</v>
      </c>
      <c r="E7" s="79">
        <f t="shared" si="0"/>
        <v>2500000</v>
      </c>
      <c r="F7" s="95">
        <v>2</v>
      </c>
      <c r="G7" s="80">
        <v>1800000</v>
      </c>
      <c r="H7" s="54">
        <f t="shared" si="1"/>
        <v>3600000</v>
      </c>
      <c r="I7" s="95"/>
      <c r="J7" s="81">
        <v>7000</v>
      </c>
      <c r="K7" s="79">
        <f t="shared" si="2"/>
        <v>0</v>
      </c>
      <c r="L7" s="96"/>
      <c r="M7" s="81">
        <v>5000</v>
      </c>
      <c r="N7" s="79">
        <f t="shared" si="3"/>
        <v>0</v>
      </c>
      <c r="O7" s="79">
        <f>E7+H7+N7+K7</f>
        <v>6100000</v>
      </c>
    </row>
    <row r="8" spans="1:15" ht="22" customHeight="1" x14ac:dyDescent="0.3">
      <c r="A8" s="66">
        <v>5</v>
      </c>
      <c r="B8" s="52">
        <v>46203</v>
      </c>
      <c r="C8" s="95">
        <v>1</v>
      </c>
      <c r="D8" s="81">
        <v>2500000</v>
      </c>
      <c r="E8" s="79">
        <f t="shared" si="0"/>
        <v>2500000</v>
      </c>
      <c r="F8" s="95">
        <v>2</v>
      </c>
      <c r="G8" s="80">
        <v>1800000</v>
      </c>
      <c r="H8" s="54">
        <f t="shared" si="1"/>
        <v>3600000</v>
      </c>
      <c r="I8" s="95"/>
      <c r="J8" s="81">
        <v>7000</v>
      </c>
      <c r="K8" s="79">
        <f t="shared" si="2"/>
        <v>0</v>
      </c>
      <c r="L8" s="96"/>
      <c r="M8" s="81">
        <v>5000</v>
      </c>
      <c r="N8" s="79">
        <f t="shared" si="3"/>
        <v>0</v>
      </c>
      <c r="O8" s="79">
        <f t="shared" si="4"/>
        <v>6100000</v>
      </c>
    </row>
    <row r="9" spans="1:15" ht="22" customHeight="1" x14ac:dyDescent="0.3">
      <c r="A9" s="66">
        <v>6</v>
      </c>
      <c r="B9" s="52">
        <v>46204</v>
      </c>
      <c r="C9" s="95">
        <v>1</v>
      </c>
      <c r="D9" s="81">
        <v>2500000</v>
      </c>
      <c r="E9" s="79">
        <f t="shared" si="0"/>
        <v>2500000</v>
      </c>
      <c r="F9" s="95">
        <v>2</v>
      </c>
      <c r="G9" s="80">
        <v>1800000</v>
      </c>
      <c r="H9" s="54">
        <f t="shared" si="1"/>
        <v>3600000</v>
      </c>
      <c r="I9" s="95"/>
      <c r="J9" s="81">
        <v>7000</v>
      </c>
      <c r="K9" s="79">
        <f t="shared" si="2"/>
        <v>0</v>
      </c>
      <c r="L9" s="96"/>
      <c r="M9" s="81">
        <v>5000</v>
      </c>
      <c r="N9" s="79">
        <f t="shared" si="3"/>
        <v>0</v>
      </c>
      <c r="O9" s="79">
        <f t="shared" si="4"/>
        <v>6100000</v>
      </c>
    </row>
    <row r="10" spans="1:15" ht="22" customHeight="1" x14ac:dyDescent="0.3">
      <c r="A10" s="66">
        <v>7</v>
      </c>
      <c r="B10" s="52">
        <v>46205</v>
      </c>
      <c r="C10" s="95">
        <v>1</v>
      </c>
      <c r="D10" s="81">
        <v>2500000</v>
      </c>
      <c r="E10" s="79">
        <f t="shared" si="0"/>
        <v>2500000</v>
      </c>
      <c r="F10" s="95">
        <v>1</v>
      </c>
      <c r="G10" s="80">
        <v>1800000</v>
      </c>
      <c r="H10" s="54">
        <f t="shared" si="1"/>
        <v>1800000</v>
      </c>
      <c r="I10" s="95"/>
      <c r="J10" s="81">
        <v>7000</v>
      </c>
      <c r="K10" s="79">
        <f t="shared" si="2"/>
        <v>0</v>
      </c>
      <c r="L10" s="96"/>
      <c r="M10" s="81">
        <v>5000</v>
      </c>
      <c r="N10" s="79">
        <f t="shared" si="3"/>
        <v>0</v>
      </c>
      <c r="O10" s="79">
        <f t="shared" si="4"/>
        <v>4300000</v>
      </c>
    </row>
    <row r="11" spans="1:15" ht="22" customHeight="1" x14ac:dyDescent="0.3">
      <c r="A11" s="66">
        <v>8</v>
      </c>
      <c r="B11" s="52">
        <v>46206</v>
      </c>
      <c r="C11" s="53">
        <v>2</v>
      </c>
      <c r="D11" s="62">
        <v>2500000</v>
      </c>
      <c r="E11" s="54">
        <f t="shared" si="0"/>
        <v>5000000</v>
      </c>
      <c r="F11" s="53">
        <v>2</v>
      </c>
      <c r="G11" s="59">
        <v>1800000</v>
      </c>
      <c r="H11" s="54">
        <f t="shared" si="1"/>
        <v>3600000</v>
      </c>
      <c r="I11" s="53"/>
      <c r="J11" s="62">
        <v>7000</v>
      </c>
      <c r="K11" s="54">
        <f t="shared" si="2"/>
        <v>0</v>
      </c>
      <c r="L11" s="67"/>
      <c r="M11" s="62">
        <v>5000</v>
      </c>
      <c r="N11" s="54">
        <f t="shared" si="3"/>
        <v>0</v>
      </c>
      <c r="O11" s="54">
        <f t="shared" si="4"/>
        <v>8600000</v>
      </c>
    </row>
    <row r="12" spans="1:15" ht="22" customHeight="1" x14ac:dyDescent="0.3">
      <c r="A12" s="66">
        <v>9</v>
      </c>
      <c r="B12" s="52">
        <v>46207</v>
      </c>
      <c r="C12" s="95">
        <v>1</v>
      </c>
      <c r="D12" s="81">
        <v>2500000</v>
      </c>
      <c r="E12" s="79">
        <f t="shared" si="0"/>
        <v>2500000</v>
      </c>
      <c r="F12" s="53">
        <v>1</v>
      </c>
      <c r="G12" s="80">
        <v>1800000</v>
      </c>
      <c r="H12" s="54">
        <f t="shared" si="1"/>
        <v>1800000</v>
      </c>
      <c r="I12" s="95"/>
      <c r="J12" s="81">
        <v>7000</v>
      </c>
      <c r="K12" s="79">
        <f t="shared" si="2"/>
        <v>0</v>
      </c>
      <c r="L12" s="96"/>
      <c r="M12" s="81">
        <v>5000</v>
      </c>
      <c r="N12" s="79">
        <f t="shared" si="3"/>
        <v>0</v>
      </c>
      <c r="O12" s="79">
        <f t="shared" si="4"/>
        <v>4300000</v>
      </c>
    </row>
    <row r="13" spans="1:15" ht="22" customHeight="1" x14ac:dyDescent="0.3">
      <c r="A13" s="66">
        <v>10</v>
      </c>
      <c r="B13" s="52">
        <v>46208</v>
      </c>
      <c r="C13" s="95">
        <v>0</v>
      </c>
      <c r="D13" s="81">
        <v>2500000</v>
      </c>
      <c r="E13" s="79">
        <f t="shared" si="0"/>
        <v>0</v>
      </c>
      <c r="F13" s="53">
        <v>1</v>
      </c>
      <c r="G13" s="80">
        <v>1800000</v>
      </c>
      <c r="H13" s="54">
        <f t="shared" si="1"/>
        <v>1800000</v>
      </c>
      <c r="I13" s="95"/>
      <c r="J13" s="81">
        <v>7000</v>
      </c>
      <c r="K13" s="79">
        <f t="shared" si="2"/>
        <v>0</v>
      </c>
      <c r="L13" s="96"/>
      <c r="M13" s="81">
        <v>5000</v>
      </c>
      <c r="N13" s="79">
        <f t="shared" si="3"/>
        <v>0</v>
      </c>
      <c r="O13" s="79">
        <f t="shared" si="4"/>
        <v>1800000</v>
      </c>
    </row>
    <row r="14" spans="1:15" ht="22" customHeight="1" x14ac:dyDescent="0.3">
      <c r="A14" s="66">
        <v>11</v>
      </c>
      <c r="B14" s="52">
        <v>46209</v>
      </c>
      <c r="C14" s="95">
        <v>1</v>
      </c>
      <c r="D14" s="81">
        <v>2500000</v>
      </c>
      <c r="E14" s="79">
        <f t="shared" si="0"/>
        <v>2500000</v>
      </c>
      <c r="F14" s="53">
        <v>1</v>
      </c>
      <c r="G14" s="80">
        <v>1800000</v>
      </c>
      <c r="H14" s="54">
        <f t="shared" si="1"/>
        <v>1800000</v>
      </c>
      <c r="I14" s="95"/>
      <c r="J14" s="81">
        <v>7000</v>
      </c>
      <c r="K14" s="79">
        <f t="shared" si="2"/>
        <v>0</v>
      </c>
      <c r="L14" s="96"/>
      <c r="M14" s="81">
        <v>5000</v>
      </c>
      <c r="N14" s="79">
        <f t="shared" si="3"/>
        <v>0</v>
      </c>
      <c r="O14" s="79">
        <f t="shared" si="4"/>
        <v>4300000</v>
      </c>
    </row>
    <row r="15" spans="1:15" ht="22" customHeight="1" x14ac:dyDescent="0.3">
      <c r="A15" s="104">
        <v>12</v>
      </c>
      <c r="B15" s="105">
        <v>46210</v>
      </c>
      <c r="C15" s="97">
        <v>1</v>
      </c>
      <c r="D15" s="106">
        <v>2500000</v>
      </c>
      <c r="E15" s="107">
        <f t="shared" si="0"/>
        <v>2500000</v>
      </c>
      <c r="F15" s="108">
        <v>1</v>
      </c>
      <c r="G15" s="109">
        <v>1800000</v>
      </c>
      <c r="H15" s="110">
        <f>G15*F15</f>
        <v>1800000</v>
      </c>
      <c r="I15" s="97"/>
      <c r="J15" s="106">
        <v>7000</v>
      </c>
      <c r="K15" s="107">
        <f t="shared" si="2"/>
        <v>0</v>
      </c>
      <c r="L15" s="111"/>
      <c r="M15" s="106">
        <v>5000</v>
      </c>
      <c r="N15" s="107">
        <f t="shared" si="3"/>
        <v>0</v>
      </c>
      <c r="O15" s="107">
        <f t="shared" si="4"/>
        <v>4300000</v>
      </c>
    </row>
    <row r="16" spans="1:15" ht="22.5" customHeight="1" x14ac:dyDescent="0.3">
      <c r="A16" s="66">
        <v>13</v>
      </c>
      <c r="B16" s="52">
        <v>46211</v>
      </c>
      <c r="C16" s="95">
        <v>1</v>
      </c>
      <c r="D16" s="81">
        <v>2500000</v>
      </c>
      <c r="E16" s="79">
        <f t="shared" si="0"/>
        <v>2500000</v>
      </c>
      <c r="F16" s="53">
        <v>3</v>
      </c>
      <c r="G16" s="80">
        <v>1800000</v>
      </c>
      <c r="H16" s="54">
        <f t="shared" si="1"/>
        <v>5400000</v>
      </c>
      <c r="I16" s="95"/>
      <c r="J16" s="81">
        <v>7000</v>
      </c>
      <c r="K16" s="79">
        <f t="shared" si="2"/>
        <v>0</v>
      </c>
      <c r="L16" s="96"/>
      <c r="M16" s="81">
        <v>5000</v>
      </c>
      <c r="N16" s="79">
        <f t="shared" si="3"/>
        <v>0</v>
      </c>
      <c r="O16" s="79">
        <f t="shared" si="4"/>
        <v>7900000</v>
      </c>
    </row>
    <row r="17" spans="1:15" ht="22" customHeight="1" x14ac:dyDescent="0.3">
      <c r="A17" s="66">
        <v>14</v>
      </c>
      <c r="B17" s="52">
        <v>46212</v>
      </c>
      <c r="C17" s="95">
        <v>1</v>
      </c>
      <c r="D17" s="81">
        <v>2500000</v>
      </c>
      <c r="E17" s="79">
        <f t="shared" si="0"/>
        <v>2500000</v>
      </c>
      <c r="F17" s="95">
        <v>2</v>
      </c>
      <c r="G17" s="80">
        <v>1800000</v>
      </c>
      <c r="H17" s="54">
        <f t="shared" si="1"/>
        <v>3600000</v>
      </c>
      <c r="I17" s="95"/>
      <c r="J17" s="81">
        <v>7000</v>
      </c>
      <c r="K17" s="79">
        <f t="shared" si="2"/>
        <v>0</v>
      </c>
      <c r="L17" s="96"/>
      <c r="M17" s="81">
        <v>5000</v>
      </c>
      <c r="N17" s="79">
        <f t="shared" si="3"/>
        <v>0</v>
      </c>
      <c r="O17" s="79">
        <f t="shared" si="4"/>
        <v>6100000</v>
      </c>
    </row>
    <row r="18" spans="1:15" ht="22" customHeight="1" x14ac:dyDescent="0.3">
      <c r="A18" s="66">
        <v>15</v>
      </c>
      <c r="B18" s="52">
        <v>46213</v>
      </c>
      <c r="C18" s="95">
        <v>1</v>
      </c>
      <c r="D18" s="81">
        <v>2500000</v>
      </c>
      <c r="E18" s="79">
        <f t="shared" si="0"/>
        <v>2500000</v>
      </c>
      <c r="F18" s="95">
        <v>1</v>
      </c>
      <c r="G18" s="80">
        <v>1800000</v>
      </c>
      <c r="H18" s="54">
        <f t="shared" si="1"/>
        <v>1800000</v>
      </c>
      <c r="I18" s="95"/>
      <c r="J18" s="81">
        <v>7000</v>
      </c>
      <c r="K18" s="79">
        <f t="shared" si="2"/>
        <v>0</v>
      </c>
      <c r="L18" s="96"/>
      <c r="M18" s="81">
        <v>5000</v>
      </c>
      <c r="N18" s="79">
        <f t="shared" si="3"/>
        <v>0</v>
      </c>
      <c r="O18" s="79">
        <f t="shared" si="4"/>
        <v>4300000</v>
      </c>
    </row>
    <row r="19" spans="1:15" ht="22" customHeight="1" x14ac:dyDescent="0.3">
      <c r="A19" s="66">
        <v>16</v>
      </c>
      <c r="B19" s="52">
        <v>46214</v>
      </c>
      <c r="C19" s="95">
        <v>1</v>
      </c>
      <c r="D19" s="81">
        <v>2500000</v>
      </c>
      <c r="E19" s="79">
        <f t="shared" si="0"/>
        <v>2500000</v>
      </c>
      <c r="F19" s="95">
        <v>2</v>
      </c>
      <c r="G19" s="80">
        <v>1800000</v>
      </c>
      <c r="H19" s="54">
        <f t="shared" si="1"/>
        <v>3600000</v>
      </c>
      <c r="I19" s="95"/>
      <c r="J19" s="81">
        <v>7000</v>
      </c>
      <c r="K19" s="79">
        <f t="shared" si="2"/>
        <v>0</v>
      </c>
      <c r="L19" s="96"/>
      <c r="M19" s="81">
        <v>5000</v>
      </c>
      <c r="N19" s="79">
        <f t="shared" si="3"/>
        <v>0</v>
      </c>
      <c r="O19" s="79">
        <f t="shared" si="4"/>
        <v>6100000</v>
      </c>
    </row>
    <row r="20" spans="1:15" ht="22" customHeight="1" x14ac:dyDescent="0.3">
      <c r="A20" s="66">
        <v>17</v>
      </c>
      <c r="B20" s="52">
        <v>46215</v>
      </c>
      <c r="C20" s="95">
        <v>0</v>
      </c>
      <c r="D20" s="81">
        <v>2500000</v>
      </c>
      <c r="E20" s="79">
        <f t="shared" si="0"/>
        <v>0</v>
      </c>
      <c r="F20" s="95">
        <v>0</v>
      </c>
      <c r="G20" s="80">
        <v>1800000</v>
      </c>
      <c r="H20" s="54">
        <f t="shared" si="1"/>
        <v>0</v>
      </c>
      <c r="I20" s="95"/>
      <c r="J20" s="81">
        <v>7000</v>
      </c>
      <c r="K20" s="79">
        <f t="shared" si="2"/>
        <v>0</v>
      </c>
      <c r="L20" s="96"/>
      <c r="M20" s="81">
        <v>5000</v>
      </c>
      <c r="N20" s="79">
        <f t="shared" si="3"/>
        <v>0</v>
      </c>
      <c r="O20" s="79">
        <f t="shared" si="4"/>
        <v>0</v>
      </c>
    </row>
    <row r="21" spans="1:15" ht="22" customHeight="1" x14ac:dyDescent="0.3">
      <c r="A21" s="66">
        <v>18</v>
      </c>
      <c r="B21" s="52">
        <v>46216</v>
      </c>
      <c r="C21" s="95">
        <v>1</v>
      </c>
      <c r="D21" s="81">
        <v>2500000</v>
      </c>
      <c r="E21" s="79">
        <f t="shared" si="0"/>
        <v>2500000</v>
      </c>
      <c r="F21" s="95">
        <v>1</v>
      </c>
      <c r="G21" s="80">
        <v>1800000</v>
      </c>
      <c r="H21" s="54">
        <f t="shared" si="1"/>
        <v>1800000</v>
      </c>
      <c r="I21" s="95"/>
      <c r="J21" s="81">
        <v>7000</v>
      </c>
      <c r="K21" s="79">
        <f t="shared" si="2"/>
        <v>0</v>
      </c>
      <c r="L21" s="96"/>
      <c r="M21" s="81">
        <v>5000</v>
      </c>
      <c r="N21" s="79">
        <f t="shared" si="3"/>
        <v>0</v>
      </c>
      <c r="O21" s="79">
        <f t="shared" si="4"/>
        <v>4300000</v>
      </c>
    </row>
    <row r="22" spans="1:15" ht="22" customHeight="1" x14ac:dyDescent="0.3">
      <c r="A22" s="66">
        <v>19</v>
      </c>
      <c r="B22" s="52">
        <v>46217</v>
      </c>
      <c r="C22" s="95">
        <v>1</v>
      </c>
      <c r="D22" s="81">
        <v>2500000</v>
      </c>
      <c r="E22" s="79">
        <f t="shared" si="0"/>
        <v>2500000</v>
      </c>
      <c r="F22" s="95">
        <v>2</v>
      </c>
      <c r="G22" s="80">
        <v>1800000</v>
      </c>
      <c r="H22" s="54">
        <f t="shared" si="1"/>
        <v>3600000</v>
      </c>
      <c r="I22" s="95"/>
      <c r="J22" s="81">
        <v>7000</v>
      </c>
      <c r="K22" s="79">
        <f t="shared" si="2"/>
        <v>0</v>
      </c>
      <c r="L22" s="96"/>
      <c r="M22" s="81">
        <v>5000</v>
      </c>
      <c r="N22" s="79">
        <f t="shared" si="3"/>
        <v>0</v>
      </c>
      <c r="O22" s="79">
        <f t="shared" si="4"/>
        <v>6100000</v>
      </c>
    </row>
    <row r="23" spans="1:15" ht="22" customHeight="1" x14ac:dyDescent="0.3">
      <c r="A23" s="66">
        <v>20</v>
      </c>
      <c r="B23" s="52">
        <v>46218</v>
      </c>
      <c r="C23" s="95">
        <v>2</v>
      </c>
      <c r="D23" s="81">
        <v>2500000</v>
      </c>
      <c r="E23" s="79">
        <f t="shared" si="0"/>
        <v>5000000</v>
      </c>
      <c r="F23" s="95">
        <v>2</v>
      </c>
      <c r="G23" s="80">
        <v>1800000</v>
      </c>
      <c r="H23" s="54">
        <f t="shared" si="1"/>
        <v>3600000</v>
      </c>
      <c r="I23" s="95"/>
      <c r="J23" s="81">
        <v>7000</v>
      </c>
      <c r="K23" s="79">
        <f t="shared" si="2"/>
        <v>0</v>
      </c>
      <c r="L23" s="96"/>
      <c r="M23" s="81">
        <v>5000</v>
      </c>
      <c r="N23" s="79">
        <f t="shared" si="3"/>
        <v>0</v>
      </c>
      <c r="O23" s="79">
        <f t="shared" si="4"/>
        <v>8600000</v>
      </c>
    </row>
    <row r="24" spans="1:15" ht="22" customHeight="1" x14ac:dyDescent="0.3">
      <c r="A24" s="66">
        <v>21</v>
      </c>
      <c r="B24" s="52">
        <v>46219</v>
      </c>
      <c r="C24" s="95">
        <v>2</v>
      </c>
      <c r="D24" s="81">
        <v>2500000</v>
      </c>
      <c r="E24" s="79">
        <f t="shared" si="0"/>
        <v>5000000</v>
      </c>
      <c r="F24" s="95">
        <v>2</v>
      </c>
      <c r="G24" s="80">
        <v>1800000</v>
      </c>
      <c r="H24" s="54">
        <f t="shared" si="1"/>
        <v>3600000</v>
      </c>
      <c r="I24" s="95"/>
      <c r="J24" s="81">
        <v>7000</v>
      </c>
      <c r="K24" s="79">
        <f t="shared" si="2"/>
        <v>0</v>
      </c>
      <c r="L24" s="96"/>
      <c r="M24" s="81">
        <v>5000</v>
      </c>
      <c r="N24" s="79">
        <f t="shared" si="3"/>
        <v>0</v>
      </c>
      <c r="O24" s="79">
        <f t="shared" si="4"/>
        <v>8600000</v>
      </c>
    </row>
    <row r="25" spans="1:15" ht="22" customHeight="1" x14ac:dyDescent="0.3">
      <c r="A25" s="66">
        <v>22</v>
      </c>
      <c r="B25" s="52">
        <v>46220</v>
      </c>
      <c r="C25" s="95">
        <v>1</v>
      </c>
      <c r="D25" s="81">
        <v>2500000</v>
      </c>
      <c r="E25" s="79">
        <f t="shared" si="0"/>
        <v>2500000</v>
      </c>
      <c r="F25" s="95">
        <v>2</v>
      </c>
      <c r="G25" s="80">
        <v>1800000</v>
      </c>
      <c r="H25" s="54">
        <f>G25*F25</f>
        <v>3600000</v>
      </c>
      <c r="I25" s="95"/>
      <c r="J25" s="81">
        <v>7000</v>
      </c>
      <c r="K25" s="79">
        <f t="shared" si="2"/>
        <v>0</v>
      </c>
      <c r="L25" s="96"/>
      <c r="M25" s="81">
        <v>5000</v>
      </c>
      <c r="N25" s="79">
        <f t="shared" si="3"/>
        <v>0</v>
      </c>
      <c r="O25" s="79">
        <f t="shared" si="4"/>
        <v>6100000</v>
      </c>
    </row>
    <row r="26" spans="1:15" ht="22" customHeight="1" x14ac:dyDescent="0.3">
      <c r="A26" s="66">
        <v>23</v>
      </c>
      <c r="B26" s="52">
        <v>46221</v>
      </c>
      <c r="C26" s="95">
        <v>1</v>
      </c>
      <c r="D26" s="81">
        <v>2500000</v>
      </c>
      <c r="E26" s="79">
        <f t="shared" si="0"/>
        <v>2500000</v>
      </c>
      <c r="F26" s="95">
        <v>1</v>
      </c>
      <c r="G26" s="80">
        <v>1800000</v>
      </c>
      <c r="H26" s="54">
        <f t="shared" ref="H26:H32" si="5">G26*F26</f>
        <v>1800000</v>
      </c>
      <c r="I26" s="95"/>
      <c r="J26" s="81">
        <v>7000</v>
      </c>
      <c r="K26" s="79">
        <f t="shared" si="2"/>
        <v>0</v>
      </c>
      <c r="L26" s="96"/>
      <c r="M26" s="81">
        <v>5000</v>
      </c>
      <c r="N26" s="79">
        <f t="shared" si="3"/>
        <v>0</v>
      </c>
      <c r="O26" s="79">
        <f t="shared" si="4"/>
        <v>4300000</v>
      </c>
    </row>
    <row r="27" spans="1:15" ht="22" customHeight="1" x14ac:dyDescent="0.3">
      <c r="A27" s="66">
        <v>24</v>
      </c>
      <c r="B27" s="52">
        <v>46222</v>
      </c>
      <c r="C27" s="95">
        <v>1</v>
      </c>
      <c r="D27" s="81">
        <v>2500000</v>
      </c>
      <c r="E27" s="79">
        <f t="shared" si="0"/>
        <v>2500000</v>
      </c>
      <c r="F27" s="95">
        <v>2</v>
      </c>
      <c r="G27" s="80">
        <v>1800000</v>
      </c>
      <c r="H27" s="54">
        <f t="shared" si="5"/>
        <v>3600000</v>
      </c>
      <c r="I27" s="95"/>
      <c r="J27" s="81">
        <v>7000</v>
      </c>
      <c r="K27" s="79">
        <f t="shared" si="2"/>
        <v>0</v>
      </c>
      <c r="L27" s="96"/>
      <c r="M27" s="81">
        <v>5000</v>
      </c>
      <c r="N27" s="79">
        <f t="shared" si="3"/>
        <v>0</v>
      </c>
      <c r="O27" s="79">
        <f t="shared" si="4"/>
        <v>6100000</v>
      </c>
    </row>
    <row r="28" spans="1:15" ht="22" customHeight="1" x14ac:dyDescent="0.3">
      <c r="A28" s="66">
        <v>25</v>
      </c>
      <c r="B28" s="52">
        <v>46223</v>
      </c>
      <c r="C28" s="95">
        <v>1</v>
      </c>
      <c r="D28" s="81">
        <v>2500000</v>
      </c>
      <c r="E28" s="79">
        <f t="shared" si="0"/>
        <v>2500000</v>
      </c>
      <c r="F28" s="95">
        <v>1</v>
      </c>
      <c r="G28" s="80">
        <v>1800000</v>
      </c>
      <c r="H28" s="54">
        <f t="shared" si="5"/>
        <v>1800000</v>
      </c>
      <c r="I28" s="95"/>
      <c r="J28" s="81">
        <v>7000</v>
      </c>
      <c r="K28" s="79">
        <f t="shared" si="2"/>
        <v>0</v>
      </c>
      <c r="L28" s="96"/>
      <c r="M28" s="81">
        <v>5000</v>
      </c>
      <c r="N28" s="79">
        <f t="shared" si="3"/>
        <v>0</v>
      </c>
      <c r="O28" s="79">
        <f t="shared" si="4"/>
        <v>4300000</v>
      </c>
    </row>
    <row r="29" spans="1:15" ht="22" customHeight="1" x14ac:dyDescent="0.3">
      <c r="A29" s="66">
        <v>26</v>
      </c>
      <c r="B29" s="52">
        <v>46224</v>
      </c>
      <c r="C29" s="95">
        <v>1</v>
      </c>
      <c r="D29" s="81">
        <v>2500000</v>
      </c>
      <c r="E29" s="79">
        <f t="shared" si="0"/>
        <v>2500000</v>
      </c>
      <c r="F29" s="95">
        <v>2</v>
      </c>
      <c r="G29" s="80">
        <v>1800000</v>
      </c>
      <c r="H29" s="54">
        <f t="shared" si="5"/>
        <v>3600000</v>
      </c>
      <c r="I29" s="95"/>
      <c r="J29" s="81">
        <v>7000</v>
      </c>
      <c r="K29" s="79">
        <f t="shared" si="2"/>
        <v>0</v>
      </c>
      <c r="L29" s="96"/>
      <c r="M29" s="81">
        <v>5000</v>
      </c>
      <c r="N29" s="79">
        <f t="shared" si="3"/>
        <v>0</v>
      </c>
      <c r="O29" s="79">
        <f t="shared" si="4"/>
        <v>6100000</v>
      </c>
    </row>
    <row r="30" spans="1:15" ht="22" customHeight="1" x14ac:dyDescent="0.3">
      <c r="A30" s="66">
        <v>27</v>
      </c>
      <c r="B30" s="52">
        <v>46225</v>
      </c>
      <c r="C30" s="95">
        <v>2</v>
      </c>
      <c r="D30" s="81">
        <v>2500000</v>
      </c>
      <c r="E30" s="79">
        <f t="shared" si="0"/>
        <v>5000000</v>
      </c>
      <c r="F30" s="95">
        <v>2</v>
      </c>
      <c r="G30" s="80">
        <v>1800000</v>
      </c>
      <c r="H30" s="54">
        <f t="shared" si="5"/>
        <v>3600000</v>
      </c>
      <c r="I30" s="95"/>
      <c r="J30" s="81">
        <v>7000</v>
      </c>
      <c r="K30" s="79">
        <f t="shared" si="2"/>
        <v>0</v>
      </c>
      <c r="L30" s="96"/>
      <c r="M30" s="81">
        <v>5000</v>
      </c>
      <c r="N30" s="79">
        <f t="shared" si="3"/>
        <v>0</v>
      </c>
      <c r="O30" s="79">
        <f t="shared" si="4"/>
        <v>8600000</v>
      </c>
    </row>
    <row r="31" spans="1:15" ht="22" customHeight="1" x14ac:dyDescent="0.3">
      <c r="A31" s="66">
        <v>28</v>
      </c>
      <c r="B31" s="52">
        <v>46226</v>
      </c>
      <c r="C31" s="95">
        <v>1</v>
      </c>
      <c r="D31" s="81">
        <v>2500000</v>
      </c>
      <c r="E31" s="79">
        <f t="shared" si="0"/>
        <v>2500000</v>
      </c>
      <c r="F31" s="95">
        <v>2</v>
      </c>
      <c r="G31" s="80">
        <v>1800000</v>
      </c>
      <c r="H31" s="54">
        <f t="shared" si="5"/>
        <v>3600000</v>
      </c>
      <c r="I31" s="95"/>
      <c r="J31" s="81">
        <v>7000</v>
      </c>
      <c r="K31" s="79">
        <f t="shared" si="2"/>
        <v>0</v>
      </c>
      <c r="L31" s="96"/>
      <c r="M31" s="81">
        <v>5000</v>
      </c>
      <c r="N31" s="79">
        <f t="shared" si="3"/>
        <v>0</v>
      </c>
      <c r="O31" s="79">
        <f t="shared" si="4"/>
        <v>6100000</v>
      </c>
    </row>
    <row r="32" spans="1:15" ht="22" customHeight="1" x14ac:dyDescent="0.3">
      <c r="A32" s="66">
        <v>29</v>
      </c>
      <c r="B32" s="52">
        <v>46227</v>
      </c>
      <c r="C32" s="95">
        <v>1</v>
      </c>
      <c r="D32" s="81">
        <v>2500000</v>
      </c>
      <c r="E32" s="79">
        <f t="shared" si="0"/>
        <v>2500000</v>
      </c>
      <c r="F32" s="95">
        <v>2</v>
      </c>
      <c r="G32" s="80">
        <v>1800000</v>
      </c>
      <c r="H32" s="54">
        <f t="shared" si="5"/>
        <v>3600000</v>
      </c>
      <c r="I32" s="95"/>
      <c r="J32" s="81">
        <v>7000</v>
      </c>
      <c r="K32" s="79">
        <f t="shared" si="2"/>
        <v>0</v>
      </c>
      <c r="L32" s="96"/>
      <c r="M32" s="81">
        <v>5000</v>
      </c>
      <c r="N32" s="79">
        <f t="shared" si="3"/>
        <v>0</v>
      </c>
      <c r="O32" s="79">
        <f t="shared" si="4"/>
        <v>6100000</v>
      </c>
    </row>
    <row r="33" spans="1:15" ht="22" customHeight="1" x14ac:dyDescent="0.3">
      <c r="A33" s="66">
        <v>30</v>
      </c>
      <c r="B33" s="52">
        <v>46228</v>
      </c>
      <c r="C33" s="53">
        <v>2</v>
      </c>
      <c r="D33" s="62">
        <v>2500000</v>
      </c>
      <c r="E33" s="54">
        <f t="shared" si="0"/>
        <v>5000000</v>
      </c>
      <c r="F33" s="53">
        <v>1</v>
      </c>
      <c r="G33" s="59">
        <v>1800000</v>
      </c>
      <c r="H33" s="54">
        <f t="shared" si="1"/>
        <v>1800000</v>
      </c>
      <c r="I33" s="53"/>
      <c r="J33" s="62">
        <v>7000</v>
      </c>
      <c r="K33" s="54">
        <f t="shared" si="2"/>
        <v>0</v>
      </c>
      <c r="L33" s="67"/>
      <c r="M33" s="62">
        <v>5000</v>
      </c>
      <c r="N33" s="54">
        <f t="shared" si="3"/>
        <v>0</v>
      </c>
      <c r="O33" s="54">
        <f t="shared" si="4"/>
        <v>6800000</v>
      </c>
    </row>
    <row r="34" spans="1:15" ht="17" customHeight="1" x14ac:dyDescent="0.3">
      <c r="A34" s="119"/>
      <c r="B34" s="119"/>
      <c r="C34" s="100">
        <f>SUM(C4:C33)</f>
        <v>33</v>
      </c>
      <c r="D34" s="100"/>
      <c r="E34" s="101">
        <f>SUM(E4:E33)</f>
        <v>82500000</v>
      </c>
      <c r="F34" s="101">
        <f>SUM(F4:F33)</f>
        <v>47</v>
      </c>
      <c r="G34" s="101"/>
      <c r="H34" s="101">
        <f>SUM(H4:H33)</f>
        <v>84600000</v>
      </c>
      <c r="I34" s="101">
        <f>SUM(I4:I33)</f>
        <v>0</v>
      </c>
      <c r="J34" s="101"/>
      <c r="K34" s="101">
        <f>SUM(K4:K33)</f>
        <v>0</v>
      </c>
      <c r="L34" s="101">
        <f>SUM(L4:L33)</f>
        <v>0</v>
      </c>
      <c r="M34" s="101"/>
      <c r="N34" s="101">
        <f>SUM(N4:N33)</f>
        <v>0</v>
      </c>
      <c r="O34" s="101">
        <f>SUM(O4:O33)</f>
        <v>167100000</v>
      </c>
    </row>
    <row r="35" spans="1:15" ht="17" customHeight="1" x14ac:dyDescent="0.3">
      <c r="A35" s="120" t="s">
        <v>34</v>
      </c>
      <c r="B35" s="121"/>
      <c r="C35" s="121"/>
      <c r="D35" s="121"/>
      <c r="E35" s="122"/>
      <c r="F35" s="53"/>
      <c r="G35" s="103"/>
      <c r="H35" s="102"/>
      <c r="I35" s="102"/>
      <c r="J35" s="102"/>
      <c r="K35" s="102"/>
      <c r="L35" s="123" t="s">
        <v>34</v>
      </c>
      <c r="M35" s="123"/>
      <c r="N35" s="123"/>
      <c r="O35" s="123"/>
    </row>
    <row r="36" spans="1:15" ht="24" customHeight="1" x14ac:dyDescent="0.3">
      <c r="B36" s="118" t="s">
        <v>37</v>
      </c>
      <c r="C36" s="118"/>
      <c r="D36" s="118"/>
      <c r="E36" s="118"/>
      <c r="F36" s="37"/>
      <c r="G36" s="56"/>
      <c r="H36" s="37"/>
      <c r="I36" s="37"/>
      <c r="J36" s="37"/>
      <c r="K36" s="37"/>
      <c r="L36" s="118" t="s">
        <v>38</v>
      </c>
      <c r="M36" s="118"/>
      <c r="N36" s="118"/>
      <c r="O36" s="118"/>
    </row>
    <row r="39" spans="1:15" x14ac:dyDescent="0.3">
      <c r="N39" s="65"/>
    </row>
    <row r="40" spans="1:15" x14ac:dyDescent="0.3">
      <c r="N40" s="65"/>
    </row>
    <row r="41" spans="1:15" x14ac:dyDescent="0.3">
      <c r="B41" s="124"/>
      <c r="C41" s="124"/>
      <c r="D41" s="124"/>
      <c r="E41" s="124"/>
      <c r="N41" s="65"/>
    </row>
    <row r="43" spans="1:15" x14ac:dyDescent="0.3">
      <c r="E43" s="65"/>
    </row>
    <row r="45" spans="1:15" x14ac:dyDescent="0.3">
      <c r="B45" s="118" t="s">
        <v>51</v>
      </c>
      <c r="C45" s="118"/>
      <c r="D45" s="118"/>
      <c r="E45" s="118"/>
    </row>
  </sheetData>
  <mergeCells count="13">
    <mergeCell ref="A3:B3"/>
    <mergeCell ref="A1:O1"/>
    <mergeCell ref="C2:E2"/>
    <mergeCell ref="F2:H2"/>
    <mergeCell ref="I2:K2"/>
    <mergeCell ref="L2:N2"/>
    <mergeCell ref="B45:E45"/>
    <mergeCell ref="A34:B34"/>
    <mergeCell ref="A35:E35"/>
    <mergeCell ref="L35:O35"/>
    <mergeCell ref="B36:E36"/>
    <mergeCell ref="L36:O36"/>
    <mergeCell ref="B41:E41"/>
  </mergeCells>
  <pageMargins left="0.19" right="0.17" top="0.89500000000000002" bottom="0.75" header="0.3" footer="0.3"/>
  <pageSetup scale="7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91BFE-519A-4803-BF15-9A62D85831A8}">
  <dimension ref="A1:O45"/>
  <sheetViews>
    <sheetView tabSelected="1" topLeftCell="A21" zoomScale="80" zoomScaleNormal="80" zoomScaleSheetLayoutView="100" workbookViewId="0">
      <selection activeCell="L30" sqref="L30"/>
    </sheetView>
  </sheetViews>
  <sheetFormatPr defaultColWidth="9.36328125" defaultRowHeight="12" x14ac:dyDescent="0.3"/>
  <cols>
    <col min="1" max="1" width="5.7265625" style="32" customWidth="1"/>
    <col min="2" max="3" width="9.36328125" style="32" customWidth="1"/>
    <col min="4" max="4" width="16.453125" style="32" customWidth="1"/>
    <col min="5" max="5" width="15.90625" style="32" customWidth="1"/>
    <col min="6" max="6" width="8.1796875" style="32" customWidth="1"/>
    <col min="7" max="7" width="17.36328125" style="38" customWidth="1"/>
    <col min="8" max="8" width="16.6328125" style="32" customWidth="1"/>
    <col min="9" max="9" width="8.36328125" style="32" customWidth="1"/>
    <col min="10" max="10" width="11.453125" style="32" customWidth="1"/>
    <col min="11" max="11" width="11.6328125" style="32" customWidth="1"/>
    <col min="12" max="12" width="7.54296875" style="32" customWidth="1"/>
    <col min="13" max="13" width="16.26953125" style="32" customWidth="1"/>
    <col min="14" max="14" width="15.81640625" style="32" customWidth="1"/>
    <col min="15" max="15" width="18.36328125" style="32" customWidth="1"/>
    <col min="16" max="16384" width="9.36328125" style="32"/>
  </cols>
  <sheetData>
    <row r="1" spans="1:15" ht="29.5" customHeight="1" x14ac:dyDescent="0.3">
      <c r="A1" s="113" t="s">
        <v>65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</row>
    <row r="2" spans="1:15" ht="19.5" customHeight="1" x14ac:dyDescent="0.3">
      <c r="A2" s="39" t="s">
        <v>21</v>
      </c>
      <c r="B2" s="40" t="s">
        <v>22</v>
      </c>
      <c r="C2" s="114" t="s">
        <v>23</v>
      </c>
      <c r="D2" s="114"/>
      <c r="E2" s="114"/>
      <c r="F2" s="114" t="s">
        <v>24</v>
      </c>
      <c r="G2" s="114"/>
      <c r="H2" s="114"/>
      <c r="I2" s="115" t="s">
        <v>25</v>
      </c>
      <c r="J2" s="116"/>
      <c r="K2" s="117"/>
      <c r="L2" s="114" t="s">
        <v>26</v>
      </c>
      <c r="M2" s="114"/>
      <c r="N2" s="114"/>
      <c r="O2" s="41" t="s">
        <v>27</v>
      </c>
    </row>
    <row r="3" spans="1:15" ht="21.5" customHeight="1" x14ac:dyDescent="0.3">
      <c r="A3" s="112" t="s">
        <v>28</v>
      </c>
      <c r="B3" s="112"/>
      <c r="C3" s="88" t="s">
        <v>29</v>
      </c>
      <c r="D3" s="89" t="s">
        <v>30</v>
      </c>
      <c r="E3" s="90" t="s">
        <v>31</v>
      </c>
      <c r="F3" s="91" t="s">
        <v>29</v>
      </c>
      <c r="G3" s="92" t="s">
        <v>30</v>
      </c>
      <c r="H3" s="90" t="s">
        <v>32</v>
      </c>
      <c r="I3" s="93" t="s">
        <v>29</v>
      </c>
      <c r="J3" s="89" t="s">
        <v>30</v>
      </c>
      <c r="K3" s="90" t="s">
        <v>32</v>
      </c>
      <c r="L3" s="93" t="s">
        <v>33</v>
      </c>
      <c r="M3" s="89" t="s">
        <v>30</v>
      </c>
      <c r="N3" s="90" t="s">
        <v>32</v>
      </c>
      <c r="O3" s="94"/>
    </row>
    <row r="4" spans="1:15" ht="24.5" customHeight="1" x14ac:dyDescent="0.3">
      <c r="A4" s="66">
        <v>1</v>
      </c>
      <c r="B4" s="52">
        <v>46229</v>
      </c>
      <c r="C4" s="53">
        <v>0</v>
      </c>
      <c r="D4" s="62">
        <v>2500000</v>
      </c>
      <c r="E4" s="54">
        <f t="shared" ref="E4:E33" si="0">D4*C4</f>
        <v>0</v>
      </c>
      <c r="F4" s="53">
        <v>0</v>
      </c>
      <c r="G4" s="59">
        <v>1800000</v>
      </c>
      <c r="H4" s="54">
        <f t="shared" ref="H4:H33" si="1">G4*F4</f>
        <v>0</v>
      </c>
      <c r="I4" s="53"/>
      <c r="J4" s="62">
        <v>7000</v>
      </c>
      <c r="K4" s="54">
        <f t="shared" ref="K4:K33" si="2">J4*I4</f>
        <v>0</v>
      </c>
      <c r="L4" s="67"/>
      <c r="M4" s="62">
        <v>5000</v>
      </c>
      <c r="N4" s="54">
        <f t="shared" ref="N4:N33" si="3">L4*M4</f>
        <v>0</v>
      </c>
      <c r="O4" s="54">
        <f t="shared" ref="O4:O33" si="4">E4+H4+N4+K4</f>
        <v>0</v>
      </c>
    </row>
    <row r="5" spans="1:15" ht="22" customHeight="1" x14ac:dyDescent="0.3">
      <c r="A5" s="66">
        <v>2</v>
      </c>
      <c r="B5" s="52">
        <v>46230</v>
      </c>
      <c r="C5" s="95">
        <v>1</v>
      </c>
      <c r="D5" s="81">
        <v>2500000</v>
      </c>
      <c r="E5" s="79">
        <f>D5*C5</f>
        <v>2500000</v>
      </c>
      <c r="F5" s="95">
        <v>2</v>
      </c>
      <c r="G5" s="80">
        <v>1800000</v>
      </c>
      <c r="H5" s="54">
        <f t="shared" si="1"/>
        <v>3600000</v>
      </c>
      <c r="I5" s="95"/>
      <c r="J5" s="81">
        <v>7000</v>
      </c>
      <c r="K5" s="79">
        <f t="shared" si="2"/>
        <v>0</v>
      </c>
      <c r="L5" s="96"/>
      <c r="M5" s="81">
        <v>5000</v>
      </c>
      <c r="N5" s="79">
        <f t="shared" si="3"/>
        <v>0</v>
      </c>
      <c r="O5" s="79">
        <f t="shared" si="4"/>
        <v>6100000</v>
      </c>
    </row>
    <row r="6" spans="1:15" ht="22" customHeight="1" x14ac:dyDescent="0.3">
      <c r="A6" s="66">
        <v>3</v>
      </c>
      <c r="B6" s="52">
        <v>46231</v>
      </c>
      <c r="C6" s="95">
        <v>1</v>
      </c>
      <c r="D6" s="81">
        <v>2500000</v>
      </c>
      <c r="E6" s="79">
        <f t="shared" si="0"/>
        <v>2500000</v>
      </c>
      <c r="F6" s="95">
        <v>2</v>
      </c>
      <c r="G6" s="80">
        <v>1800000</v>
      </c>
      <c r="H6" s="54">
        <f t="shared" si="1"/>
        <v>3600000</v>
      </c>
      <c r="I6" s="95"/>
      <c r="J6" s="81">
        <v>7000</v>
      </c>
      <c r="K6" s="79">
        <f t="shared" si="2"/>
        <v>0</v>
      </c>
      <c r="L6" s="96"/>
      <c r="M6" s="81">
        <v>5000</v>
      </c>
      <c r="N6" s="79">
        <f t="shared" si="3"/>
        <v>0</v>
      </c>
      <c r="O6" s="79">
        <f t="shared" si="4"/>
        <v>6100000</v>
      </c>
    </row>
    <row r="7" spans="1:15" ht="22" customHeight="1" x14ac:dyDescent="0.3">
      <c r="A7" s="66">
        <v>4</v>
      </c>
      <c r="B7" s="52">
        <v>46232</v>
      </c>
      <c r="C7" s="95">
        <v>2</v>
      </c>
      <c r="D7" s="81">
        <v>2500000</v>
      </c>
      <c r="E7" s="79">
        <f t="shared" si="0"/>
        <v>5000000</v>
      </c>
      <c r="F7" s="95">
        <v>2</v>
      </c>
      <c r="G7" s="80">
        <v>1800000</v>
      </c>
      <c r="H7" s="54">
        <f t="shared" si="1"/>
        <v>3600000</v>
      </c>
      <c r="I7" s="95"/>
      <c r="J7" s="81">
        <v>7000</v>
      </c>
      <c r="K7" s="79">
        <f t="shared" si="2"/>
        <v>0</v>
      </c>
      <c r="L7" s="96"/>
      <c r="M7" s="81">
        <v>5000</v>
      </c>
      <c r="N7" s="79">
        <f t="shared" si="3"/>
        <v>0</v>
      </c>
      <c r="O7" s="79">
        <f>E7+H7+N7+K7</f>
        <v>8600000</v>
      </c>
    </row>
    <row r="8" spans="1:15" ht="22" customHeight="1" x14ac:dyDescent="0.3">
      <c r="A8" s="66">
        <v>5</v>
      </c>
      <c r="B8" s="52">
        <v>46233</v>
      </c>
      <c r="C8" s="95">
        <v>2</v>
      </c>
      <c r="D8" s="81">
        <v>2500000</v>
      </c>
      <c r="E8" s="79">
        <f t="shared" si="0"/>
        <v>5000000</v>
      </c>
      <c r="F8" s="95">
        <v>2</v>
      </c>
      <c r="G8" s="80">
        <v>1800000</v>
      </c>
      <c r="H8" s="54">
        <f t="shared" si="1"/>
        <v>3600000</v>
      </c>
      <c r="I8" s="95"/>
      <c r="J8" s="81">
        <v>7000</v>
      </c>
      <c r="K8" s="79">
        <f t="shared" si="2"/>
        <v>0</v>
      </c>
      <c r="L8" s="96"/>
      <c r="M8" s="81">
        <v>5000</v>
      </c>
      <c r="N8" s="79">
        <f t="shared" si="3"/>
        <v>0</v>
      </c>
      <c r="O8" s="79">
        <f t="shared" si="4"/>
        <v>8600000</v>
      </c>
    </row>
    <row r="9" spans="1:15" ht="22" customHeight="1" x14ac:dyDescent="0.3">
      <c r="A9" s="66">
        <v>6</v>
      </c>
      <c r="B9" s="52">
        <v>46234</v>
      </c>
      <c r="C9" s="95">
        <v>1</v>
      </c>
      <c r="D9" s="81">
        <v>2500000</v>
      </c>
      <c r="E9" s="79">
        <f t="shared" si="0"/>
        <v>2500000</v>
      </c>
      <c r="F9" s="95">
        <v>2</v>
      </c>
      <c r="G9" s="80">
        <v>1800000</v>
      </c>
      <c r="H9" s="54">
        <f t="shared" si="1"/>
        <v>3600000</v>
      </c>
      <c r="I9" s="95"/>
      <c r="J9" s="81">
        <v>7000</v>
      </c>
      <c r="K9" s="79">
        <f t="shared" si="2"/>
        <v>0</v>
      </c>
      <c r="L9" s="96"/>
      <c r="M9" s="81">
        <v>5000</v>
      </c>
      <c r="N9" s="79">
        <f t="shared" si="3"/>
        <v>0</v>
      </c>
      <c r="O9" s="79">
        <f t="shared" si="4"/>
        <v>6100000</v>
      </c>
    </row>
    <row r="10" spans="1:15" ht="22" customHeight="1" x14ac:dyDescent="0.3">
      <c r="A10" s="66">
        <v>7</v>
      </c>
      <c r="B10" s="52">
        <v>46235</v>
      </c>
      <c r="C10" s="95">
        <v>1</v>
      </c>
      <c r="D10" s="81">
        <v>2500000</v>
      </c>
      <c r="E10" s="79">
        <f t="shared" si="0"/>
        <v>2500000</v>
      </c>
      <c r="F10" s="95">
        <v>1</v>
      </c>
      <c r="G10" s="80">
        <v>1800000</v>
      </c>
      <c r="H10" s="54">
        <f t="shared" si="1"/>
        <v>1800000</v>
      </c>
      <c r="I10" s="95"/>
      <c r="J10" s="81">
        <v>7000</v>
      </c>
      <c r="K10" s="79">
        <f t="shared" si="2"/>
        <v>0</v>
      </c>
      <c r="L10" s="96"/>
      <c r="M10" s="81">
        <v>5000</v>
      </c>
      <c r="N10" s="79">
        <f t="shared" si="3"/>
        <v>0</v>
      </c>
      <c r="O10" s="79">
        <f t="shared" si="4"/>
        <v>4300000</v>
      </c>
    </row>
    <row r="11" spans="1:15" ht="22" customHeight="1" x14ac:dyDescent="0.3">
      <c r="A11" s="66">
        <v>8</v>
      </c>
      <c r="B11" s="52">
        <v>46236</v>
      </c>
      <c r="C11" s="53">
        <v>1</v>
      </c>
      <c r="D11" s="62">
        <v>2500000</v>
      </c>
      <c r="E11" s="54">
        <f t="shared" si="0"/>
        <v>2500000</v>
      </c>
      <c r="F11" s="53">
        <v>2</v>
      </c>
      <c r="G11" s="59">
        <v>1800000</v>
      </c>
      <c r="H11" s="54">
        <f t="shared" si="1"/>
        <v>3600000</v>
      </c>
      <c r="I11" s="53"/>
      <c r="J11" s="62">
        <v>7000</v>
      </c>
      <c r="K11" s="54">
        <f t="shared" si="2"/>
        <v>0</v>
      </c>
      <c r="L11" s="67"/>
      <c r="M11" s="62">
        <v>5000</v>
      </c>
      <c r="N11" s="54">
        <f t="shared" si="3"/>
        <v>0</v>
      </c>
      <c r="O11" s="54">
        <f t="shared" si="4"/>
        <v>6100000</v>
      </c>
    </row>
    <row r="12" spans="1:15" ht="22" customHeight="1" x14ac:dyDescent="0.3">
      <c r="A12" s="66">
        <v>9</v>
      </c>
      <c r="B12" s="52">
        <v>46237</v>
      </c>
      <c r="C12" s="95">
        <v>1</v>
      </c>
      <c r="D12" s="81">
        <v>2500000</v>
      </c>
      <c r="E12" s="79">
        <f t="shared" si="0"/>
        <v>2500000</v>
      </c>
      <c r="F12" s="53">
        <v>1</v>
      </c>
      <c r="G12" s="80">
        <v>1800000</v>
      </c>
      <c r="H12" s="54">
        <f t="shared" si="1"/>
        <v>1800000</v>
      </c>
      <c r="I12" s="95"/>
      <c r="J12" s="81">
        <v>7000</v>
      </c>
      <c r="K12" s="79">
        <f t="shared" si="2"/>
        <v>0</v>
      </c>
      <c r="L12" s="96"/>
      <c r="M12" s="81">
        <v>5000</v>
      </c>
      <c r="N12" s="79">
        <f t="shared" si="3"/>
        <v>0</v>
      </c>
      <c r="O12" s="79">
        <f t="shared" si="4"/>
        <v>4300000</v>
      </c>
    </row>
    <row r="13" spans="1:15" ht="22" customHeight="1" x14ac:dyDescent="0.3">
      <c r="A13" s="66">
        <v>10</v>
      </c>
      <c r="B13" s="52">
        <v>46238</v>
      </c>
      <c r="C13" s="95">
        <v>2</v>
      </c>
      <c r="D13" s="81">
        <v>2500000</v>
      </c>
      <c r="E13" s="79">
        <f t="shared" si="0"/>
        <v>5000000</v>
      </c>
      <c r="F13" s="53">
        <v>2</v>
      </c>
      <c r="G13" s="80">
        <v>1800000</v>
      </c>
      <c r="H13" s="54">
        <f t="shared" si="1"/>
        <v>3600000</v>
      </c>
      <c r="I13" s="95"/>
      <c r="J13" s="81">
        <v>7000</v>
      </c>
      <c r="K13" s="79">
        <f t="shared" si="2"/>
        <v>0</v>
      </c>
      <c r="L13" s="96"/>
      <c r="M13" s="81">
        <v>5000</v>
      </c>
      <c r="N13" s="79">
        <f t="shared" si="3"/>
        <v>0</v>
      </c>
      <c r="O13" s="79">
        <f t="shared" si="4"/>
        <v>8600000</v>
      </c>
    </row>
    <row r="14" spans="1:15" ht="22" customHeight="1" x14ac:dyDescent="0.3">
      <c r="A14" s="66">
        <v>11</v>
      </c>
      <c r="B14" s="52">
        <v>46239</v>
      </c>
      <c r="C14" s="95">
        <v>2</v>
      </c>
      <c r="D14" s="81">
        <v>2500000</v>
      </c>
      <c r="E14" s="79">
        <f t="shared" si="0"/>
        <v>5000000</v>
      </c>
      <c r="F14" s="53">
        <v>2</v>
      </c>
      <c r="G14" s="80">
        <v>1800000</v>
      </c>
      <c r="H14" s="54">
        <f t="shared" si="1"/>
        <v>3600000</v>
      </c>
      <c r="I14" s="95"/>
      <c r="J14" s="81">
        <v>7000</v>
      </c>
      <c r="K14" s="79">
        <f t="shared" si="2"/>
        <v>0</v>
      </c>
      <c r="L14" s="96"/>
      <c r="M14" s="81">
        <v>5000</v>
      </c>
      <c r="N14" s="79">
        <f t="shared" si="3"/>
        <v>0</v>
      </c>
      <c r="O14" s="79">
        <f t="shared" si="4"/>
        <v>8600000</v>
      </c>
    </row>
    <row r="15" spans="1:15" ht="22" customHeight="1" x14ac:dyDescent="0.3">
      <c r="A15" s="66">
        <v>12</v>
      </c>
      <c r="B15" s="52">
        <v>46240</v>
      </c>
      <c r="C15" s="97">
        <v>1</v>
      </c>
      <c r="D15" s="106">
        <v>2500000</v>
      </c>
      <c r="E15" s="107">
        <f t="shared" si="0"/>
        <v>2500000</v>
      </c>
      <c r="F15" s="108">
        <v>2</v>
      </c>
      <c r="G15" s="109">
        <v>1800000</v>
      </c>
      <c r="H15" s="110">
        <f>G15*F15</f>
        <v>3600000</v>
      </c>
      <c r="I15" s="97"/>
      <c r="J15" s="106">
        <v>7000</v>
      </c>
      <c r="K15" s="107">
        <f t="shared" si="2"/>
        <v>0</v>
      </c>
      <c r="L15" s="111">
        <v>3470</v>
      </c>
      <c r="M15" s="106">
        <v>5000</v>
      </c>
      <c r="N15" s="107">
        <f t="shared" si="3"/>
        <v>17350000</v>
      </c>
      <c r="O15" s="107">
        <f t="shared" si="4"/>
        <v>23450000</v>
      </c>
    </row>
    <row r="16" spans="1:15" ht="22.5" customHeight="1" x14ac:dyDescent="0.3">
      <c r="A16" s="66">
        <v>13</v>
      </c>
      <c r="B16" s="52">
        <v>46241</v>
      </c>
      <c r="C16" s="95">
        <v>1</v>
      </c>
      <c r="D16" s="81">
        <v>2500000</v>
      </c>
      <c r="E16" s="79">
        <f t="shared" si="0"/>
        <v>2500000</v>
      </c>
      <c r="F16" s="53">
        <v>2</v>
      </c>
      <c r="G16" s="80">
        <v>1800000</v>
      </c>
      <c r="H16" s="54">
        <f t="shared" si="1"/>
        <v>3600000</v>
      </c>
      <c r="I16" s="95"/>
      <c r="J16" s="81">
        <v>7000</v>
      </c>
      <c r="K16" s="79">
        <f t="shared" si="2"/>
        <v>0</v>
      </c>
      <c r="L16" s="96"/>
      <c r="M16" s="81">
        <v>5000</v>
      </c>
      <c r="N16" s="79">
        <f t="shared" si="3"/>
        <v>0</v>
      </c>
      <c r="O16" s="79">
        <f t="shared" si="4"/>
        <v>6100000</v>
      </c>
    </row>
    <row r="17" spans="1:15" ht="22" customHeight="1" x14ac:dyDescent="0.3">
      <c r="A17" s="66">
        <v>14</v>
      </c>
      <c r="B17" s="52">
        <v>46242</v>
      </c>
      <c r="C17" s="95">
        <v>1</v>
      </c>
      <c r="D17" s="81">
        <v>2500000</v>
      </c>
      <c r="E17" s="79">
        <f t="shared" si="0"/>
        <v>2500000</v>
      </c>
      <c r="F17" s="95">
        <v>1</v>
      </c>
      <c r="G17" s="80">
        <v>1800000</v>
      </c>
      <c r="H17" s="54">
        <f t="shared" si="1"/>
        <v>1800000</v>
      </c>
      <c r="I17" s="95">
        <v>500</v>
      </c>
      <c r="J17" s="81">
        <v>7000</v>
      </c>
      <c r="K17" s="79">
        <f t="shared" si="2"/>
        <v>3500000</v>
      </c>
      <c r="L17" s="96"/>
      <c r="M17" s="81">
        <v>5000</v>
      </c>
      <c r="N17" s="79">
        <f t="shared" si="3"/>
        <v>0</v>
      </c>
      <c r="O17" s="79">
        <f t="shared" si="4"/>
        <v>7800000</v>
      </c>
    </row>
    <row r="18" spans="1:15" ht="22" customHeight="1" x14ac:dyDescent="0.3">
      <c r="A18" s="66">
        <v>15</v>
      </c>
      <c r="B18" s="52">
        <v>46243</v>
      </c>
      <c r="C18" s="95">
        <v>0</v>
      </c>
      <c r="D18" s="81">
        <v>2500000</v>
      </c>
      <c r="E18" s="79">
        <f t="shared" si="0"/>
        <v>0</v>
      </c>
      <c r="F18" s="95">
        <v>1</v>
      </c>
      <c r="G18" s="80">
        <v>1800000</v>
      </c>
      <c r="H18" s="54">
        <f t="shared" si="1"/>
        <v>1800000</v>
      </c>
      <c r="I18" s="95"/>
      <c r="J18" s="81">
        <v>7000</v>
      </c>
      <c r="K18" s="79">
        <f t="shared" si="2"/>
        <v>0</v>
      </c>
      <c r="L18" s="96"/>
      <c r="M18" s="81">
        <v>5000</v>
      </c>
      <c r="N18" s="79">
        <f t="shared" si="3"/>
        <v>0</v>
      </c>
      <c r="O18" s="79">
        <f t="shared" si="4"/>
        <v>1800000</v>
      </c>
    </row>
    <row r="19" spans="1:15" ht="22" customHeight="1" x14ac:dyDescent="0.3">
      <c r="A19" s="66">
        <v>16</v>
      </c>
      <c r="B19" s="52">
        <v>46244</v>
      </c>
      <c r="C19" s="95">
        <v>1</v>
      </c>
      <c r="D19" s="81">
        <v>2500000</v>
      </c>
      <c r="E19" s="79">
        <f t="shared" si="0"/>
        <v>2500000</v>
      </c>
      <c r="F19" s="95">
        <v>2</v>
      </c>
      <c r="G19" s="80">
        <v>1800000</v>
      </c>
      <c r="H19" s="54">
        <f t="shared" si="1"/>
        <v>3600000</v>
      </c>
      <c r="I19" s="95"/>
      <c r="J19" s="81">
        <v>7000</v>
      </c>
      <c r="K19" s="79">
        <f t="shared" si="2"/>
        <v>0</v>
      </c>
      <c r="L19" s="96"/>
      <c r="M19" s="81">
        <v>5000</v>
      </c>
      <c r="N19" s="79">
        <f t="shared" si="3"/>
        <v>0</v>
      </c>
      <c r="O19" s="79">
        <f t="shared" si="4"/>
        <v>6100000</v>
      </c>
    </row>
    <row r="20" spans="1:15" ht="22" customHeight="1" x14ac:dyDescent="0.3">
      <c r="A20" s="66">
        <v>17</v>
      </c>
      <c r="B20" s="52">
        <v>46245</v>
      </c>
      <c r="C20" s="95">
        <v>1</v>
      </c>
      <c r="D20" s="81">
        <v>2500000</v>
      </c>
      <c r="E20" s="79">
        <f t="shared" si="0"/>
        <v>2500000</v>
      </c>
      <c r="F20" s="95">
        <v>2</v>
      </c>
      <c r="G20" s="80">
        <v>1800000</v>
      </c>
      <c r="H20" s="54">
        <f t="shared" si="1"/>
        <v>3600000</v>
      </c>
      <c r="I20" s="95"/>
      <c r="J20" s="81">
        <v>7000</v>
      </c>
      <c r="K20" s="79">
        <f t="shared" si="2"/>
        <v>0</v>
      </c>
      <c r="L20" s="96"/>
      <c r="M20" s="81">
        <v>5000</v>
      </c>
      <c r="N20" s="79">
        <f t="shared" si="3"/>
        <v>0</v>
      </c>
      <c r="O20" s="79">
        <f t="shared" si="4"/>
        <v>6100000</v>
      </c>
    </row>
    <row r="21" spans="1:15" ht="22" customHeight="1" x14ac:dyDescent="0.3">
      <c r="A21" s="66">
        <v>18</v>
      </c>
      <c r="B21" s="52">
        <v>46246</v>
      </c>
      <c r="C21" s="95">
        <v>2</v>
      </c>
      <c r="D21" s="81">
        <v>2500000</v>
      </c>
      <c r="E21" s="79">
        <f t="shared" si="0"/>
        <v>5000000</v>
      </c>
      <c r="F21" s="95">
        <v>2</v>
      </c>
      <c r="G21" s="80">
        <v>1800000</v>
      </c>
      <c r="H21" s="54">
        <f t="shared" si="1"/>
        <v>3600000</v>
      </c>
      <c r="I21" s="95"/>
      <c r="J21" s="81">
        <v>7000</v>
      </c>
      <c r="K21" s="79">
        <f t="shared" si="2"/>
        <v>0</v>
      </c>
      <c r="L21" s="96"/>
      <c r="M21" s="81">
        <v>5000</v>
      </c>
      <c r="N21" s="79">
        <f t="shared" si="3"/>
        <v>0</v>
      </c>
      <c r="O21" s="79">
        <f t="shared" si="4"/>
        <v>8600000</v>
      </c>
    </row>
    <row r="22" spans="1:15" ht="22" customHeight="1" x14ac:dyDescent="0.3">
      <c r="A22" s="66">
        <v>19</v>
      </c>
      <c r="B22" s="52">
        <v>46247</v>
      </c>
      <c r="C22" s="95">
        <v>1</v>
      </c>
      <c r="D22" s="81">
        <v>2500000</v>
      </c>
      <c r="E22" s="79">
        <f t="shared" si="0"/>
        <v>2500000</v>
      </c>
      <c r="F22" s="95">
        <v>2</v>
      </c>
      <c r="G22" s="80">
        <v>1800000</v>
      </c>
      <c r="H22" s="54">
        <f t="shared" si="1"/>
        <v>3600000</v>
      </c>
      <c r="I22" s="95"/>
      <c r="J22" s="81">
        <v>7000</v>
      </c>
      <c r="K22" s="79">
        <f t="shared" si="2"/>
        <v>0</v>
      </c>
      <c r="L22" s="96"/>
      <c r="M22" s="81">
        <v>5000</v>
      </c>
      <c r="N22" s="79">
        <f t="shared" si="3"/>
        <v>0</v>
      </c>
      <c r="O22" s="79">
        <f t="shared" si="4"/>
        <v>6100000</v>
      </c>
    </row>
    <row r="23" spans="1:15" ht="20.5" customHeight="1" x14ac:dyDescent="0.3">
      <c r="A23" s="66">
        <v>20</v>
      </c>
      <c r="B23" s="52">
        <v>46248</v>
      </c>
      <c r="C23" s="95">
        <v>1</v>
      </c>
      <c r="D23" s="81">
        <v>2500000</v>
      </c>
      <c r="E23" s="79">
        <f t="shared" si="0"/>
        <v>2500000</v>
      </c>
      <c r="F23" s="95">
        <v>2</v>
      </c>
      <c r="G23" s="80">
        <v>1800000</v>
      </c>
      <c r="H23" s="54">
        <f t="shared" si="1"/>
        <v>3600000</v>
      </c>
      <c r="I23" s="95"/>
      <c r="J23" s="81">
        <v>7000</v>
      </c>
      <c r="K23" s="79">
        <f t="shared" si="2"/>
        <v>0</v>
      </c>
      <c r="L23" s="96"/>
      <c r="M23" s="81">
        <v>5000</v>
      </c>
      <c r="N23" s="79">
        <f t="shared" si="3"/>
        <v>0</v>
      </c>
      <c r="O23" s="79">
        <f t="shared" si="4"/>
        <v>6100000</v>
      </c>
    </row>
    <row r="24" spans="1:15" ht="22" customHeight="1" x14ac:dyDescent="0.3">
      <c r="A24" s="66">
        <v>21</v>
      </c>
      <c r="B24" s="52">
        <v>46249</v>
      </c>
      <c r="C24" s="95">
        <v>1</v>
      </c>
      <c r="D24" s="81">
        <v>2500000</v>
      </c>
      <c r="E24" s="79">
        <f t="shared" si="0"/>
        <v>2500000</v>
      </c>
      <c r="F24" s="95">
        <v>1</v>
      </c>
      <c r="G24" s="80">
        <v>1800000</v>
      </c>
      <c r="H24" s="54">
        <f t="shared" si="1"/>
        <v>1800000</v>
      </c>
      <c r="I24" s="95"/>
      <c r="J24" s="81">
        <v>7000</v>
      </c>
      <c r="K24" s="79">
        <f t="shared" si="2"/>
        <v>0</v>
      </c>
      <c r="L24" s="96"/>
      <c r="M24" s="81">
        <v>5000</v>
      </c>
      <c r="N24" s="79">
        <f t="shared" si="3"/>
        <v>0</v>
      </c>
      <c r="O24" s="79">
        <f t="shared" si="4"/>
        <v>4300000</v>
      </c>
    </row>
    <row r="25" spans="1:15" ht="22" customHeight="1" x14ac:dyDescent="0.3">
      <c r="A25" s="66">
        <v>22</v>
      </c>
      <c r="B25" s="52">
        <v>46250</v>
      </c>
      <c r="C25" s="95">
        <v>1</v>
      </c>
      <c r="D25" s="81">
        <v>2500000</v>
      </c>
      <c r="E25" s="79">
        <f t="shared" si="0"/>
        <v>2500000</v>
      </c>
      <c r="F25" s="95">
        <v>1</v>
      </c>
      <c r="G25" s="80">
        <v>1800000</v>
      </c>
      <c r="H25" s="54">
        <f>G25*F25</f>
        <v>1800000</v>
      </c>
      <c r="I25" s="95"/>
      <c r="J25" s="81">
        <v>7000</v>
      </c>
      <c r="K25" s="79">
        <f t="shared" si="2"/>
        <v>0</v>
      </c>
      <c r="L25" s="96"/>
      <c r="M25" s="81">
        <v>5000</v>
      </c>
      <c r="N25" s="79">
        <f t="shared" si="3"/>
        <v>0</v>
      </c>
      <c r="O25" s="79">
        <f t="shared" si="4"/>
        <v>4300000</v>
      </c>
    </row>
    <row r="26" spans="1:15" ht="22" customHeight="1" x14ac:dyDescent="0.3">
      <c r="A26" s="66">
        <v>23</v>
      </c>
      <c r="B26" s="52">
        <v>46251</v>
      </c>
      <c r="C26" s="95">
        <v>1</v>
      </c>
      <c r="D26" s="81">
        <v>2500000</v>
      </c>
      <c r="E26" s="79">
        <f t="shared" si="0"/>
        <v>2500000</v>
      </c>
      <c r="F26" s="95">
        <v>2</v>
      </c>
      <c r="G26" s="80">
        <v>1800000</v>
      </c>
      <c r="H26" s="54">
        <f t="shared" ref="H26:H32" si="5">G26*F26</f>
        <v>3600000</v>
      </c>
      <c r="I26" s="95"/>
      <c r="J26" s="81">
        <v>7000</v>
      </c>
      <c r="K26" s="79">
        <f t="shared" si="2"/>
        <v>0</v>
      </c>
      <c r="L26" s="96"/>
      <c r="M26" s="81">
        <v>5000</v>
      </c>
      <c r="N26" s="79">
        <f t="shared" si="3"/>
        <v>0</v>
      </c>
      <c r="O26" s="79">
        <f t="shared" si="4"/>
        <v>6100000</v>
      </c>
    </row>
    <row r="27" spans="1:15" ht="22.5" customHeight="1" x14ac:dyDescent="0.3">
      <c r="A27" s="66">
        <v>24</v>
      </c>
      <c r="B27" s="52">
        <v>46252</v>
      </c>
      <c r="C27" s="95">
        <v>2</v>
      </c>
      <c r="D27" s="81">
        <v>2500000</v>
      </c>
      <c r="E27" s="79">
        <f t="shared" si="0"/>
        <v>5000000</v>
      </c>
      <c r="F27" s="95">
        <v>2</v>
      </c>
      <c r="G27" s="80">
        <v>1800000</v>
      </c>
      <c r="H27" s="54">
        <f t="shared" si="5"/>
        <v>3600000</v>
      </c>
      <c r="I27" s="95"/>
      <c r="J27" s="81">
        <v>7000</v>
      </c>
      <c r="K27" s="79">
        <f t="shared" si="2"/>
        <v>0</v>
      </c>
      <c r="L27" s="96"/>
      <c r="M27" s="81">
        <v>5000</v>
      </c>
      <c r="N27" s="79">
        <f t="shared" si="3"/>
        <v>0</v>
      </c>
      <c r="O27" s="79">
        <f t="shared" si="4"/>
        <v>8600000</v>
      </c>
    </row>
    <row r="28" spans="1:15" ht="22" customHeight="1" x14ac:dyDescent="0.3">
      <c r="A28" s="66">
        <v>25</v>
      </c>
      <c r="B28" s="52">
        <v>46253</v>
      </c>
      <c r="C28" s="95">
        <v>1</v>
      </c>
      <c r="D28" s="81">
        <v>2500000</v>
      </c>
      <c r="E28" s="79">
        <f t="shared" si="0"/>
        <v>2500000</v>
      </c>
      <c r="F28" s="95">
        <v>2</v>
      </c>
      <c r="G28" s="80">
        <v>1800000</v>
      </c>
      <c r="H28" s="54">
        <f t="shared" si="5"/>
        <v>3600000</v>
      </c>
      <c r="I28" s="95"/>
      <c r="J28" s="81">
        <v>7000</v>
      </c>
      <c r="K28" s="79">
        <f t="shared" si="2"/>
        <v>0</v>
      </c>
      <c r="L28" s="96"/>
      <c r="M28" s="81">
        <v>5000</v>
      </c>
      <c r="N28" s="79">
        <f t="shared" si="3"/>
        <v>0</v>
      </c>
      <c r="O28" s="79">
        <f t="shared" si="4"/>
        <v>6100000</v>
      </c>
    </row>
    <row r="29" spans="1:15" ht="22" customHeight="1" x14ac:dyDescent="0.3">
      <c r="A29" s="66">
        <v>26</v>
      </c>
      <c r="B29" s="52">
        <v>46254</v>
      </c>
      <c r="C29" s="95">
        <v>2</v>
      </c>
      <c r="D29" s="81">
        <v>2500000</v>
      </c>
      <c r="E29" s="79">
        <f t="shared" si="0"/>
        <v>5000000</v>
      </c>
      <c r="F29" s="95">
        <v>2</v>
      </c>
      <c r="G29" s="80">
        <v>1800000</v>
      </c>
      <c r="H29" s="54">
        <f t="shared" si="5"/>
        <v>3600000</v>
      </c>
      <c r="I29" s="95"/>
      <c r="J29" s="81">
        <v>7000</v>
      </c>
      <c r="K29" s="79">
        <f t="shared" si="2"/>
        <v>0</v>
      </c>
      <c r="L29" s="96"/>
      <c r="M29" s="81">
        <v>5000</v>
      </c>
      <c r="N29" s="79">
        <f t="shared" si="3"/>
        <v>0</v>
      </c>
      <c r="O29" s="79">
        <f t="shared" si="4"/>
        <v>8600000</v>
      </c>
    </row>
    <row r="30" spans="1:15" ht="22.5" customHeight="1" x14ac:dyDescent="0.3">
      <c r="A30" s="66">
        <v>27</v>
      </c>
      <c r="B30" s="52">
        <v>46255</v>
      </c>
      <c r="C30" s="95">
        <v>1</v>
      </c>
      <c r="D30" s="81">
        <v>2500000</v>
      </c>
      <c r="E30" s="79">
        <f t="shared" si="0"/>
        <v>2500000</v>
      </c>
      <c r="F30" s="95">
        <v>2</v>
      </c>
      <c r="G30" s="80">
        <v>1800000</v>
      </c>
      <c r="H30" s="54">
        <f t="shared" si="5"/>
        <v>3600000</v>
      </c>
      <c r="I30" s="95"/>
      <c r="J30" s="81">
        <v>7000</v>
      </c>
      <c r="K30" s="79">
        <f t="shared" si="2"/>
        <v>0</v>
      </c>
      <c r="L30" s="96"/>
      <c r="M30" s="81">
        <v>5000</v>
      </c>
      <c r="N30" s="79">
        <f t="shared" si="3"/>
        <v>0</v>
      </c>
      <c r="O30" s="79">
        <f t="shared" si="4"/>
        <v>6100000</v>
      </c>
    </row>
    <row r="31" spans="1:15" ht="22" customHeight="1" x14ac:dyDescent="0.3">
      <c r="A31" s="66">
        <v>28</v>
      </c>
      <c r="B31" s="52">
        <v>46256</v>
      </c>
      <c r="C31" s="95">
        <v>1</v>
      </c>
      <c r="D31" s="81">
        <v>2500000</v>
      </c>
      <c r="E31" s="79">
        <f t="shared" si="0"/>
        <v>2500000</v>
      </c>
      <c r="F31" s="95">
        <v>2</v>
      </c>
      <c r="G31" s="80">
        <v>1800000</v>
      </c>
      <c r="H31" s="54">
        <f t="shared" si="5"/>
        <v>3600000</v>
      </c>
      <c r="I31" s="95"/>
      <c r="J31" s="81">
        <v>7000</v>
      </c>
      <c r="K31" s="79">
        <f t="shared" si="2"/>
        <v>0</v>
      </c>
      <c r="L31" s="96"/>
      <c r="M31" s="81">
        <v>5000</v>
      </c>
      <c r="N31" s="79">
        <f t="shared" si="3"/>
        <v>0</v>
      </c>
      <c r="O31" s="79">
        <f t="shared" si="4"/>
        <v>6100000</v>
      </c>
    </row>
    <row r="32" spans="1:15" ht="22" customHeight="1" x14ac:dyDescent="0.3">
      <c r="A32" s="66">
        <v>29</v>
      </c>
      <c r="B32" s="52">
        <v>46257</v>
      </c>
      <c r="C32" s="95">
        <v>1</v>
      </c>
      <c r="D32" s="81">
        <v>2500000</v>
      </c>
      <c r="E32" s="79">
        <f t="shared" si="0"/>
        <v>2500000</v>
      </c>
      <c r="F32" s="95">
        <v>1</v>
      </c>
      <c r="G32" s="80">
        <v>1800000</v>
      </c>
      <c r="H32" s="54">
        <f t="shared" si="5"/>
        <v>1800000</v>
      </c>
      <c r="I32" s="95"/>
      <c r="J32" s="81">
        <v>7000</v>
      </c>
      <c r="K32" s="79">
        <f t="shared" si="2"/>
        <v>0</v>
      </c>
      <c r="L32" s="96"/>
      <c r="M32" s="81">
        <v>5000</v>
      </c>
      <c r="N32" s="79">
        <f t="shared" si="3"/>
        <v>0</v>
      </c>
      <c r="O32" s="79">
        <f t="shared" si="4"/>
        <v>4300000</v>
      </c>
    </row>
    <row r="33" spans="1:15" ht="22" customHeight="1" x14ac:dyDescent="0.3">
      <c r="A33" s="66">
        <v>30</v>
      </c>
      <c r="B33" s="52">
        <v>46258</v>
      </c>
      <c r="C33" s="53">
        <v>2</v>
      </c>
      <c r="D33" s="62">
        <v>2500000</v>
      </c>
      <c r="E33" s="54">
        <f t="shared" si="0"/>
        <v>5000000</v>
      </c>
      <c r="F33" s="53">
        <v>1</v>
      </c>
      <c r="G33" s="59">
        <v>1800000</v>
      </c>
      <c r="H33" s="54">
        <f t="shared" si="1"/>
        <v>1800000</v>
      </c>
      <c r="I33" s="53"/>
      <c r="J33" s="62">
        <v>7000</v>
      </c>
      <c r="K33" s="54">
        <f t="shared" si="2"/>
        <v>0</v>
      </c>
      <c r="L33" s="67"/>
      <c r="M33" s="62">
        <v>5000</v>
      </c>
      <c r="N33" s="54">
        <f t="shared" si="3"/>
        <v>0</v>
      </c>
      <c r="O33" s="54">
        <f t="shared" si="4"/>
        <v>6800000</v>
      </c>
    </row>
    <row r="34" spans="1:15" ht="17" customHeight="1" x14ac:dyDescent="0.3">
      <c r="A34" s="119"/>
      <c r="B34" s="119"/>
      <c r="C34" s="100">
        <f>SUM(C4:C33)</f>
        <v>36</v>
      </c>
      <c r="D34" s="100"/>
      <c r="E34" s="101">
        <f>SUM(E4:E33)</f>
        <v>90000000</v>
      </c>
      <c r="F34" s="101">
        <f>SUM(F4:F33)</f>
        <v>50</v>
      </c>
      <c r="G34" s="101"/>
      <c r="H34" s="101">
        <f>SUM(H4:H33)</f>
        <v>90000000</v>
      </c>
      <c r="I34" s="101">
        <f>SUM(I4:I33)</f>
        <v>500</v>
      </c>
      <c r="J34" s="101"/>
      <c r="K34" s="101">
        <f>SUM(K4:K33)</f>
        <v>3500000</v>
      </c>
      <c r="L34" s="101">
        <f>SUM(L4:L33)</f>
        <v>3470</v>
      </c>
      <c r="M34" s="101"/>
      <c r="N34" s="101">
        <f>SUM(N4:N33)</f>
        <v>17350000</v>
      </c>
      <c r="O34" s="101">
        <f>SUM(O4:O33)</f>
        <v>200850000</v>
      </c>
    </row>
    <row r="35" spans="1:15" ht="17" customHeight="1" x14ac:dyDescent="0.3">
      <c r="A35" s="120" t="s">
        <v>34</v>
      </c>
      <c r="B35" s="121"/>
      <c r="C35" s="121"/>
      <c r="D35" s="121"/>
      <c r="E35" s="122"/>
      <c r="F35" s="53"/>
      <c r="G35" s="103"/>
      <c r="H35" s="102"/>
      <c r="I35" s="102"/>
      <c r="J35" s="102"/>
      <c r="K35" s="102"/>
      <c r="L35" s="123" t="s">
        <v>34</v>
      </c>
      <c r="M35" s="123"/>
      <c r="N35" s="123"/>
      <c r="O35" s="123"/>
    </row>
    <row r="36" spans="1:15" ht="24" customHeight="1" x14ac:dyDescent="0.3">
      <c r="B36" s="118" t="s">
        <v>37</v>
      </c>
      <c r="C36" s="118"/>
      <c r="D36" s="118"/>
      <c r="E36" s="118"/>
      <c r="F36" s="37"/>
      <c r="G36" s="56"/>
      <c r="H36" s="37"/>
      <c r="I36" s="37"/>
      <c r="J36" s="37"/>
      <c r="K36" s="37"/>
      <c r="L36" s="118" t="s">
        <v>38</v>
      </c>
      <c r="M36" s="118"/>
      <c r="N36" s="118"/>
      <c r="O36" s="118"/>
    </row>
    <row r="39" spans="1:15" x14ac:dyDescent="0.3">
      <c r="N39" s="65"/>
    </row>
    <row r="40" spans="1:15" x14ac:dyDescent="0.3">
      <c r="N40" s="65"/>
    </row>
    <row r="41" spans="1:15" x14ac:dyDescent="0.3">
      <c r="B41" s="124"/>
      <c r="C41" s="124"/>
      <c r="D41" s="124"/>
      <c r="E41" s="124"/>
      <c r="N41" s="65"/>
    </row>
    <row r="43" spans="1:15" x14ac:dyDescent="0.3">
      <c r="E43" s="65"/>
    </row>
    <row r="45" spans="1:15" x14ac:dyDescent="0.3">
      <c r="B45" s="118" t="s">
        <v>51</v>
      </c>
      <c r="C45" s="118"/>
      <c r="D45" s="118"/>
      <c r="E45" s="118"/>
    </row>
  </sheetData>
  <mergeCells count="13">
    <mergeCell ref="B45:E45"/>
    <mergeCell ref="A34:B34"/>
    <mergeCell ref="A35:E35"/>
    <mergeCell ref="L35:O35"/>
    <mergeCell ref="B36:E36"/>
    <mergeCell ref="L36:O36"/>
    <mergeCell ref="B41:E41"/>
    <mergeCell ref="A3:B3"/>
    <mergeCell ref="A1:O1"/>
    <mergeCell ref="C2:E2"/>
    <mergeCell ref="F2:H2"/>
    <mergeCell ref="I2:K2"/>
    <mergeCell ref="L2:N2"/>
  </mergeCells>
  <pageMargins left="0.19" right="0.17" top="0.89500000000000002" bottom="0.75" header="0.3" footer="0.3"/>
  <pageSetup scale="7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27"/>
  <sheetViews>
    <sheetView view="pageBreakPreview" zoomScaleNormal="100" zoomScaleSheetLayoutView="100" workbookViewId="0">
      <selection activeCell="D20" sqref="D20"/>
    </sheetView>
  </sheetViews>
  <sheetFormatPr defaultColWidth="9.36328125" defaultRowHeight="12" x14ac:dyDescent="0.3"/>
  <cols>
    <col min="1" max="1" width="3.36328125" style="32" customWidth="1"/>
    <col min="2" max="2" width="9.36328125" style="32" customWidth="1"/>
    <col min="3" max="3" width="6.6328125" style="32" customWidth="1"/>
    <col min="4" max="4" width="9.36328125" style="32" customWidth="1"/>
    <col min="5" max="5" width="12.36328125" style="32" customWidth="1"/>
    <col min="6" max="6" width="6.453125" style="32" customWidth="1"/>
    <col min="7" max="7" width="13.36328125" style="38" customWidth="1"/>
    <col min="8" max="8" width="12.6328125" style="32" customWidth="1"/>
    <col min="9" max="9" width="8.36328125" style="32" customWidth="1"/>
    <col min="10" max="10" width="9.36328125" style="32" customWidth="1"/>
    <col min="11" max="11" width="11.6328125" style="32" customWidth="1"/>
    <col min="12" max="12" width="7.54296875" style="32" customWidth="1"/>
    <col min="13" max="13" width="8.54296875" style="32" customWidth="1"/>
    <col min="14" max="14" width="11.54296875" style="32" customWidth="1"/>
    <col min="15" max="15" width="11.6328125" style="32" customWidth="1"/>
    <col min="16" max="16384" width="9.36328125" style="32"/>
  </cols>
  <sheetData>
    <row r="1" spans="1:15" ht="16.5" customHeight="1" x14ac:dyDescent="0.3">
      <c r="A1" s="156" t="s">
        <v>49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</row>
    <row r="2" spans="1:15" ht="24" customHeight="1" x14ac:dyDescent="0.3">
      <c r="A2" s="39" t="s">
        <v>21</v>
      </c>
      <c r="B2" s="40" t="s">
        <v>22</v>
      </c>
      <c r="C2" s="159" t="s">
        <v>23</v>
      </c>
      <c r="D2" s="159"/>
      <c r="E2" s="159"/>
      <c r="F2" s="159" t="s">
        <v>24</v>
      </c>
      <c r="G2" s="159"/>
      <c r="H2" s="159"/>
      <c r="I2" s="160" t="s">
        <v>25</v>
      </c>
      <c r="J2" s="161"/>
      <c r="K2" s="162"/>
      <c r="L2" s="159" t="s">
        <v>26</v>
      </c>
      <c r="M2" s="159"/>
      <c r="N2" s="159"/>
      <c r="O2" s="41" t="s">
        <v>27</v>
      </c>
    </row>
    <row r="3" spans="1:15" ht="33" customHeight="1" x14ac:dyDescent="0.3">
      <c r="A3" s="158" t="s">
        <v>28</v>
      </c>
      <c r="B3" s="158"/>
      <c r="C3" s="42" t="s">
        <v>29</v>
      </c>
      <c r="D3" s="43" t="s">
        <v>30</v>
      </c>
      <c r="E3" s="44" t="s">
        <v>31</v>
      </c>
      <c r="F3" s="45" t="s">
        <v>29</v>
      </c>
      <c r="G3" s="46" t="s">
        <v>30</v>
      </c>
      <c r="H3" s="44" t="s">
        <v>32</v>
      </c>
      <c r="I3" s="47" t="s">
        <v>29</v>
      </c>
      <c r="J3" s="43" t="s">
        <v>30</v>
      </c>
      <c r="K3" s="44" t="s">
        <v>32</v>
      </c>
      <c r="L3" s="47" t="s">
        <v>33</v>
      </c>
      <c r="M3" s="43" t="s">
        <v>30</v>
      </c>
      <c r="N3" s="44" t="s">
        <v>32</v>
      </c>
      <c r="O3" s="48"/>
    </row>
    <row r="4" spans="1:15" x14ac:dyDescent="0.3">
      <c r="A4" s="32">
        <v>1</v>
      </c>
      <c r="B4" s="52">
        <v>45312</v>
      </c>
      <c r="C4" s="53"/>
      <c r="D4" s="58">
        <v>2500000</v>
      </c>
      <c r="E4" s="54">
        <f>D4*C4</f>
        <v>0</v>
      </c>
      <c r="F4" s="33"/>
      <c r="G4" s="59">
        <v>1800000</v>
      </c>
      <c r="H4" s="54">
        <f t="shared" ref="H4:H24" si="0">G4*F4</f>
        <v>0</v>
      </c>
      <c r="I4" s="33"/>
      <c r="J4" s="58">
        <v>7000</v>
      </c>
      <c r="K4" s="60">
        <f t="shared" ref="K4:K24" si="1">J4*I4</f>
        <v>0</v>
      </c>
      <c r="L4" s="61"/>
      <c r="M4" s="62">
        <v>5000</v>
      </c>
      <c r="N4" s="60">
        <f t="shared" ref="N4:N24" si="2">L4*M4</f>
        <v>0</v>
      </c>
      <c r="O4" s="54">
        <f t="shared" ref="O4:O24" si="3">E4+H4+N4+K4</f>
        <v>0</v>
      </c>
    </row>
    <row r="5" spans="1:15" x14ac:dyDescent="0.3">
      <c r="A5" s="32">
        <v>2</v>
      </c>
      <c r="B5" s="52">
        <v>45313</v>
      </c>
      <c r="C5" s="53"/>
      <c r="D5" s="58">
        <v>2500000</v>
      </c>
      <c r="E5" s="54">
        <f>D5*C5</f>
        <v>0</v>
      </c>
      <c r="F5" s="33"/>
      <c r="G5" s="59">
        <v>1800000</v>
      </c>
      <c r="H5" s="54">
        <f t="shared" si="0"/>
        <v>0</v>
      </c>
      <c r="I5" s="33"/>
      <c r="J5" s="58">
        <v>7000</v>
      </c>
      <c r="K5" s="60"/>
      <c r="L5" s="61"/>
      <c r="M5" s="62">
        <v>5000</v>
      </c>
      <c r="N5" s="60"/>
      <c r="O5" s="54">
        <f t="shared" si="3"/>
        <v>0</v>
      </c>
    </row>
    <row r="6" spans="1:15" x14ac:dyDescent="0.3">
      <c r="A6" s="32">
        <v>3</v>
      </c>
      <c r="B6" s="52">
        <v>45314</v>
      </c>
      <c r="C6" s="53"/>
      <c r="D6" s="58">
        <v>2500000</v>
      </c>
      <c r="E6" s="54">
        <f t="shared" ref="E6:E22" si="4">D6*C6</f>
        <v>0</v>
      </c>
      <c r="F6" s="33"/>
      <c r="G6" s="59">
        <v>1800000</v>
      </c>
      <c r="H6" s="54">
        <f t="shared" si="0"/>
        <v>0</v>
      </c>
      <c r="I6" s="33"/>
      <c r="J6" s="58">
        <v>7000</v>
      </c>
      <c r="K6" s="60">
        <f t="shared" si="1"/>
        <v>0</v>
      </c>
      <c r="L6" s="61"/>
      <c r="M6" s="62">
        <v>5000</v>
      </c>
      <c r="N6" s="60">
        <f t="shared" si="2"/>
        <v>0</v>
      </c>
      <c r="O6" s="54">
        <f t="shared" si="3"/>
        <v>0</v>
      </c>
    </row>
    <row r="7" spans="1:15" x14ac:dyDescent="0.3">
      <c r="A7" s="32">
        <v>4</v>
      </c>
      <c r="B7" s="52">
        <v>45315</v>
      </c>
      <c r="C7" s="53"/>
      <c r="D7" s="58">
        <v>2500000</v>
      </c>
      <c r="E7" s="54">
        <f t="shared" si="4"/>
        <v>0</v>
      </c>
      <c r="F7" s="33"/>
      <c r="G7" s="59">
        <v>1800000</v>
      </c>
      <c r="H7" s="54">
        <f t="shared" si="0"/>
        <v>0</v>
      </c>
      <c r="I7" s="33"/>
      <c r="J7" s="58">
        <v>7000</v>
      </c>
      <c r="K7" s="60">
        <f t="shared" si="1"/>
        <v>0</v>
      </c>
      <c r="L7" s="61"/>
      <c r="M7" s="62">
        <v>5000</v>
      </c>
      <c r="N7" s="60">
        <f t="shared" si="2"/>
        <v>0</v>
      </c>
      <c r="O7" s="54">
        <f t="shared" si="3"/>
        <v>0</v>
      </c>
    </row>
    <row r="8" spans="1:15" x14ac:dyDescent="0.3">
      <c r="A8" s="32">
        <v>5</v>
      </c>
      <c r="B8" s="52">
        <v>45316</v>
      </c>
      <c r="C8" s="37"/>
      <c r="D8" s="58">
        <v>2500000</v>
      </c>
      <c r="E8" s="54">
        <f t="shared" si="4"/>
        <v>0</v>
      </c>
      <c r="F8" s="55"/>
      <c r="G8" s="59">
        <v>1800000</v>
      </c>
      <c r="H8" s="54">
        <f t="shared" si="0"/>
        <v>0</v>
      </c>
      <c r="I8" s="55"/>
      <c r="J8" s="58">
        <v>7000</v>
      </c>
      <c r="K8" s="60">
        <f t="shared" si="1"/>
        <v>0</v>
      </c>
      <c r="L8" s="63"/>
      <c r="M8" s="62">
        <v>5000</v>
      </c>
      <c r="N8" s="60">
        <f t="shared" si="2"/>
        <v>0</v>
      </c>
      <c r="O8" s="54">
        <f t="shared" si="3"/>
        <v>0</v>
      </c>
    </row>
    <row r="9" spans="1:15" x14ac:dyDescent="0.3">
      <c r="A9" s="32">
        <v>6</v>
      </c>
      <c r="B9" s="52">
        <v>45317</v>
      </c>
      <c r="C9" s="37"/>
      <c r="D9" s="58">
        <v>2500000</v>
      </c>
      <c r="E9" s="54">
        <f t="shared" si="4"/>
        <v>0</v>
      </c>
      <c r="F9" s="55"/>
      <c r="G9" s="59">
        <v>1800000</v>
      </c>
      <c r="H9" s="54">
        <f t="shared" si="0"/>
        <v>0</v>
      </c>
      <c r="I9" s="55"/>
      <c r="J9" s="58">
        <v>7000</v>
      </c>
      <c r="K9" s="60">
        <f t="shared" si="1"/>
        <v>0</v>
      </c>
      <c r="L9" s="63"/>
      <c r="M9" s="62">
        <v>5000</v>
      </c>
      <c r="N9" s="60">
        <f t="shared" si="2"/>
        <v>0</v>
      </c>
      <c r="O9" s="54">
        <f t="shared" si="3"/>
        <v>0</v>
      </c>
    </row>
    <row r="10" spans="1:15" x14ac:dyDescent="0.3">
      <c r="A10" s="32">
        <v>7</v>
      </c>
      <c r="B10" s="52">
        <v>45318</v>
      </c>
      <c r="C10" s="37"/>
      <c r="D10" s="58">
        <v>2500000</v>
      </c>
      <c r="E10" s="54">
        <f>D10*C10</f>
        <v>0</v>
      </c>
      <c r="F10" s="55"/>
      <c r="G10" s="59">
        <v>1800000</v>
      </c>
      <c r="H10" s="54">
        <f t="shared" si="0"/>
        <v>0</v>
      </c>
      <c r="I10" s="55"/>
      <c r="J10" s="58">
        <v>7000</v>
      </c>
      <c r="K10" s="60">
        <f t="shared" si="1"/>
        <v>0</v>
      </c>
      <c r="L10" s="63"/>
      <c r="M10" s="62">
        <v>5000</v>
      </c>
      <c r="N10" s="60">
        <f t="shared" si="2"/>
        <v>0</v>
      </c>
      <c r="O10" s="54">
        <f t="shared" si="3"/>
        <v>0</v>
      </c>
    </row>
    <row r="11" spans="1:15" x14ac:dyDescent="0.3">
      <c r="A11" s="32">
        <v>8</v>
      </c>
      <c r="B11" s="52">
        <v>45319</v>
      </c>
      <c r="C11" s="37"/>
      <c r="D11" s="58">
        <v>2500000</v>
      </c>
      <c r="E11" s="54">
        <f t="shared" si="4"/>
        <v>0</v>
      </c>
      <c r="F11" s="55"/>
      <c r="G11" s="59">
        <v>1800000</v>
      </c>
      <c r="H11" s="54">
        <f t="shared" si="0"/>
        <v>0</v>
      </c>
      <c r="I11" s="55"/>
      <c r="J11" s="58">
        <v>7000</v>
      </c>
      <c r="K11" s="60">
        <f t="shared" si="1"/>
        <v>0</v>
      </c>
      <c r="L11" s="63"/>
      <c r="M11" s="62">
        <v>5000</v>
      </c>
      <c r="N11" s="60">
        <f t="shared" si="2"/>
        <v>0</v>
      </c>
      <c r="O11" s="54">
        <f t="shared" si="3"/>
        <v>0</v>
      </c>
    </row>
    <row r="12" spans="1:15" ht="11.75" customHeight="1" x14ac:dyDescent="0.3">
      <c r="A12" s="32">
        <v>9</v>
      </c>
      <c r="B12" s="52">
        <v>45320</v>
      </c>
      <c r="C12" s="37"/>
      <c r="D12" s="58">
        <v>2500000</v>
      </c>
      <c r="E12" s="54">
        <f>D12*C12</f>
        <v>0</v>
      </c>
      <c r="F12" s="55"/>
      <c r="G12" s="59">
        <v>1800000</v>
      </c>
      <c r="H12" s="54">
        <f t="shared" si="0"/>
        <v>0</v>
      </c>
      <c r="I12" s="55"/>
      <c r="J12" s="58">
        <v>7000</v>
      </c>
      <c r="K12" s="60">
        <f t="shared" si="1"/>
        <v>0</v>
      </c>
      <c r="L12" s="63"/>
      <c r="M12" s="62">
        <v>5000</v>
      </c>
      <c r="N12" s="60">
        <f t="shared" si="2"/>
        <v>0</v>
      </c>
      <c r="O12" s="54">
        <f>E12+H12+N12+K12</f>
        <v>0</v>
      </c>
    </row>
    <row r="13" spans="1:15" x14ac:dyDescent="0.3">
      <c r="A13" s="32">
        <v>10</v>
      </c>
      <c r="B13" s="52">
        <v>45321</v>
      </c>
      <c r="C13" s="37"/>
      <c r="D13" s="58">
        <v>2500000</v>
      </c>
      <c r="E13" s="54">
        <f>D13*C13</f>
        <v>0</v>
      </c>
      <c r="F13" s="55"/>
      <c r="G13" s="59">
        <v>1800000</v>
      </c>
      <c r="H13" s="54">
        <f>G13*F13</f>
        <v>0</v>
      </c>
      <c r="I13" s="55"/>
      <c r="J13" s="58">
        <v>7000</v>
      </c>
      <c r="K13" s="60">
        <f t="shared" si="1"/>
        <v>0</v>
      </c>
      <c r="L13" s="63"/>
      <c r="M13" s="62">
        <v>5000</v>
      </c>
      <c r="N13" s="60">
        <f t="shared" si="2"/>
        <v>0</v>
      </c>
      <c r="O13" s="54">
        <f t="shared" si="3"/>
        <v>0</v>
      </c>
    </row>
    <row r="14" spans="1:15" x14ac:dyDescent="0.3">
      <c r="A14" s="32">
        <v>11</v>
      </c>
      <c r="B14" s="52">
        <v>45322</v>
      </c>
      <c r="C14" s="37"/>
      <c r="D14" s="58">
        <v>2500000</v>
      </c>
      <c r="E14" s="54">
        <f>D14*C14</f>
        <v>0</v>
      </c>
      <c r="F14" s="55"/>
      <c r="G14" s="59">
        <v>1800000</v>
      </c>
      <c r="H14" s="54">
        <f t="shared" si="0"/>
        <v>0</v>
      </c>
      <c r="I14" s="55"/>
      <c r="J14" s="58">
        <v>7000</v>
      </c>
      <c r="K14" s="60">
        <f t="shared" si="1"/>
        <v>0</v>
      </c>
      <c r="L14" s="63"/>
      <c r="M14" s="62">
        <v>5000</v>
      </c>
      <c r="N14" s="60">
        <f t="shared" si="2"/>
        <v>0</v>
      </c>
      <c r="O14" s="54">
        <f t="shared" si="3"/>
        <v>0</v>
      </c>
    </row>
    <row r="15" spans="1:15" x14ac:dyDescent="0.3">
      <c r="A15" s="32">
        <v>12</v>
      </c>
      <c r="B15" s="52">
        <v>45323</v>
      </c>
      <c r="C15" s="37"/>
      <c r="D15" s="58">
        <v>2500000</v>
      </c>
      <c r="E15" s="54">
        <f>D15*C15</f>
        <v>0</v>
      </c>
      <c r="F15" s="55"/>
      <c r="G15" s="59">
        <v>1800000</v>
      </c>
      <c r="H15" s="54">
        <f t="shared" si="0"/>
        <v>0</v>
      </c>
      <c r="I15" s="55"/>
      <c r="J15" s="58">
        <v>7000</v>
      </c>
      <c r="K15" s="60">
        <f t="shared" si="1"/>
        <v>0</v>
      </c>
      <c r="L15" s="63"/>
      <c r="M15" s="62">
        <v>5000</v>
      </c>
      <c r="N15" s="60">
        <f t="shared" si="2"/>
        <v>0</v>
      </c>
      <c r="O15" s="54">
        <f t="shared" si="3"/>
        <v>0</v>
      </c>
    </row>
    <row r="16" spans="1:15" x14ac:dyDescent="0.3">
      <c r="A16" s="32">
        <v>13</v>
      </c>
      <c r="B16" s="52">
        <v>45324</v>
      </c>
      <c r="C16" s="37"/>
      <c r="D16" s="58">
        <v>2500000</v>
      </c>
      <c r="E16" s="54">
        <f t="shared" si="4"/>
        <v>0</v>
      </c>
      <c r="F16" s="55"/>
      <c r="G16" s="59">
        <v>1800000</v>
      </c>
      <c r="H16" s="54">
        <f t="shared" si="0"/>
        <v>0</v>
      </c>
      <c r="I16" s="55"/>
      <c r="J16" s="58">
        <v>7000</v>
      </c>
      <c r="K16" s="60">
        <f t="shared" si="1"/>
        <v>0</v>
      </c>
      <c r="L16" s="63"/>
      <c r="M16" s="62">
        <v>5000</v>
      </c>
      <c r="N16" s="60">
        <f t="shared" si="2"/>
        <v>0</v>
      </c>
      <c r="O16" s="54">
        <f t="shared" si="3"/>
        <v>0</v>
      </c>
    </row>
    <row r="17" spans="1:15" x14ac:dyDescent="0.3">
      <c r="A17" s="32">
        <v>14</v>
      </c>
      <c r="B17" s="52">
        <v>45325</v>
      </c>
      <c r="C17" s="37"/>
      <c r="D17" s="58">
        <v>2500000</v>
      </c>
      <c r="E17" s="54">
        <f t="shared" si="4"/>
        <v>0</v>
      </c>
      <c r="F17" s="55"/>
      <c r="G17" s="59">
        <v>1800000</v>
      </c>
      <c r="H17" s="54">
        <f t="shared" si="0"/>
        <v>0</v>
      </c>
      <c r="I17" s="55"/>
      <c r="J17" s="58">
        <v>7000</v>
      </c>
      <c r="K17" s="60">
        <f t="shared" si="1"/>
        <v>0</v>
      </c>
      <c r="L17" s="63"/>
      <c r="M17" s="62">
        <v>5000</v>
      </c>
      <c r="N17" s="60">
        <f t="shared" si="2"/>
        <v>0</v>
      </c>
      <c r="O17" s="54">
        <f>E17+H17+N17+K17</f>
        <v>0</v>
      </c>
    </row>
    <row r="18" spans="1:15" x14ac:dyDescent="0.3">
      <c r="A18" s="32">
        <v>15</v>
      </c>
      <c r="B18" s="52">
        <v>45326</v>
      </c>
      <c r="C18" s="37"/>
      <c r="D18" s="58">
        <v>2500000</v>
      </c>
      <c r="E18" s="54">
        <f t="shared" si="4"/>
        <v>0</v>
      </c>
      <c r="F18" s="55"/>
      <c r="G18" s="59">
        <v>1800000</v>
      </c>
      <c r="H18" s="54">
        <f t="shared" si="0"/>
        <v>0</v>
      </c>
      <c r="I18" s="55"/>
      <c r="J18" s="58">
        <v>7000</v>
      </c>
      <c r="K18" s="60">
        <f t="shared" si="1"/>
        <v>0</v>
      </c>
      <c r="L18" s="63"/>
      <c r="M18" s="62">
        <v>5000</v>
      </c>
      <c r="N18" s="60">
        <f t="shared" si="2"/>
        <v>0</v>
      </c>
      <c r="O18" s="54">
        <f t="shared" si="3"/>
        <v>0</v>
      </c>
    </row>
    <row r="19" spans="1:15" x14ac:dyDescent="0.3">
      <c r="A19" s="32">
        <v>16</v>
      </c>
      <c r="B19" s="52">
        <v>45327</v>
      </c>
      <c r="C19" s="37"/>
      <c r="D19" s="58">
        <v>2500000</v>
      </c>
      <c r="E19" s="54">
        <f t="shared" si="4"/>
        <v>0</v>
      </c>
      <c r="F19" s="55"/>
      <c r="G19" s="59">
        <v>1800000</v>
      </c>
      <c r="H19" s="54">
        <f t="shared" si="0"/>
        <v>0</v>
      </c>
      <c r="I19" s="55"/>
      <c r="J19" s="58">
        <v>7000</v>
      </c>
      <c r="K19" s="60">
        <f t="shared" si="1"/>
        <v>0</v>
      </c>
      <c r="L19" s="63"/>
      <c r="M19" s="62">
        <v>5000</v>
      </c>
      <c r="N19" s="60">
        <f t="shared" si="2"/>
        <v>0</v>
      </c>
      <c r="O19" s="54">
        <f t="shared" si="3"/>
        <v>0</v>
      </c>
    </row>
    <row r="20" spans="1:15" x14ac:dyDescent="0.3">
      <c r="A20" s="32">
        <v>17</v>
      </c>
      <c r="B20" s="52">
        <v>45328</v>
      </c>
      <c r="C20" s="37"/>
      <c r="D20" s="58">
        <v>2500000</v>
      </c>
      <c r="E20" s="54">
        <f t="shared" si="4"/>
        <v>0</v>
      </c>
      <c r="F20" s="55"/>
      <c r="G20" s="59">
        <v>1800000</v>
      </c>
      <c r="H20" s="64">
        <f t="shared" si="0"/>
        <v>0</v>
      </c>
      <c r="I20" s="55"/>
      <c r="J20" s="58">
        <v>7000</v>
      </c>
      <c r="K20" s="60">
        <f t="shared" si="1"/>
        <v>0</v>
      </c>
      <c r="L20" s="63"/>
      <c r="M20" s="62">
        <v>5000</v>
      </c>
      <c r="N20" s="60">
        <f t="shared" si="2"/>
        <v>0</v>
      </c>
      <c r="O20" s="54">
        <f t="shared" si="3"/>
        <v>0</v>
      </c>
    </row>
    <row r="21" spans="1:15" x14ac:dyDescent="0.3">
      <c r="A21" s="32">
        <v>18</v>
      </c>
      <c r="B21" s="52">
        <v>45341</v>
      </c>
      <c r="C21" s="37"/>
      <c r="D21" s="58">
        <v>2500000</v>
      </c>
      <c r="E21" s="54">
        <f t="shared" si="4"/>
        <v>0</v>
      </c>
      <c r="F21" s="55"/>
      <c r="G21" s="59">
        <v>1800000</v>
      </c>
      <c r="H21" s="64">
        <f t="shared" si="0"/>
        <v>0</v>
      </c>
      <c r="I21" s="55"/>
      <c r="J21" s="58">
        <v>7000</v>
      </c>
      <c r="K21" s="60">
        <f t="shared" si="1"/>
        <v>0</v>
      </c>
      <c r="L21" s="63"/>
      <c r="M21" s="62">
        <v>5000</v>
      </c>
      <c r="N21" s="60">
        <f t="shared" si="2"/>
        <v>0</v>
      </c>
      <c r="O21" s="54">
        <f t="shared" si="3"/>
        <v>0</v>
      </c>
    </row>
    <row r="22" spans="1:15" x14ac:dyDescent="0.3">
      <c r="A22" s="32">
        <v>19</v>
      </c>
      <c r="B22" s="52">
        <v>45342</v>
      </c>
      <c r="C22" s="37"/>
      <c r="D22" s="58">
        <v>2500000</v>
      </c>
      <c r="E22" s="54">
        <f t="shared" si="4"/>
        <v>0</v>
      </c>
      <c r="F22" s="55"/>
      <c r="G22" s="59">
        <v>1800000</v>
      </c>
      <c r="H22" s="64">
        <f t="shared" si="0"/>
        <v>0</v>
      </c>
      <c r="I22" s="55"/>
      <c r="J22" s="58">
        <v>7000</v>
      </c>
      <c r="K22" s="60">
        <f t="shared" si="1"/>
        <v>0</v>
      </c>
      <c r="L22" s="63"/>
      <c r="M22" s="62">
        <v>5000</v>
      </c>
      <c r="N22" s="60">
        <f t="shared" si="2"/>
        <v>0</v>
      </c>
      <c r="O22" s="54">
        <f t="shared" si="3"/>
        <v>0</v>
      </c>
    </row>
    <row r="23" spans="1:15" x14ac:dyDescent="0.3">
      <c r="A23" s="32">
        <v>20</v>
      </c>
      <c r="B23" s="52">
        <v>45343</v>
      </c>
      <c r="C23" s="37"/>
      <c r="D23" s="58">
        <v>2500000</v>
      </c>
      <c r="E23" s="54">
        <f>D23*C23</f>
        <v>0</v>
      </c>
      <c r="F23" s="55"/>
      <c r="G23" s="59">
        <v>1800000</v>
      </c>
      <c r="H23" s="64">
        <f>G23*F23</f>
        <v>0</v>
      </c>
      <c r="I23" s="55"/>
      <c r="J23" s="58">
        <v>7000</v>
      </c>
      <c r="K23" s="60">
        <f t="shared" si="1"/>
        <v>0</v>
      </c>
      <c r="L23" s="63"/>
      <c r="M23" s="62">
        <v>5000</v>
      </c>
      <c r="N23" s="60">
        <f t="shared" si="2"/>
        <v>0</v>
      </c>
      <c r="O23" s="54">
        <f t="shared" si="3"/>
        <v>0</v>
      </c>
    </row>
    <row r="24" spans="1:15" x14ac:dyDescent="0.3">
      <c r="A24" s="32">
        <v>21</v>
      </c>
      <c r="B24" s="52">
        <v>45344</v>
      </c>
      <c r="C24" s="37"/>
      <c r="D24" s="58">
        <v>2500000</v>
      </c>
      <c r="E24" s="54">
        <f>D24*C24</f>
        <v>0</v>
      </c>
      <c r="F24" s="55"/>
      <c r="G24" s="59">
        <v>1800000</v>
      </c>
      <c r="H24" s="64">
        <f t="shared" si="0"/>
        <v>0</v>
      </c>
      <c r="I24" s="55"/>
      <c r="J24" s="58">
        <v>7000</v>
      </c>
      <c r="K24" s="60">
        <f t="shared" si="1"/>
        <v>0</v>
      </c>
      <c r="L24" s="63"/>
      <c r="M24" s="62">
        <v>5000</v>
      </c>
      <c r="N24" s="60">
        <f t="shared" si="2"/>
        <v>0</v>
      </c>
      <c r="O24" s="54">
        <f t="shared" si="3"/>
        <v>0</v>
      </c>
    </row>
    <row r="25" spans="1:15" x14ac:dyDescent="0.3">
      <c r="A25" s="163"/>
      <c r="B25" s="163"/>
      <c r="C25" s="1">
        <f>SUM(C4:C24)</f>
        <v>0</v>
      </c>
      <c r="D25" s="1"/>
      <c r="E25" s="2">
        <f>SUM(E4:E24)</f>
        <v>0</v>
      </c>
      <c r="F25" s="2">
        <f>SUM(F4:F24)</f>
        <v>0</v>
      </c>
      <c r="G25" s="2"/>
      <c r="H25" s="2">
        <f>SUM(H4:H24)</f>
        <v>0</v>
      </c>
      <c r="I25" s="2">
        <f>SUM(I4:I24)</f>
        <v>0</v>
      </c>
      <c r="J25" s="2"/>
      <c r="K25" s="2">
        <f>SUM(K4:K24)</f>
        <v>0</v>
      </c>
      <c r="L25" s="2">
        <f>SUM(L4:L24)</f>
        <v>0</v>
      </c>
      <c r="M25" s="2"/>
      <c r="N25" s="2">
        <f>SUM(N4:N24)</f>
        <v>0</v>
      </c>
      <c r="O25" s="2">
        <f>SUM(O4:O24)</f>
        <v>0</v>
      </c>
    </row>
    <row r="26" spans="1:15" x14ac:dyDescent="0.3">
      <c r="A26" s="65"/>
      <c r="B26" s="164" t="s">
        <v>34</v>
      </c>
      <c r="C26" s="164"/>
      <c r="D26" s="164"/>
      <c r="E26" s="164"/>
      <c r="F26" s="34"/>
      <c r="G26" s="35" t="s">
        <v>35</v>
      </c>
      <c r="H26" s="36" t="s">
        <v>36</v>
      </c>
      <c r="I26" s="36"/>
      <c r="J26" s="36"/>
      <c r="K26" s="36"/>
      <c r="L26" s="164" t="s">
        <v>34</v>
      </c>
      <c r="M26" s="164"/>
      <c r="N26" s="164"/>
      <c r="O26" s="164"/>
    </row>
    <row r="27" spans="1:15" x14ac:dyDescent="0.3">
      <c r="B27" s="118" t="s">
        <v>37</v>
      </c>
      <c r="C27" s="118"/>
      <c r="D27" s="118"/>
      <c r="E27" s="118"/>
      <c r="F27" s="37"/>
      <c r="G27" s="56">
        <f>((C25+F25)*3500)+L25</f>
        <v>0</v>
      </c>
      <c r="H27" s="37">
        <f>17*500</f>
        <v>8500</v>
      </c>
      <c r="I27" s="37">
        <f>G27+H27</f>
        <v>8500</v>
      </c>
      <c r="J27" s="37"/>
      <c r="K27" s="37"/>
      <c r="L27" s="118" t="s">
        <v>38</v>
      </c>
      <c r="M27" s="118"/>
      <c r="N27" s="118"/>
      <c r="O27" s="118"/>
    </row>
  </sheetData>
  <mergeCells count="11">
    <mergeCell ref="A25:B25"/>
    <mergeCell ref="B26:E26"/>
    <mergeCell ref="L26:O26"/>
    <mergeCell ref="B27:E27"/>
    <mergeCell ref="L27:O27"/>
    <mergeCell ref="A3:B3"/>
    <mergeCell ref="A1:O1"/>
    <mergeCell ref="C2:E2"/>
    <mergeCell ref="F2:H2"/>
    <mergeCell ref="I2:K2"/>
    <mergeCell ref="L2:N2"/>
  </mergeCells>
  <pageMargins left="0.19" right="0.17" top="0.5" bottom="0.75" header="0.3" footer="0.3"/>
  <pageSetup paperSize="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36"/>
  <sheetViews>
    <sheetView view="pageBreakPreview" topLeftCell="A6" zoomScaleNormal="100" zoomScaleSheetLayoutView="100" workbookViewId="0">
      <selection activeCell="A34" sqref="A34:B34"/>
    </sheetView>
  </sheetViews>
  <sheetFormatPr defaultColWidth="9.36328125" defaultRowHeight="12" x14ac:dyDescent="0.3"/>
  <cols>
    <col min="1" max="1" width="3.36328125" style="32" customWidth="1"/>
    <col min="2" max="2" width="9.36328125" style="32" customWidth="1"/>
    <col min="3" max="3" width="6.6328125" style="32" customWidth="1"/>
    <col min="4" max="4" width="9.36328125" style="32" customWidth="1"/>
    <col min="5" max="5" width="12.36328125" style="32" customWidth="1"/>
    <col min="6" max="6" width="6.453125" style="32" customWidth="1"/>
    <col min="7" max="7" width="13.36328125" style="38" customWidth="1"/>
    <col min="8" max="8" width="12.6328125" style="32" customWidth="1"/>
    <col min="9" max="9" width="8.36328125" style="32" customWidth="1"/>
    <col min="10" max="10" width="9.36328125" style="32" customWidth="1"/>
    <col min="11" max="11" width="11.6328125" style="32" customWidth="1"/>
    <col min="12" max="12" width="7.54296875" style="32" customWidth="1"/>
    <col min="13" max="13" width="8.54296875" style="32" customWidth="1"/>
    <col min="14" max="14" width="11.54296875" style="32" customWidth="1"/>
    <col min="15" max="15" width="11.6328125" style="32" customWidth="1"/>
    <col min="16" max="16384" width="9.36328125" style="32"/>
  </cols>
  <sheetData>
    <row r="1" spans="1:15" ht="16.5" customHeight="1" x14ac:dyDescent="0.3">
      <c r="A1" s="156" t="s">
        <v>39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</row>
    <row r="2" spans="1:15" ht="24" customHeight="1" x14ac:dyDescent="0.3">
      <c r="A2" s="39" t="s">
        <v>21</v>
      </c>
      <c r="B2" s="40" t="s">
        <v>22</v>
      </c>
      <c r="C2" s="159" t="s">
        <v>23</v>
      </c>
      <c r="D2" s="159"/>
      <c r="E2" s="159"/>
      <c r="F2" s="159" t="s">
        <v>24</v>
      </c>
      <c r="G2" s="159"/>
      <c r="H2" s="159"/>
      <c r="I2" s="160" t="s">
        <v>25</v>
      </c>
      <c r="J2" s="161"/>
      <c r="K2" s="162"/>
      <c r="L2" s="159" t="s">
        <v>26</v>
      </c>
      <c r="M2" s="159"/>
      <c r="N2" s="159"/>
      <c r="O2" s="41" t="s">
        <v>27</v>
      </c>
    </row>
    <row r="3" spans="1:15" ht="33" customHeight="1" x14ac:dyDescent="0.3">
      <c r="A3" s="158" t="s">
        <v>28</v>
      </c>
      <c r="B3" s="158"/>
      <c r="C3" s="42" t="s">
        <v>29</v>
      </c>
      <c r="D3" s="43" t="s">
        <v>30</v>
      </c>
      <c r="E3" s="44" t="s">
        <v>31</v>
      </c>
      <c r="F3" s="45" t="s">
        <v>29</v>
      </c>
      <c r="G3" s="46" t="s">
        <v>30</v>
      </c>
      <c r="H3" s="44" t="s">
        <v>32</v>
      </c>
      <c r="I3" s="47" t="s">
        <v>29</v>
      </c>
      <c r="J3" s="43" t="s">
        <v>30</v>
      </c>
      <c r="K3" s="44" t="s">
        <v>32</v>
      </c>
      <c r="L3" s="47" t="s">
        <v>33</v>
      </c>
      <c r="M3" s="43" t="s">
        <v>30</v>
      </c>
      <c r="N3" s="44" t="s">
        <v>32</v>
      </c>
      <c r="O3" s="48"/>
    </row>
    <row r="4" spans="1:15" x14ac:dyDescent="0.3">
      <c r="A4" s="66">
        <v>1</v>
      </c>
      <c r="B4" s="52">
        <v>45345</v>
      </c>
      <c r="C4" s="53">
        <v>2</v>
      </c>
      <c r="D4" s="62">
        <v>2500000</v>
      </c>
      <c r="E4" s="54">
        <f>D4*C4</f>
        <v>5000000</v>
      </c>
      <c r="F4" s="53">
        <v>2</v>
      </c>
      <c r="G4" s="59">
        <v>1800000</v>
      </c>
      <c r="H4" s="54">
        <f t="shared" ref="H4:H33" si="0">G4*F4</f>
        <v>3600000</v>
      </c>
      <c r="I4" s="53"/>
      <c r="J4" s="62">
        <v>7000</v>
      </c>
      <c r="K4" s="54">
        <f t="shared" ref="K4:K33" si="1">J4*I4</f>
        <v>0</v>
      </c>
      <c r="L4" s="67"/>
      <c r="M4" s="62">
        <v>5000</v>
      </c>
      <c r="N4" s="54">
        <f t="shared" ref="N4:N33" si="2">L4*M4</f>
        <v>0</v>
      </c>
      <c r="O4" s="54">
        <f t="shared" ref="O4:O29" si="3">E4+H4+N4+K4</f>
        <v>8600000</v>
      </c>
    </row>
    <row r="5" spans="1:15" x14ac:dyDescent="0.3">
      <c r="A5" s="66">
        <v>2</v>
      </c>
      <c r="B5" s="52">
        <v>45346</v>
      </c>
      <c r="C5" s="53">
        <v>1</v>
      </c>
      <c r="D5" s="62">
        <v>2500000</v>
      </c>
      <c r="E5" s="54">
        <f>D5*C5</f>
        <v>2500000</v>
      </c>
      <c r="F5" s="53">
        <v>2</v>
      </c>
      <c r="G5" s="59">
        <v>1800000</v>
      </c>
      <c r="H5" s="54">
        <f t="shared" si="0"/>
        <v>3600000</v>
      </c>
      <c r="I5" s="53"/>
      <c r="J5" s="62">
        <v>7000</v>
      </c>
      <c r="K5" s="54"/>
      <c r="L5" s="67"/>
      <c r="M5" s="62">
        <v>5000</v>
      </c>
      <c r="N5" s="54"/>
      <c r="O5" s="54">
        <f t="shared" si="3"/>
        <v>6100000</v>
      </c>
    </row>
    <row r="6" spans="1:15" x14ac:dyDescent="0.3">
      <c r="A6" s="66">
        <v>3</v>
      </c>
      <c r="B6" s="52">
        <v>45347</v>
      </c>
      <c r="C6" s="53">
        <v>1</v>
      </c>
      <c r="D6" s="62">
        <v>2500000</v>
      </c>
      <c r="E6" s="54">
        <f t="shared" ref="E6:E33" si="4">D6*C6</f>
        <v>2500000</v>
      </c>
      <c r="F6" s="53">
        <v>1</v>
      </c>
      <c r="G6" s="59">
        <v>1800000</v>
      </c>
      <c r="H6" s="54">
        <f t="shared" si="0"/>
        <v>1800000</v>
      </c>
      <c r="I6" s="53"/>
      <c r="J6" s="62">
        <v>7000</v>
      </c>
      <c r="K6" s="54">
        <f t="shared" si="1"/>
        <v>0</v>
      </c>
      <c r="L6" s="67"/>
      <c r="M6" s="62">
        <v>5000</v>
      </c>
      <c r="N6" s="54">
        <f t="shared" si="2"/>
        <v>0</v>
      </c>
      <c r="O6" s="54">
        <f t="shared" si="3"/>
        <v>4300000</v>
      </c>
    </row>
    <row r="7" spans="1:15" x14ac:dyDescent="0.3">
      <c r="A7" s="66">
        <v>4</v>
      </c>
      <c r="B7" s="52">
        <v>45348</v>
      </c>
      <c r="C7" s="53">
        <v>1</v>
      </c>
      <c r="D7" s="62">
        <v>2500000</v>
      </c>
      <c r="E7" s="54">
        <f t="shared" si="4"/>
        <v>2500000</v>
      </c>
      <c r="F7" s="53">
        <v>2</v>
      </c>
      <c r="G7" s="59">
        <v>1800000</v>
      </c>
      <c r="H7" s="54">
        <f t="shared" si="0"/>
        <v>3600000</v>
      </c>
      <c r="I7" s="53"/>
      <c r="J7" s="62">
        <v>7000</v>
      </c>
      <c r="K7" s="54">
        <f t="shared" si="1"/>
        <v>0</v>
      </c>
      <c r="L7" s="67"/>
      <c r="M7" s="62">
        <v>5000</v>
      </c>
      <c r="N7" s="54">
        <f t="shared" si="2"/>
        <v>0</v>
      </c>
      <c r="O7" s="54">
        <f t="shared" si="3"/>
        <v>6100000</v>
      </c>
    </row>
    <row r="8" spans="1:15" x14ac:dyDescent="0.3">
      <c r="A8" s="66">
        <v>5</v>
      </c>
      <c r="B8" s="52">
        <v>45349</v>
      </c>
      <c r="C8" s="53">
        <v>2</v>
      </c>
      <c r="D8" s="62">
        <v>2500000</v>
      </c>
      <c r="E8" s="54">
        <f t="shared" si="4"/>
        <v>5000000</v>
      </c>
      <c r="F8" s="53">
        <v>2</v>
      </c>
      <c r="G8" s="59">
        <v>1800000</v>
      </c>
      <c r="H8" s="54">
        <f t="shared" si="0"/>
        <v>3600000</v>
      </c>
      <c r="I8" s="53"/>
      <c r="J8" s="62">
        <v>7000</v>
      </c>
      <c r="K8" s="54">
        <f t="shared" si="1"/>
        <v>0</v>
      </c>
      <c r="L8" s="67"/>
      <c r="M8" s="62">
        <v>5000</v>
      </c>
      <c r="N8" s="54">
        <f t="shared" si="2"/>
        <v>0</v>
      </c>
      <c r="O8" s="54">
        <f t="shared" si="3"/>
        <v>8600000</v>
      </c>
    </row>
    <row r="9" spans="1:15" x14ac:dyDescent="0.3">
      <c r="A9" s="66">
        <v>6</v>
      </c>
      <c r="B9" s="52">
        <v>45350</v>
      </c>
      <c r="C9" s="53">
        <v>2</v>
      </c>
      <c r="D9" s="62">
        <v>2500000</v>
      </c>
      <c r="E9" s="54">
        <f t="shared" si="4"/>
        <v>5000000</v>
      </c>
      <c r="F9" s="53">
        <v>2</v>
      </c>
      <c r="G9" s="59">
        <v>1800000</v>
      </c>
      <c r="H9" s="54">
        <f t="shared" si="0"/>
        <v>3600000</v>
      </c>
      <c r="I9" s="53"/>
      <c r="J9" s="62">
        <v>7000</v>
      </c>
      <c r="K9" s="54">
        <f t="shared" si="1"/>
        <v>0</v>
      </c>
      <c r="L9" s="67"/>
      <c r="M9" s="62">
        <v>5000</v>
      </c>
      <c r="N9" s="54">
        <f t="shared" si="2"/>
        <v>0</v>
      </c>
      <c r="O9" s="54">
        <f t="shared" si="3"/>
        <v>8600000</v>
      </c>
    </row>
    <row r="10" spans="1:15" x14ac:dyDescent="0.3">
      <c r="A10" s="66">
        <v>7</v>
      </c>
      <c r="B10" s="52">
        <v>45351</v>
      </c>
      <c r="C10" s="53">
        <v>2</v>
      </c>
      <c r="D10" s="62">
        <v>2500000</v>
      </c>
      <c r="E10" s="54">
        <f>D10*C10</f>
        <v>5000000</v>
      </c>
      <c r="F10" s="53">
        <v>2</v>
      </c>
      <c r="G10" s="59">
        <v>1800000</v>
      </c>
      <c r="H10" s="54">
        <f t="shared" si="0"/>
        <v>3600000</v>
      </c>
      <c r="I10" s="53"/>
      <c r="J10" s="62">
        <v>7000</v>
      </c>
      <c r="K10" s="54">
        <f t="shared" si="1"/>
        <v>0</v>
      </c>
      <c r="L10" s="67"/>
      <c r="M10" s="62">
        <v>5000</v>
      </c>
      <c r="N10" s="54">
        <f t="shared" si="2"/>
        <v>0</v>
      </c>
      <c r="O10" s="54">
        <f t="shared" si="3"/>
        <v>8600000</v>
      </c>
    </row>
    <row r="11" spans="1:15" x14ac:dyDescent="0.3">
      <c r="A11" s="66">
        <v>8</v>
      </c>
      <c r="B11" s="52">
        <v>45352</v>
      </c>
      <c r="C11" s="53">
        <v>1</v>
      </c>
      <c r="D11" s="62">
        <v>2500000</v>
      </c>
      <c r="E11" s="54">
        <f t="shared" si="4"/>
        <v>2500000</v>
      </c>
      <c r="F11" s="53">
        <v>2</v>
      </c>
      <c r="G11" s="59">
        <v>1800000</v>
      </c>
      <c r="H11" s="54">
        <f t="shared" si="0"/>
        <v>3600000</v>
      </c>
      <c r="I11" s="53"/>
      <c r="J11" s="62">
        <v>7000</v>
      </c>
      <c r="K11" s="54">
        <f t="shared" si="1"/>
        <v>0</v>
      </c>
      <c r="L11" s="67"/>
      <c r="M11" s="62">
        <v>5000</v>
      </c>
      <c r="N11" s="54">
        <f t="shared" si="2"/>
        <v>0</v>
      </c>
      <c r="O11" s="54">
        <f t="shared" si="3"/>
        <v>6100000</v>
      </c>
    </row>
    <row r="12" spans="1:15" ht="11.75" customHeight="1" x14ac:dyDescent="0.3">
      <c r="A12" s="66">
        <v>9</v>
      </c>
      <c r="B12" s="52">
        <v>45353</v>
      </c>
      <c r="C12" s="53">
        <v>1</v>
      </c>
      <c r="D12" s="62">
        <v>2500000</v>
      </c>
      <c r="E12" s="54">
        <f>D12*C12</f>
        <v>2500000</v>
      </c>
      <c r="F12" s="53">
        <v>2</v>
      </c>
      <c r="G12" s="59">
        <v>1800000</v>
      </c>
      <c r="H12" s="54">
        <f t="shared" si="0"/>
        <v>3600000</v>
      </c>
      <c r="I12" s="53"/>
      <c r="J12" s="62">
        <v>7000</v>
      </c>
      <c r="K12" s="54">
        <f t="shared" si="1"/>
        <v>0</v>
      </c>
      <c r="L12" s="67"/>
      <c r="M12" s="62">
        <v>5000</v>
      </c>
      <c r="N12" s="54">
        <f t="shared" si="2"/>
        <v>0</v>
      </c>
      <c r="O12" s="54">
        <f>E12+H12+N12+K12</f>
        <v>6100000</v>
      </c>
    </row>
    <row r="13" spans="1:15" x14ac:dyDescent="0.3">
      <c r="A13" s="66">
        <v>10</v>
      </c>
      <c r="B13" s="52">
        <v>45354</v>
      </c>
      <c r="C13" s="53">
        <v>2</v>
      </c>
      <c r="D13" s="62">
        <v>2500000</v>
      </c>
      <c r="E13" s="54">
        <f>D13*C13</f>
        <v>5000000</v>
      </c>
      <c r="F13" s="53">
        <v>1</v>
      </c>
      <c r="G13" s="59">
        <v>1800000</v>
      </c>
      <c r="H13" s="54">
        <f>G13*F13</f>
        <v>1800000</v>
      </c>
      <c r="I13" s="53"/>
      <c r="J13" s="62">
        <v>7000</v>
      </c>
      <c r="K13" s="54"/>
      <c r="L13" s="67"/>
      <c r="M13" s="62">
        <v>5000</v>
      </c>
      <c r="N13" s="54">
        <f t="shared" si="2"/>
        <v>0</v>
      </c>
      <c r="O13" s="54">
        <f t="shared" si="3"/>
        <v>6800000</v>
      </c>
    </row>
    <row r="14" spans="1:15" x14ac:dyDescent="0.3">
      <c r="A14" s="66">
        <v>11</v>
      </c>
      <c r="B14" s="52">
        <v>45355</v>
      </c>
      <c r="C14" s="53">
        <v>1</v>
      </c>
      <c r="D14" s="62">
        <v>2500000</v>
      </c>
      <c r="E14" s="54">
        <f>D14*C14</f>
        <v>2500000</v>
      </c>
      <c r="F14" s="53">
        <v>1</v>
      </c>
      <c r="G14" s="59">
        <v>1800000</v>
      </c>
      <c r="H14" s="54">
        <f t="shared" si="0"/>
        <v>1800000</v>
      </c>
      <c r="I14" s="53"/>
      <c r="J14" s="62">
        <v>7000</v>
      </c>
      <c r="K14" s="54">
        <f t="shared" si="1"/>
        <v>0</v>
      </c>
      <c r="L14" s="67"/>
      <c r="M14" s="62">
        <v>5000</v>
      </c>
      <c r="N14" s="54">
        <f t="shared" si="2"/>
        <v>0</v>
      </c>
      <c r="O14" s="54">
        <f t="shared" si="3"/>
        <v>4300000</v>
      </c>
    </row>
    <row r="15" spans="1:15" x14ac:dyDescent="0.3">
      <c r="A15" s="66">
        <v>12</v>
      </c>
      <c r="B15" s="52">
        <v>45356</v>
      </c>
      <c r="C15" s="53">
        <v>1</v>
      </c>
      <c r="D15" s="62">
        <v>2500000</v>
      </c>
      <c r="E15" s="54">
        <f>D15*C15</f>
        <v>2500000</v>
      </c>
      <c r="F15" s="53">
        <v>2</v>
      </c>
      <c r="G15" s="59">
        <v>1800000</v>
      </c>
      <c r="H15" s="54">
        <f t="shared" si="0"/>
        <v>3600000</v>
      </c>
      <c r="I15" s="53"/>
      <c r="J15" s="62">
        <v>7000</v>
      </c>
      <c r="K15" s="54">
        <f t="shared" si="1"/>
        <v>0</v>
      </c>
      <c r="L15" s="67"/>
      <c r="M15" s="62">
        <v>5000</v>
      </c>
      <c r="N15" s="54">
        <f t="shared" si="2"/>
        <v>0</v>
      </c>
      <c r="O15" s="54">
        <f t="shared" si="3"/>
        <v>6100000</v>
      </c>
    </row>
    <row r="16" spans="1:15" x14ac:dyDescent="0.3">
      <c r="A16" s="66">
        <v>13</v>
      </c>
      <c r="B16" s="52">
        <v>45357</v>
      </c>
      <c r="C16" s="53">
        <v>2</v>
      </c>
      <c r="D16" s="62">
        <v>2500000</v>
      </c>
      <c r="E16" s="54">
        <f t="shared" si="4"/>
        <v>5000000</v>
      </c>
      <c r="F16" s="53">
        <v>2</v>
      </c>
      <c r="G16" s="59">
        <v>1800000</v>
      </c>
      <c r="H16" s="54">
        <f t="shared" si="0"/>
        <v>3600000</v>
      </c>
      <c r="I16" s="53"/>
      <c r="J16" s="62">
        <v>7000</v>
      </c>
      <c r="K16" s="54">
        <f t="shared" si="1"/>
        <v>0</v>
      </c>
      <c r="L16" s="67"/>
      <c r="M16" s="62">
        <v>5000</v>
      </c>
      <c r="N16" s="54">
        <f t="shared" si="2"/>
        <v>0</v>
      </c>
      <c r="O16" s="54">
        <f t="shared" si="3"/>
        <v>8600000</v>
      </c>
    </row>
    <row r="17" spans="1:15" x14ac:dyDescent="0.3">
      <c r="A17" s="66">
        <v>14</v>
      </c>
      <c r="B17" s="52">
        <v>45358</v>
      </c>
      <c r="C17" s="53">
        <v>2</v>
      </c>
      <c r="D17" s="62">
        <v>2500000</v>
      </c>
      <c r="E17" s="54">
        <f t="shared" si="4"/>
        <v>5000000</v>
      </c>
      <c r="F17" s="53">
        <v>2</v>
      </c>
      <c r="G17" s="59">
        <v>1800000</v>
      </c>
      <c r="H17" s="54">
        <f t="shared" si="0"/>
        <v>3600000</v>
      </c>
      <c r="I17" s="53"/>
      <c r="J17" s="62">
        <v>7000</v>
      </c>
      <c r="K17" s="54">
        <f t="shared" si="1"/>
        <v>0</v>
      </c>
      <c r="L17" s="67"/>
      <c r="M17" s="62">
        <v>5000</v>
      </c>
      <c r="N17" s="54">
        <f t="shared" si="2"/>
        <v>0</v>
      </c>
      <c r="O17" s="54">
        <f>E17+H17+N17+K17</f>
        <v>8600000</v>
      </c>
    </row>
    <row r="18" spans="1:15" x14ac:dyDescent="0.3">
      <c r="A18" s="66">
        <v>15</v>
      </c>
      <c r="B18" s="52">
        <v>45359</v>
      </c>
      <c r="C18" s="53">
        <v>2</v>
      </c>
      <c r="D18" s="62">
        <v>2500000</v>
      </c>
      <c r="E18" s="54">
        <f t="shared" si="4"/>
        <v>5000000</v>
      </c>
      <c r="F18" s="53">
        <v>2</v>
      </c>
      <c r="G18" s="59">
        <v>1800000</v>
      </c>
      <c r="H18" s="54">
        <f t="shared" si="0"/>
        <v>3600000</v>
      </c>
      <c r="I18" s="53"/>
      <c r="J18" s="62">
        <v>7000</v>
      </c>
      <c r="K18" s="54">
        <f t="shared" si="1"/>
        <v>0</v>
      </c>
      <c r="L18" s="67"/>
      <c r="M18" s="62">
        <v>5000</v>
      </c>
      <c r="N18" s="54">
        <f t="shared" si="2"/>
        <v>0</v>
      </c>
      <c r="O18" s="54">
        <f t="shared" si="3"/>
        <v>8600000</v>
      </c>
    </row>
    <row r="19" spans="1:15" x14ac:dyDescent="0.3">
      <c r="A19" s="66">
        <v>16</v>
      </c>
      <c r="B19" s="52">
        <v>45360</v>
      </c>
      <c r="C19" s="53">
        <v>1</v>
      </c>
      <c r="D19" s="62">
        <v>2500000</v>
      </c>
      <c r="E19" s="54">
        <f t="shared" si="4"/>
        <v>2500000</v>
      </c>
      <c r="F19" s="53">
        <v>2</v>
      </c>
      <c r="G19" s="59">
        <v>1800000</v>
      </c>
      <c r="H19" s="54">
        <f t="shared" si="0"/>
        <v>3600000</v>
      </c>
      <c r="I19" s="53"/>
      <c r="J19" s="62">
        <v>7000</v>
      </c>
      <c r="K19" s="54">
        <f t="shared" si="1"/>
        <v>0</v>
      </c>
      <c r="L19" s="67"/>
      <c r="M19" s="62">
        <v>5000</v>
      </c>
      <c r="N19" s="54">
        <f t="shared" si="2"/>
        <v>0</v>
      </c>
      <c r="O19" s="54">
        <f t="shared" si="3"/>
        <v>6100000</v>
      </c>
    </row>
    <row r="20" spans="1:15" x14ac:dyDescent="0.3">
      <c r="A20" s="66">
        <v>17</v>
      </c>
      <c r="B20" s="52">
        <v>45361</v>
      </c>
      <c r="C20" s="53">
        <v>2</v>
      </c>
      <c r="D20" s="62">
        <v>2500000</v>
      </c>
      <c r="E20" s="54">
        <f t="shared" si="4"/>
        <v>5000000</v>
      </c>
      <c r="F20" s="53">
        <v>2</v>
      </c>
      <c r="G20" s="59">
        <v>1800000</v>
      </c>
      <c r="H20" s="54">
        <f t="shared" si="0"/>
        <v>3600000</v>
      </c>
      <c r="I20" s="53"/>
      <c r="J20" s="62">
        <v>7000</v>
      </c>
      <c r="K20" s="54">
        <f t="shared" si="1"/>
        <v>0</v>
      </c>
      <c r="L20" s="67"/>
      <c r="M20" s="62">
        <v>5000</v>
      </c>
      <c r="N20" s="54">
        <f t="shared" si="2"/>
        <v>0</v>
      </c>
      <c r="O20" s="54">
        <f t="shared" si="3"/>
        <v>8600000</v>
      </c>
    </row>
    <row r="21" spans="1:15" x14ac:dyDescent="0.3">
      <c r="A21" s="66">
        <v>18</v>
      </c>
      <c r="B21" s="52">
        <v>45362</v>
      </c>
      <c r="C21" s="53">
        <v>1</v>
      </c>
      <c r="D21" s="62">
        <v>2500000</v>
      </c>
      <c r="E21" s="54">
        <f t="shared" si="4"/>
        <v>2500000</v>
      </c>
      <c r="F21" s="53">
        <v>2</v>
      </c>
      <c r="G21" s="59">
        <v>1800000</v>
      </c>
      <c r="H21" s="54">
        <f t="shared" si="0"/>
        <v>3600000</v>
      </c>
      <c r="I21" s="53"/>
      <c r="J21" s="62">
        <v>7000</v>
      </c>
      <c r="K21" s="54">
        <f t="shared" si="1"/>
        <v>0</v>
      </c>
      <c r="L21" s="67"/>
      <c r="M21" s="62">
        <v>5000</v>
      </c>
      <c r="N21" s="54">
        <f t="shared" si="2"/>
        <v>0</v>
      </c>
      <c r="O21" s="54">
        <f t="shared" si="3"/>
        <v>6100000</v>
      </c>
    </row>
    <row r="22" spans="1:15" x14ac:dyDescent="0.3">
      <c r="A22" s="66">
        <v>19</v>
      </c>
      <c r="B22" s="52">
        <v>45363</v>
      </c>
      <c r="C22" s="53">
        <v>2</v>
      </c>
      <c r="D22" s="62">
        <v>2500000</v>
      </c>
      <c r="E22" s="54">
        <f t="shared" si="4"/>
        <v>5000000</v>
      </c>
      <c r="F22" s="53">
        <v>2</v>
      </c>
      <c r="G22" s="59">
        <v>1800000</v>
      </c>
      <c r="H22" s="54">
        <f t="shared" si="0"/>
        <v>3600000</v>
      </c>
      <c r="I22" s="53"/>
      <c r="J22" s="62">
        <v>7000</v>
      </c>
      <c r="K22" s="54">
        <f t="shared" si="1"/>
        <v>0</v>
      </c>
      <c r="L22" s="67"/>
      <c r="M22" s="62">
        <v>5000</v>
      </c>
      <c r="N22" s="54">
        <f t="shared" si="2"/>
        <v>0</v>
      </c>
      <c r="O22" s="54">
        <f t="shared" si="3"/>
        <v>8600000</v>
      </c>
    </row>
    <row r="23" spans="1:15" x14ac:dyDescent="0.3">
      <c r="A23" s="66">
        <v>20</v>
      </c>
      <c r="B23" s="52">
        <v>45364</v>
      </c>
      <c r="C23" s="53">
        <v>1</v>
      </c>
      <c r="D23" s="62">
        <v>2500000</v>
      </c>
      <c r="E23" s="54">
        <f t="shared" si="4"/>
        <v>2500000</v>
      </c>
      <c r="F23" s="53">
        <v>2</v>
      </c>
      <c r="G23" s="59">
        <v>1800000</v>
      </c>
      <c r="H23" s="54">
        <f t="shared" si="0"/>
        <v>3600000</v>
      </c>
      <c r="I23" s="53"/>
      <c r="J23" s="62">
        <v>7000</v>
      </c>
      <c r="K23" s="54">
        <f t="shared" si="1"/>
        <v>0</v>
      </c>
      <c r="L23" s="67"/>
      <c r="M23" s="62">
        <v>5000</v>
      </c>
      <c r="N23" s="54">
        <f t="shared" si="2"/>
        <v>0</v>
      </c>
      <c r="O23" s="54">
        <f t="shared" si="3"/>
        <v>6100000</v>
      </c>
    </row>
    <row r="24" spans="1:15" x14ac:dyDescent="0.3">
      <c r="A24" s="66">
        <v>21</v>
      </c>
      <c r="B24" s="52">
        <v>45365</v>
      </c>
      <c r="C24" s="53">
        <v>2</v>
      </c>
      <c r="D24" s="62">
        <v>2500000</v>
      </c>
      <c r="E24" s="54">
        <f t="shared" si="4"/>
        <v>5000000</v>
      </c>
      <c r="F24" s="53">
        <v>2</v>
      </c>
      <c r="G24" s="59">
        <v>1800000</v>
      </c>
      <c r="H24" s="54">
        <f t="shared" si="0"/>
        <v>3600000</v>
      </c>
      <c r="I24" s="53"/>
      <c r="J24" s="62">
        <v>7000</v>
      </c>
      <c r="K24" s="54">
        <f t="shared" si="1"/>
        <v>0</v>
      </c>
      <c r="L24" s="67"/>
      <c r="M24" s="62">
        <v>5000</v>
      </c>
      <c r="N24" s="54">
        <f t="shared" si="2"/>
        <v>0</v>
      </c>
      <c r="O24" s="54">
        <f t="shared" si="3"/>
        <v>8600000</v>
      </c>
    </row>
    <row r="25" spans="1:15" x14ac:dyDescent="0.3">
      <c r="A25" s="66">
        <v>22</v>
      </c>
      <c r="B25" s="52">
        <v>45366</v>
      </c>
      <c r="C25" s="53">
        <v>3</v>
      </c>
      <c r="D25" s="62">
        <v>2500000</v>
      </c>
      <c r="E25" s="54">
        <f t="shared" si="4"/>
        <v>7500000</v>
      </c>
      <c r="F25" s="53">
        <v>2</v>
      </c>
      <c r="G25" s="59">
        <v>1800000</v>
      </c>
      <c r="H25" s="54">
        <f t="shared" si="0"/>
        <v>3600000</v>
      </c>
      <c r="I25" s="53"/>
      <c r="J25" s="62">
        <v>7000</v>
      </c>
      <c r="K25" s="54">
        <f t="shared" si="1"/>
        <v>0</v>
      </c>
      <c r="L25" s="67"/>
      <c r="M25" s="62">
        <v>5000</v>
      </c>
      <c r="N25" s="54">
        <f t="shared" si="2"/>
        <v>0</v>
      </c>
      <c r="O25" s="54">
        <f t="shared" si="3"/>
        <v>11100000</v>
      </c>
    </row>
    <row r="26" spans="1:15" x14ac:dyDescent="0.3">
      <c r="A26" s="66">
        <v>23</v>
      </c>
      <c r="B26" s="52">
        <v>45367</v>
      </c>
      <c r="C26" s="53">
        <v>1</v>
      </c>
      <c r="D26" s="62">
        <v>2500000</v>
      </c>
      <c r="E26" s="54">
        <f t="shared" si="4"/>
        <v>2500000</v>
      </c>
      <c r="F26" s="53">
        <v>2</v>
      </c>
      <c r="G26" s="59">
        <v>1800000</v>
      </c>
      <c r="H26" s="54">
        <f t="shared" si="0"/>
        <v>3600000</v>
      </c>
      <c r="I26" s="53"/>
      <c r="J26" s="62">
        <v>7000</v>
      </c>
      <c r="K26" s="54">
        <f t="shared" si="1"/>
        <v>0</v>
      </c>
      <c r="L26" s="67">
        <v>2620</v>
      </c>
      <c r="M26" s="62">
        <v>5000</v>
      </c>
      <c r="N26" s="54">
        <f t="shared" si="2"/>
        <v>13100000</v>
      </c>
      <c r="O26" s="54">
        <f t="shared" si="3"/>
        <v>19200000</v>
      </c>
    </row>
    <row r="27" spans="1:15" x14ac:dyDescent="0.3">
      <c r="A27" s="66">
        <v>24</v>
      </c>
      <c r="B27" s="52">
        <v>45368</v>
      </c>
      <c r="C27" s="53">
        <v>1</v>
      </c>
      <c r="D27" s="62">
        <v>2500000</v>
      </c>
      <c r="E27" s="54">
        <f t="shared" si="4"/>
        <v>2500000</v>
      </c>
      <c r="F27" s="53">
        <v>2</v>
      </c>
      <c r="G27" s="59">
        <v>1800000</v>
      </c>
      <c r="H27" s="54">
        <f t="shared" si="0"/>
        <v>3600000</v>
      </c>
      <c r="I27" s="53"/>
      <c r="J27" s="62">
        <v>7000</v>
      </c>
      <c r="K27" s="54">
        <f t="shared" si="1"/>
        <v>0</v>
      </c>
      <c r="L27" s="67"/>
      <c r="M27" s="62">
        <v>5000</v>
      </c>
      <c r="N27" s="54">
        <f t="shared" si="2"/>
        <v>0</v>
      </c>
      <c r="O27" s="54">
        <f t="shared" si="3"/>
        <v>6100000</v>
      </c>
    </row>
    <row r="28" spans="1:15" x14ac:dyDescent="0.3">
      <c r="A28" s="66">
        <v>25</v>
      </c>
      <c r="B28" s="52">
        <v>45369</v>
      </c>
      <c r="C28" s="53">
        <v>1</v>
      </c>
      <c r="D28" s="62">
        <v>2500000</v>
      </c>
      <c r="E28" s="54">
        <f t="shared" si="4"/>
        <v>2500000</v>
      </c>
      <c r="F28" s="68">
        <v>1</v>
      </c>
      <c r="G28" s="59">
        <v>1800000</v>
      </c>
      <c r="H28" s="54">
        <f>G28*F27</f>
        <v>3600000</v>
      </c>
      <c r="I28" s="53"/>
      <c r="J28" s="62">
        <v>7000</v>
      </c>
      <c r="K28" s="54">
        <f t="shared" si="1"/>
        <v>0</v>
      </c>
      <c r="L28" s="67"/>
      <c r="M28" s="62">
        <v>5000</v>
      </c>
      <c r="N28" s="54">
        <f t="shared" si="2"/>
        <v>0</v>
      </c>
      <c r="O28" s="54">
        <f t="shared" si="3"/>
        <v>6100000</v>
      </c>
    </row>
    <row r="29" spans="1:15" x14ac:dyDescent="0.3">
      <c r="A29" s="66">
        <v>26</v>
      </c>
      <c r="B29" s="52">
        <v>45370</v>
      </c>
      <c r="C29" s="53">
        <v>2</v>
      </c>
      <c r="D29" s="62">
        <v>2500000</v>
      </c>
      <c r="E29" s="54">
        <f t="shared" si="4"/>
        <v>5000000</v>
      </c>
      <c r="F29" s="53">
        <v>2</v>
      </c>
      <c r="G29" s="59">
        <v>1800000</v>
      </c>
      <c r="H29" s="54">
        <f t="shared" si="0"/>
        <v>3600000</v>
      </c>
      <c r="I29" s="53"/>
      <c r="J29" s="62">
        <v>7000</v>
      </c>
      <c r="K29" s="54">
        <f t="shared" si="1"/>
        <v>0</v>
      </c>
      <c r="L29" s="67"/>
      <c r="M29" s="62">
        <v>5000</v>
      </c>
      <c r="N29" s="54">
        <f t="shared" si="2"/>
        <v>0</v>
      </c>
      <c r="O29" s="54">
        <f t="shared" si="3"/>
        <v>8600000</v>
      </c>
    </row>
    <row r="30" spans="1:15" x14ac:dyDescent="0.3">
      <c r="A30" s="66">
        <v>27</v>
      </c>
      <c r="B30" s="52">
        <v>45371</v>
      </c>
      <c r="C30" s="53">
        <v>1</v>
      </c>
      <c r="D30" s="62">
        <v>2500000</v>
      </c>
      <c r="E30" s="54">
        <f>D30*C30</f>
        <v>2500000</v>
      </c>
      <c r="F30" s="53">
        <v>2</v>
      </c>
      <c r="G30" s="59">
        <v>1800000</v>
      </c>
      <c r="H30" s="54">
        <f>G30*F30</f>
        <v>3600000</v>
      </c>
      <c r="I30" s="53">
        <v>720</v>
      </c>
      <c r="J30" s="62">
        <v>7000</v>
      </c>
      <c r="K30" s="54">
        <f>J30*I30</f>
        <v>5040000</v>
      </c>
      <c r="L30" s="67"/>
      <c r="M30" s="62">
        <v>5000</v>
      </c>
      <c r="N30" s="54">
        <f>L30*M30</f>
        <v>0</v>
      </c>
      <c r="O30" s="54">
        <f>E30+H30+N30+K30</f>
        <v>11140000</v>
      </c>
    </row>
    <row r="31" spans="1:15" x14ac:dyDescent="0.3">
      <c r="A31" s="66">
        <v>28</v>
      </c>
      <c r="B31" s="52">
        <v>45372</v>
      </c>
      <c r="C31" s="53">
        <v>2</v>
      </c>
      <c r="D31" s="62">
        <v>2500000</v>
      </c>
      <c r="E31" s="54">
        <f>D31*C31</f>
        <v>5000000</v>
      </c>
      <c r="F31" s="53">
        <v>2</v>
      </c>
      <c r="G31" s="59">
        <v>1800000</v>
      </c>
      <c r="H31" s="54">
        <f>G31*F31</f>
        <v>3600000</v>
      </c>
      <c r="I31" s="53"/>
      <c r="J31" s="62">
        <v>7000</v>
      </c>
      <c r="K31" s="54">
        <f>J31*I31</f>
        <v>0</v>
      </c>
      <c r="L31" s="67"/>
      <c r="M31" s="62">
        <v>5000</v>
      </c>
      <c r="N31" s="54">
        <f>L31*M31</f>
        <v>0</v>
      </c>
      <c r="O31" s="54">
        <f>E31+H31+N31+K31</f>
        <v>8600000</v>
      </c>
    </row>
    <row r="32" spans="1:15" x14ac:dyDescent="0.3">
      <c r="A32" s="66">
        <v>29</v>
      </c>
      <c r="B32" s="52">
        <v>45373</v>
      </c>
      <c r="C32" s="53">
        <v>1</v>
      </c>
      <c r="D32" s="62">
        <v>2500000</v>
      </c>
      <c r="E32" s="54">
        <f>D32*C32</f>
        <v>2500000</v>
      </c>
      <c r="F32" s="53">
        <v>2</v>
      </c>
      <c r="G32" s="59">
        <v>1800000</v>
      </c>
      <c r="H32" s="54">
        <f>G32*F32</f>
        <v>3600000</v>
      </c>
      <c r="I32" s="53"/>
      <c r="J32" s="62">
        <v>7000</v>
      </c>
      <c r="K32" s="54">
        <f>J32*I32</f>
        <v>0</v>
      </c>
      <c r="L32" s="67"/>
      <c r="M32" s="62">
        <v>5000</v>
      </c>
      <c r="N32" s="54">
        <f>L32*M32</f>
        <v>0</v>
      </c>
      <c r="O32" s="54">
        <f>E32+H32+N32+K32</f>
        <v>6100000</v>
      </c>
    </row>
    <row r="33" spans="1:15" x14ac:dyDescent="0.3">
      <c r="A33" s="66">
        <v>30</v>
      </c>
      <c r="B33" s="52">
        <v>45374</v>
      </c>
      <c r="C33" s="53">
        <v>2</v>
      </c>
      <c r="D33" s="62">
        <v>2500000</v>
      </c>
      <c r="E33" s="54">
        <f t="shared" si="4"/>
        <v>5000000</v>
      </c>
      <c r="F33" s="53">
        <v>2</v>
      </c>
      <c r="G33" s="59">
        <v>1800000</v>
      </c>
      <c r="H33" s="54">
        <f t="shared" si="0"/>
        <v>3600000</v>
      </c>
      <c r="I33" s="53"/>
      <c r="J33" s="62">
        <v>7000</v>
      </c>
      <c r="K33" s="54">
        <f t="shared" si="1"/>
        <v>0</v>
      </c>
      <c r="L33" s="67"/>
      <c r="M33" s="62">
        <v>5000</v>
      </c>
      <c r="N33" s="54">
        <f t="shared" si="2"/>
        <v>0</v>
      </c>
      <c r="O33" s="54">
        <f>E33+H33+N33+K33</f>
        <v>8600000</v>
      </c>
    </row>
    <row r="34" spans="1:15" x14ac:dyDescent="0.3">
      <c r="A34" s="165">
        <f>SUM(C27:C33)+SUM(F27:F33)</f>
        <v>23</v>
      </c>
      <c r="B34" s="166"/>
      <c r="C34" s="1">
        <f>SUM(C4:C33)</f>
        <v>46</v>
      </c>
      <c r="D34" s="1"/>
      <c r="E34" s="2">
        <f>SUM(E4:E33)</f>
        <v>115000000</v>
      </c>
      <c r="F34" s="2">
        <f>SUM(F4:F33)</f>
        <v>56</v>
      </c>
      <c r="G34" s="2"/>
      <c r="H34" s="2">
        <f>SUM(H4:H33)</f>
        <v>102600000</v>
      </c>
      <c r="I34" s="2">
        <f>SUM(I4:I33)</f>
        <v>720</v>
      </c>
      <c r="J34" s="2"/>
      <c r="K34" s="2">
        <f>SUM(K4:K33)</f>
        <v>5040000</v>
      </c>
      <c r="L34" s="2">
        <f>SUM(L4:L33)</f>
        <v>2620</v>
      </c>
      <c r="M34" s="2"/>
      <c r="N34" s="2">
        <f>SUM(N4:N33)</f>
        <v>13100000</v>
      </c>
      <c r="O34" s="2">
        <f>SUM(O4:O33)</f>
        <v>235740000</v>
      </c>
    </row>
    <row r="35" spans="1:15" x14ac:dyDescent="0.3">
      <c r="A35" s="65"/>
      <c r="B35" s="164" t="s">
        <v>34</v>
      </c>
      <c r="C35" s="164"/>
      <c r="D35" s="164"/>
      <c r="E35" s="164"/>
      <c r="F35" s="34"/>
      <c r="G35" s="35"/>
      <c r="H35" s="36"/>
      <c r="I35" s="36"/>
      <c r="J35" s="36"/>
      <c r="K35" s="36"/>
      <c r="L35" s="164" t="s">
        <v>34</v>
      </c>
      <c r="M35" s="164"/>
      <c r="N35" s="164"/>
      <c r="O35" s="164"/>
    </row>
    <row r="36" spans="1:15" x14ac:dyDescent="0.3">
      <c r="B36" s="118" t="s">
        <v>37</v>
      </c>
      <c r="C36" s="118"/>
      <c r="D36" s="118"/>
      <c r="E36" s="118"/>
      <c r="F36" s="37"/>
      <c r="G36" s="56"/>
      <c r="H36" s="37"/>
      <c r="I36" s="37"/>
      <c r="J36" s="37"/>
      <c r="K36" s="37"/>
      <c r="L36" s="118" t="s">
        <v>38</v>
      </c>
      <c r="M36" s="118"/>
      <c r="N36" s="118"/>
      <c r="O36" s="118"/>
    </row>
  </sheetData>
  <mergeCells count="11">
    <mergeCell ref="A34:B34"/>
    <mergeCell ref="B35:E35"/>
    <mergeCell ref="L35:O35"/>
    <mergeCell ref="B36:E36"/>
    <mergeCell ref="L36:O36"/>
    <mergeCell ref="A3:B3"/>
    <mergeCell ref="A1:O1"/>
    <mergeCell ref="C2:E2"/>
    <mergeCell ref="F2:H2"/>
    <mergeCell ref="I2:K2"/>
    <mergeCell ref="L2:N2"/>
  </mergeCells>
  <pageMargins left="0.19" right="0.17" top="0.5" bottom="0.75" header="0.3" footer="0.3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36"/>
  <sheetViews>
    <sheetView view="pageBreakPreview" topLeftCell="A7" zoomScaleNormal="100" zoomScaleSheetLayoutView="100" workbookViewId="0">
      <selection activeCell="A34" sqref="A34:B34"/>
    </sheetView>
  </sheetViews>
  <sheetFormatPr defaultColWidth="9.36328125" defaultRowHeight="12" x14ac:dyDescent="0.3"/>
  <cols>
    <col min="1" max="1" width="3.36328125" style="32" customWidth="1"/>
    <col min="2" max="2" width="9.36328125" style="32" customWidth="1"/>
    <col min="3" max="3" width="6.6328125" style="32" customWidth="1"/>
    <col min="4" max="4" width="9.36328125" style="32" customWidth="1"/>
    <col min="5" max="5" width="12.36328125" style="32" customWidth="1"/>
    <col min="6" max="6" width="6.453125" style="32" customWidth="1"/>
    <col min="7" max="7" width="13.36328125" style="38" customWidth="1"/>
    <col min="8" max="8" width="12.6328125" style="32" customWidth="1"/>
    <col min="9" max="9" width="8.36328125" style="32" customWidth="1"/>
    <col min="10" max="10" width="9.36328125" style="32" customWidth="1"/>
    <col min="11" max="11" width="11.6328125" style="32" customWidth="1"/>
    <col min="12" max="12" width="7.54296875" style="32" customWidth="1"/>
    <col min="13" max="13" width="8.54296875" style="32" customWidth="1"/>
    <col min="14" max="14" width="11.54296875" style="32" customWidth="1"/>
    <col min="15" max="15" width="11.6328125" style="32" customWidth="1"/>
    <col min="16" max="16384" width="9.36328125" style="32"/>
  </cols>
  <sheetData>
    <row r="1" spans="1:15" ht="16.5" customHeight="1" x14ac:dyDescent="0.3">
      <c r="A1" s="156" t="s">
        <v>40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</row>
    <row r="2" spans="1:15" ht="24" customHeight="1" x14ac:dyDescent="0.3">
      <c r="A2" s="39" t="s">
        <v>21</v>
      </c>
      <c r="B2" s="40" t="s">
        <v>22</v>
      </c>
      <c r="C2" s="159" t="s">
        <v>23</v>
      </c>
      <c r="D2" s="159"/>
      <c r="E2" s="159"/>
      <c r="F2" s="159" t="s">
        <v>24</v>
      </c>
      <c r="G2" s="159"/>
      <c r="H2" s="159"/>
      <c r="I2" s="160" t="s">
        <v>25</v>
      </c>
      <c r="J2" s="161"/>
      <c r="K2" s="162"/>
      <c r="L2" s="159" t="s">
        <v>26</v>
      </c>
      <c r="M2" s="159"/>
      <c r="N2" s="159"/>
      <c r="O2" s="41" t="s">
        <v>27</v>
      </c>
    </row>
    <row r="3" spans="1:15" ht="33" customHeight="1" x14ac:dyDescent="0.3">
      <c r="A3" s="158" t="s">
        <v>28</v>
      </c>
      <c r="B3" s="158"/>
      <c r="C3" s="42" t="s">
        <v>29</v>
      </c>
      <c r="D3" s="43" t="s">
        <v>30</v>
      </c>
      <c r="E3" s="44" t="s">
        <v>31</v>
      </c>
      <c r="F3" s="45" t="s">
        <v>29</v>
      </c>
      <c r="G3" s="46" t="s">
        <v>30</v>
      </c>
      <c r="H3" s="44" t="s">
        <v>32</v>
      </c>
      <c r="I3" s="47" t="s">
        <v>29</v>
      </c>
      <c r="J3" s="43" t="s">
        <v>30</v>
      </c>
      <c r="K3" s="44" t="s">
        <v>32</v>
      </c>
      <c r="L3" s="47" t="s">
        <v>33</v>
      </c>
      <c r="M3" s="43" t="s">
        <v>30</v>
      </c>
      <c r="N3" s="44" t="s">
        <v>32</v>
      </c>
      <c r="O3" s="48"/>
    </row>
    <row r="4" spans="1:15" x14ac:dyDescent="0.3">
      <c r="A4" s="66">
        <v>1</v>
      </c>
      <c r="B4" s="52">
        <v>45375</v>
      </c>
      <c r="C4" s="53">
        <v>1</v>
      </c>
      <c r="D4" s="62">
        <v>2500000</v>
      </c>
      <c r="E4" s="54">
        <f>D4*C4</f>
        <v>2500000</v>
      </c>
      <c r="F4" s="53">
        <v>2</v>
      </c>
      <c r="G4" s="59">
        <v>1800000</v>
      </c>
      <c r="H4" s="54">
        <f t="shared" ref="H4:H32" si="0">G4*F4</f>
        <v>3600000</v>
      </c>
      <c r="I4" s="53"/>
      <c r="J4" s="62">
        <v>7000</v>
      </c>
      <c r="K4" s="54">
        <f t="shared" ref="K4:K32" si="1">J4*I4</f>
        <v>0</v>
      </c>
      <c r="L4" s="67"/>
      <c r="M4" s="62">
        <v>5000</v>
      </c>
      <c r="N4" s="54">
        <f t="shared" ref="N4:N32" si="2">L4*M4</f>
        <v>0</v>
      </c>
      <c r="O4" s="54">
        <f t="shared" ref="O4:O31" si="3">E4+H4+N4+K4</f>
        <v>6100000</v>
      </c>
    </row>
    <row r="5" spans="1:15" x14ac:dyDescent="0.3">
      <c r="A5" s="66">
        <v>2</v>
      </c>
      <c r="B5" s="52">
        <v>45376</v>
      </c>
      <c r="C5" s="53">
        <v>1</v>
      </c>
      <c r="D5" s="62">
        <v>2500000</v>
      </c>
      <c r="E5" s="54">
        <f>D5*C5</f>
        <v>2500000</v>
      </c>
      <c r="F5" s="53">
        <v>2</v>
      </c>
      <c r="G5" s="59">
        <v>1800000</v>
      </c>
      <c r="H5" s="54">
        <f t="shared" si="0"/>
        <v>3600000</v>
      </c>
      <c r="I5" s="53"/>
      <c r="J5" s="62">
        <v>7000</v>
      </c>
      <c r="K5" s="54"/>
      <c r="L5" s="67"/>
      <c r="M5" s="62">
        <v>5000</v>
      </c>
      <c r="N5" s="54"/>
      <c r="O5" s="54">
        <f t="shared" si="3"/>
        <v>6100000</v>
      </c>
    </row>
    <row r="6" spans="1:15" x14ac:dyDescent="0.3">
      <c r="A6" s="66">
        <v>3</v>
      </c>
      <c r="B6" s="52">
        <v>45377</v>
      </c>
      <c r="C6" s="53">
        <v>2</v>
      </c>
      <c r="D6" s="62">
        <v>2500000</v>
      </c>
      <c r="E6" s="54">
        <f t="shared" ref="E6:E32" si="4">D6*C6</f>
        <v>5000000</v>
      </c>
      <c r="F6" s="53">
        <v>2</v>
      </c>
      <c r="G6" s="59">
        <v>1800000</v>
      </c>
      <c r="H6" s="54">
        <f t="shared" si="0"/>
        <v>3600000</v>
      </c>
      <c r="I6" s="53"/>
      <c r="J6" s="62">
        <v>7000</v>
      </c>
      <c r="K6" s="54">
        <f t="shared" si="1"/>
        <v>0</v>
      </c>
      <c r="L6" s="67"/>
      <c r="M6" s="62">
        <v>5000</v>
      </c>
      <c r="N6" s="54">
        <f t="shared" si="2"/>
        <v>0</v>
      </c>
      <c r="O6" s="54">
        <f t="shared" si="3"/>
        <v>8600000</v>
      </c>
    </row>
    <row r="7" spans="1:15" x14ac:dyDescent="0.3">
      <c r="A7" s="66">
        <v>4</v>
      </c>
      <c r="B7" s="52">
        <v>45378</v>
      </c>
      <c r="C7" s="53">
        <v>2</v>
      </c>
      <c r="D7" s="62">
        <v>2500000</v>
      </c>
      <c r="E7" s="54">
        <f t="shared" si="4"/>
        <v>5000000</v>
      </c>
      <c r="F7" s="53">
        <v>2</v>
      </c>
      <c r="G7" s="59">
        <v>1800000</v>
      </c>
      <c r="H7" s="54">
        <f t="shared" si="0"/>
        <v>3600000</v>
      </c>
      <c r="I7" s="53"/>
      <c r="J7" s="62">
        <v>7000</v>
      </c>
      <c r="K7" s="54">
        <f t="shared" si="1"/>
        <v>0</v>
      </c>
      <c r="L7" s="67"/>
      <c r="M7" s="62">
        <v>5000</v>
      </c>
      <c r="N7" s="54">
        <f t="shared" si="2"/>
        <v>0</v>
      </c>
      <c r="O7" s="54">
        <f t="shared" si="3"/>
        <v>8600000</v>
      </c>
    </row>
    <row r="8" spans="1:15" x14ac:dyDescent="0.3">
      <c r="A8" s="66">
        <v>5</v>
      </c>
      <c r="B8" s="52">
        <v>45379</v>
      </c>
      <c r="C8" s="53">
        <v>1</v>
      </c>
      <c r="D8" s="62">
        <v>2500000</v>
      </c>
      <c r="E8" s="54">
        <f t="shared" si="4"/>
        <v>2500000</v>
      </c>
      <c r="F8" s="53">
        <v>2</v>
      </c>
      <c r="G8" s="59">
        <v>1800000</v>
      </c>
      <c r="H8" s="54">
        <f t="shared" si="0"/>
        <v>3600000</v>
      </c>
      <c r="I8" s="53"/>
      <c r="J8" s="62">
        <v>7000</v>
      </c>
      <c r="K8" s="54">
        <f t="shared" si="1"/>
        <v>0</v>
      </c>
      <c r="L8" s="67"/>
      <c r="M8" s="62">
        <v>5000</v>
      </c>
      <c r="N8" s="54">
        <f t="shared" si="2"/>
        <v>0</v>
      </c>
      <c r="O8" s="54">
        <f t="shared" si="3"/>
        <v>6100000</v>
      </c>
    </row>
    <row r="9" spans="1:15" x14ac:dyDescent="0.3">
      <c r="A9" s="66">
        <v>6</v>
      </c>
      <c r="B9" s="52">
        <v>45380</v>
      </c>
      <c r="C9" s="53">
        <v>1</v>
      </c>
      <c r="D9" s="62">
        <v>2500000</v>
      </c>
      <c r="E9" s="54">
        <f t="shared" si="4"/>
        <v>2500000</v>
      </c>
      <c r="F9" s="53">
        <v>2</v>
      </c>
      <c r="G9" s="59">
        <v>1800000</v>
      </c>
      <c r="H9" s="54">
        <f t="shared" si="0"/>
        <v>3600000</v>
      </c>
      <c r="I9" s="53"/>
      <c r="J9" s="62">
        <v>7000</v>
      </c>
      <c r="K9" s="54">
        <f t="shared" si="1"/>
        <v>0</v>
      </c>
      <c r="L9" s="67"/>
      <c r="M9" s="62">
        <v>5000</v>
      </c>
      <c r="N9" s="54">
        <f t="shared" si="2"/>
        <v>0</v>
      </c>
      <c r="O9" s="54">
        <f t="shared" si="3"/>
        <v>6100000</v>
      </c>
    </row>
    <row r="10" spans="1:15" x14ac:dyDescent="0.3">
      <c r="A10" s="66">
        <v>7</v>
      </c>
      <c r="B10" s="52">
        <v>45381</v>
      </c>
      <c r="C10" s="53">
        <v>2</v>
      </c>
      <c r="D10" s="62">
        <v>2500000</v>
      </c>
      <c r="E10" s="54">
        <f>D10*C10</f>
        <v>5000000</v>
      </c>
      <c r="F10" s="53">
        <v>2</v>
      </c>
      <c r="G10" s="59">
        <v>1800000</v>
      </c>
      <c r="H10" s="54">
        <f t="shared" si="0"/>
        <v>3600000</v>
      </c>
      <c r="I10" s="53"/>
      <c r="J10" s="62">
        <v>7000</v>
      </c>
      <c r="K10" s="54">
        <f t="shared" si="1"/>
        <v>0</v>
      </c>
      <c r="L10" s="67"/>
      <c r="M10" s="62">
        <v>5000</v>
      </c>
      <c r="N10" s="54">
        <f t="shared" si="2"/>
        <v>0</v>
      </c>
      <c r="O10" s="54">
        <f t="shared" si="3"/>
        <v>8600000</v>
      </c>
    </row>
    <row r="11" spans="1:15" x14ac:dyDescent="0.3">
      <c r="A11" s="66">
        <v>8</v>
      </c>
      <c r="B11" s="52">
        <v>45382</v>
      </c>
      <c r="C11" s="53">
        <v>2</v>
      </c>
      <c r="D11" s="62">
        <v>2500000</v>
      </c>
      <c r="E11" s="54">
        <f t="shared" si="4"/>
        <v>5000000</v>
      </c>
      <c r="F11" s="53">
        <v>1</v>
      </c>
      <c r="G11" s="59">
        <v>1800000</v>
      </c>
      <c r="H11" s="54">
        <f t="shared" si="0"/>
        <v>1800000</v>
      </c>
      <c r="I11" s="53"/>
      <c r="J11" s="62">
        <v>7000</v>
      </c>
      <c r="K11" s="54">
        <f t="shared" si="1"/>
        <v>0</v>
      </c>
      <c r="L11" s="67"/>
      <c r="M11" s="62">
        <v>5000</v>
      </c>
      <c r="N11" s="54">
        <f t="shared" si="2"/>
        <v>0</v>
      </c>
      <c r="O11" s="54">
        <f t="shared" si="3"/>
        <v>6800000</v>
      </c>
    </row>
    <row r="12" spans="1:15" ht="11.75" customHeight="1" x14ac:dyDescent="0.3">
      <c r="A12" s="66">
        <v>9</v>
      </c>
      <c r="B12" s="52">
        <v>45383</v>
      </c>
      <c r="C12" s="53">
        <v>1</v>
      </c>
      <c r="D12" s="62">
        <v>2500000</v>
      </c>
      <c r="E12" s="54">
        <f>D12*C12</f>
        <v>2500000</v>
      </c>
      <c r="F12" s="53">
        <v>2</v>
      </c>
      <c r="G12" s="59">
        <v>1800000</v>
      </c>
      <c r="H12" s="54">
        <f t="shared" si="0"/>
        <v>3600000</v>
      </c>
      <c r="I12" s="53"/>
      <c r="J12" s="62">
        <v>7000</v>
      </c>
      <c r="K12" s="54">
        <f t="shared" si="1"/>
        <v>0</v>
      </c>
      <c r="L12" s="67"/>
      <c r="M12" s="62">
        <v>5000</v>
      </c>
      <c r="N12" s="54">
        <f t="shared" si="2"/>
        <v>0</v>
      </c>
      <c r="O12" s="54">
        <f>E12+H12+N12+K12</f>
        <v>6100000</v>
      </c>
    </row>
    <row r="13" spans="1:15" x14ac:dyDescent="0.3">
      <c r="A13" s="66">
        <v>10</v>
      </c>
      <c r="B13" s="52">
        <v>45384</v>
      </c>
      <c r="C13" s="53">
        <v>2</v>
      </c>
      <c r="D13" s="62">
        <v>2500000</v>
      </c>
      <c r="E13" s="54">
        <f>D13*C13</f>
        <v>5000000</v>
      </c>
      <c r="F13" s="53">
        <v>2</v>
      </c>
      <c r="G13" s="59">
        <v>1800000</v>
      </c>
      <c r="H13" s="54">
        <f>G13*F13</f>
        <v>3600000</v>
      </c>
      <c r="I13" s="53"/>
      <c r="J13" s="62">
        <v>7000</v>
      </c>
      <c r="K13" s="54"/>
      <c r="L13" s="67"/>
      <c r="M13" s="62">
        <v>5000</v>
      </c>
      <c r="N13" s="54">
        <f t="shared" si="2"/>
        <v>0</v>
      </c>
      <c r="O13" s="54">
        <f t="shared" si="3"/>
        <v>8600000</v>
      </c>
    </row>
    <row r="14" spans="1:15" x14ac:dyDescent="0.3">
      <c r="A14" s="66">
        <v>11</v>
      </c>
      <c r="B14" s="52">
        <v>45385</v>
      </c>
      <c r="C14" s="53">
        <v>1</v>
      </c>
      <c r="D14" s="62">
        <v>2500000</v>
      </c>
      <c r="E14" s="54">
        <f>D14*C14</f>
        <v>2500000</v>
      </c>
      <c r="F14" s="53">
        <v>2</v>
      </c>
      <c r="G14" s="59">
        <v>1800000</v>
      </c>
      <c r="H14" s="54">
        <f t="shared" si="0"/>
        <v>3600000</v>
      </c>
      <c r="I14" s="53"/>
      <c r="J14" s="62">
        <v>7000</v>
      </c>
      <c r="K14" s="54">
        <f t="shared" si="1"/>
        <v>0</v>
      </c>
      <c r="L14" s="67"/>
      <c r="M14" s="62">
        <v>5000</v>
      </c>
      <c r="N14" s="54">
        <f t="shared" si="2"/>
        <v>0</v>
      </c>
      <c r="O14" s="54">
        <f t="shared" si="3"/>
        <v>6100000</v>
      </c>
    </row>
    <row r="15" spans="1:15" x14ac:dyDescent="0.3">
      <c r="A15" s="66">
        <v>12</v>
      </c>
      <c r="B15" s="52">
        <v>45386</v>
      </c>
      <c r="C15" s="53">
        <v>1</v>
      </c>
      <c r="D15" s="62">
        <v>2500000</v>
      </c>
      <c r="E15" s="54">
        <f>D15*C15</f>
        <v>2500000</v>
      </c>
      <c r="F15" s="53">
        <v>2</v>
      </c>
      <c r="G15" s="59">
        <v>1800000</v>
      </c>
      <c r="H15" s="54">
        <f t="shared" si="0"/>
        <v>3600000</v>
      </c>
      <c r="I15" s="53"/>
      <c r="J15" s="62">
        <v>7000</v>
      </c>
      <c r="K15" s="54">
        <f t="shared" si="1"/>
        <v>0</v>
      </c>
      <c r="L15" s="67"/>
      <c r="M15" s="62">
        <v>5000</v>
      </c>
      <c r="N15" s="54">
        <f t="shared" si="2"/>
        <v>0</v>
      </c>
      <c r="O15" s="54">
        <f t="shared" si="3"/>
        <v>6100000</v>
      </c>
    </row>
    <row r="16" spans="1:15" x14ac:dyDescent="0.3">
      <c r="A16" s="66">
        <v>13</v>
      </c>
      <c r="B16" s="52">
        <v>45387</v>
      </c>
      <c r="C16" s="53">
        <v>2</v>
      </c>
      <c r="D16" s="62">
        <v>2500000</v>
      </c>
      <c r="E16" s="54">
        <f t="shared" si="4"/>
        <v>5000000</v>
      </c>
      <c r="F16" s="53">
        <v>2</v>
      </c>
      <c r="G16" s="59">
        <v>1800000</v>
      </c>
      <c r="H16" s="54">
        <f t="shared" si="0"/>
        <v>3600000</v>
      </c>
      <c r="I16" s="53"/>
      <c r="J16" s="62">
        <v>7000</v>
      </c>
      <c r="K16" s="54">
        <f t="shared" si="1"/>
        <v>0</v>
      </c>
      <c r="L16" s="67"/>
      <c r="M16" s="62">
        <v>5000</v>
      </c>
      <c r="N16" s="54">
        <f t="shared" si="2"/>
        <v>0</v>
      </c>
      <c r="O16" s="54">
        <f t="shared" si="3"/>
        <v>8600000</v>
      </c>
    </row>
    <row r="17" spans="1:15" x14ac:dyDescent="0.3">
      <c r="A17" s="66">
        <v>14</v>
      </c>
      <c r="B17" s="52">
        <v>45388</v>
      </c>
      <c r="C17" s="53">
        <v>2</v>
      </c>
      <c r="D17" s="62">
        <v>2500000</v>
      </c>
      <c r="E17" s="54">
        <f t="shared" si="4"/>
        <v>5000000</v>
      </c>
      <c r="F17" s="53">
        <v>2</v>
      </c>
      <c r="G17" s="59">
        <v>1800000</v>
      </c>
      <c r="H17" s="54">
        <f t="shared" si="0"/>
        <v>3600000</v>
      </c>
      <c r="I17" s="53"/>
      <c r="J17" s="62">
        <v>7000</v>
      </c>
      <c r="K17" s="54">
        <f t="shared" si="1"/>
        <v>0</v>
      </c>
      <c r="L17" s="67"/>
      <c r="M17" s="62">
        <v>5000</v>
      </c>
      <c r="N17" s="54">
        <f t="shared" si="2"/>
        <v>0</v>
      </c>
      <c r="O17" s="54">
        <f>E17+H17+N17+K17</f>
        <v>8600000</v>
      </c>
    </row>
    <row r="18" spans="1:15" x14ac:dyDescent="0.3">
      <c r="A18" s="66">
        <v>15</v>
      </c>
      <c r="B18" s="52">
        <v>45389</v>
      </c>
      <c r="C18" s="53">
        <v>1</v>
      </c>
      <c r="D18" s="62">
        <v>2500000</v>
      </c>
      <c r="E18" s="54">
        <f t="shared" si="4"/>
        <v>2500000</v>
      </c>
      <c r="F18" s="53">
        <v>1</v>
      </c>
      <c r="G18" s="59">
        <v>1800000</v>
      </c>
      <c r="H18" s="54">
        <f t="shared" si="0"/>
        <v>1800000</v>
      </c>
      <c r="I18" s="53"/>
      <c r="J18" s="62">
        <v>7000</v>
      </c>
      <c r="K18" s="54">
        <f t="shared" si="1"/>
        <v>0</v>
      </c>
      <c r="L18" s="67"/>
      <c r="M18" s="62">
        <v>5000</v>
      </c>
      <c r="N18" s="54">
        <f t="shared" si="2"/>
        <v>0</v>
      </c>
      <c r="O18" s="54">
        <f t="shared" si="3"/>
        <v>4300000</v>
      </c>
    </row>
    <row r="19" spans="1:15" x14ac:dyDescent="0.3">
      <c r="A19" s="66">
        <v>16</v>
      </c>
      <c r="B19" s="52">
        <v>45390</v>
      </c>
      <c r="C19" s="53">
        <v>1</v>
      </c>
      <c r="D19" s="62">
        <v>2500000</v>
      </c>
      <c r="E19" s="54">
        <f t="shared" si="4"/>
        <v>2500000</v>
      </c>
      <c r="F19" s="53">
        <v>2</v>
      </c>
      <c r="G19" s="59">
        <v>1800000</v>
      </c>
      <c r="H19" s="54">
        <f t="shared" si="0"/>
        <v>3600000</v>
      </c>
      <c r="I19" s="53"/>
      <c r="J19" s="62">
        <v>7000</v>
      </c>
      <c r="K19" s="54">
        <f t="shared" si="1"/>
        <v>0</v>
      </c>
      <c r="L19" s="67"/>
      <c r="M19" s="62">
        <v>5000</v>
      </c>
      <c r="N19" s="54">
        <f t="shared" si="2"/>
        <v>0</v>
      </c>
      <c r="O19" s="54">
        <f t="shared" si="3"/>
        <v>6100000</v>
      </c>
    </row>
    <row r="20" spans="1:15" x14ac:dyDescent="0.3">
      <c r="A20" s="66">
        <v>17</v>
      </c>
      <c r="B20" s="52">
        <v>45391</v>
      </c>
      <c r="C20" s="53">
        <v>1</v>
      </c>
      <c r="D20" s="62">
        <v>2500000</v>
      </c>
      <c r="E20" s="54">
        <f t="shared" si="4"/>
        <v>2500000</v>
      </c>
      <c r="F20" s="53">
        <v>2</v>
      </c>
      <c r="G20" s="59">
        <v>1800000</v>
      </c>
      <c r="H20" s="54">
        <f t="shared" si="0"/>
        <v>3600000</v>
      </c>
      <c r="I20" s="53"/>
      <c r="J20" s="62">
        <v>7000</v>
      </c>
      <c r="K20" s="54">
        <f t="shared" si="1"/>
        <v>0</v>
      </c>
      <c r="L20" s="67"/>
      <c r="M20" s="62">
        <v>5000</v>
      </c>
      <c r="N20" s="54">
        <f t="shared" si="2"/>
        <v>0</v>
      </c>
      <c r="O20" s="54">
        <f t="shared" si="3"/>
        <v>6100000</v>
      </c>
    </row>
    <row r="21" spans="1:15" x14ac:dyDescent="0.3">
      <c r="A21" s="66">
        <v>18</v>
      </c>
      <c r="B21" s="52">
        <v>45392</v>
      </c>
      <c r="C21" s="53">
        <v>2</v>
      </c>
      <c r="D21" s="62">
        <v>2500000</v>
      </c>
      <c r="E21" s="54">
        <f t="shared" si="4"/>
        <v>5000000</v>
      </c>
      <c r="F21" s="53">
        <v>2</v>
      </c>
      <c r="G21" s="59">
        <v>1800000</v>
      </c>
      <c r="H21" s="54">
        <f t="shared" si="0"/>
        <v>3600000</v>
      </c>
      <c r="I21" s="53"/>
      <c r="J21" s="62">
        <v>7000</v>
      </c>
      <c r="K21" s="54">
        <f t="shared" si="1"/>
        <v>0</v>
      </c>
      <c r="L21" s="67"/>
      <c r="M21" s="62">
        <v>5000</v>
      </c>
      <c r="N21" s="54">
        <f t="shared" si="2"/>
        <v>0</v>
      </c>
      <c r="O21" s="54">
        <f t="shared" si="3"/>
        <v>8600000</v>
      </c>
    </row>
    <row r="22" spans="1:15" x14ac:dyDescent="0.3">
      <c r="A22" s="66">
        <v>19</v>
      </c>
      <c r="B22" s="52">
        <v>45393</v>
      </c>
      <c r="C22" s="53">
        <v>2</v>
      </c>
      <c r="D22" s="62">
        <v>2500000</v>
      </c>
      <c r="E22" s="54">
        <f t="shared" si="4"/>
        <v>5000000</v>
      </c>
      <c r="F22" s="53">
        <v>2</v>
      </c>
      <c r="G22" s="59">
        <v>1800000</v>
      </c>
      <c r="H22" s="54">
        <f t="shared" si="0"/>
        <v>3600000</v>
      </c>
      <c r="I22" s="53"/>
      <c r="J22" s="62">
        <v>7000</v>
      </c>
      <c r="K22" s="54">
        <f t="shared" si="1"/>
        <v>0</v>
      </c>
      <c r="L22" s="67"/>
      <c r="M22" s="62">
        <v>5000</v>
      </c>
      <c r="N22" s="54">
        <f t="shared" si="2"/>
        <v>0</v>
      </c>
      <c r="O22" s="54">
        <f t="shared" si="3"/>
        <v>8600000</v>
      </c>
    </row>
    <row r="23" spans="1:15" x14ac:dyDescent="0.3">
      <c r="A23" s="66">
        <v>20</v>
      </c>
      <c r="B23" s="52">
        <v>45394</v>
      </c>
      <c r="C23" s="53">
        <v>2</v>
      </c>
      <c r="D23" s="62">
        <v>2500000</v>
      </c>
      <c r="E23" s="54">
        <f t="shared" si="4"/>
        <v>5000000</v>
      </c>
      <c r="F23" s="53">
        <v>2</v>
      </c>
      <c r="G23" s="59">
        <v>1800000</v>
      </c>
      <c r="H23" s="54">
        <f t="shared" si="0"/>
        <v>3600000</v>
      </c>
      <c r="I23" s="53"/>
      <c r="J23" s="62">
        <v>7000</v>
      </c>
      <c r="K23" s="54">
        <f t="shared" si="1"/>
        <v>0</v>
      </c>
      <c r="L23" s="67"/>
      <c r="M23" s="62">
        <v>5000</v>
      </c>
      <c r="N23" s="54">
        <f t="shared" si="2"/>
        <v>0</v>
      </c>
      <c r="O23" s="54">
        <f t="shared" si="3"/>
        <v>8600000</v>
      </c>
    </row>
    <row r="24" spans="1:15" x14ac:dyDescent="0.3">
      <c r="A24" s="66">
        <v>21</v>
      </c>
      <c r="B24" s="52">
        <v>45395</v>
      </c>
      <c r="C24" s="53">
        <v>1</v>
      </c>
      <c r="D24" s="62">
        <v>2500000</v>
      </c>
      <c r="E24" s="54">
        <f t="shared" si="4"/>
        <v>2500000</v>
      </c>
      <c r="F24" s="53">
        <v>2</v>
      </c>
      <c r="G24" s="59">
        <v>1800000</v>
      </c>
      <c r="H24" s="54">
        <f t="shared" si="0"/>
        <v>3600000</v>
      </c>
      <c r="I24" s="53"/>
      <c r="J24" s="62">
        <v>7000</v>
      </c>
      <c r="K24" s="54">
        <f t="shared" si="1"/>
        <v>0</v>
      </c>
      <c r="L24" s="67"/>
      <c r="M24" s="62">
        <v>5000</v>
      </c>
      <c r="N24" s="54">
        <f t="shared" si="2"/>
        <v>0</v>
      </c>
      <c r="O24" s="54">
        <f t="shared" si="3"/>
        <v>6100000</v>
      </c>
    </row>
    <row r="25" spans="1:15" x14ac:dyDescent="0.3">
      <c r="A25" s="66">
        <v>22</v>
      </c>
      <c r="B25" s="52">
        <v>45396</v>
      </c>
      <c r="C25" s="53">
        <v>1</v>
      </c>
      <c r="D25" s="62">
        <v>2500000</v>
      </c>
      <c r="E25" s="54">
        <f t="shared" si="4"/>
        <v>2500000</v>
      </c>
      <c r="F25" s="53">
        <v>2</v>
      </c>
      <c r="G25" s="59">
        <v>1800000</v>
      </c>
      <c r="H25" s="54">
        <f t="shared" si="0"/>
        <v>3600000</v>
      </c>
      <c r="I25" s="53"/>
      <c r="J25" s="62">
        <v>7000</v>
      </c>
      <c r="K25" s="54">
        <f t="shared" si="1"/>
        <v>0</v>
      </c>
      <c r="L25" s="67"/>
      <c r="M25" s="62">
        <v>5000</v>
      </c>
      <c r="N25" s="54">
        <f t="shared" si="2"/>
        <v>0</v>
      </c>
      <c r="O25" s="54">
        <f t="shared" si="3"/>
        <v>6100000</v>
      </c>
    </row>
    <row r="26" spans="1:15" x14ac:dyDescent="0.3">
      <c r="A26" s="66">
        <v>23</v>
      </c>
      <c r="B26" s="52">
        <v>45397</v>
      </c>
      <c r="C26" s="53">
        <v>1</v>
      </c>
      <c r="D26" s="62">
        <v>2500000</v>
      </c>
      <c r="E26" s="54">
        <f t="shared" si="4"/>
        <v>2500000</v>
      </c>
      <c r="F26" s="53">
        <v>2</v>
      </c>
      <c r="G26" s="59">
        <v>1800000</v>
      </c>
      <c r="H26" s="54">
        <f t="shared" si="0"/>
        <v>3600000</v>
      </c>
      <c r="I26" s="53"/>
      <c r="J26" s="62">
        <v>7000</v>
      </c>
      <c r="K26" s="54">
        <f t="shared" si="1"/>
        <v>0</v>
      </c>
      <c r="L26" s="67"/>
      <c r="M26" s="62">
        <v>5000</v>
      </c>
      <c r="N26" s="54">
        <f t="shared" si="2"/>
        <v>0</v>
      </c>
      <c r="O26" s="54">
        <f t="shared" si="3"/>
        <v>6100000</v>
      </c>
    </row>
    <row r="27" spans="1:15" x14ac:dyDescent="0.3">
      <c r="A27" s="66">
        <v>24</v>
      </c>
      <c r="B27" s="52">
        <v>45398</v>
      </c>
      <c r="C27" s="53">
        <v>2</v>
      </c>
      <c r="D27" s="62">
        <v>2500000</v>
      </c>
      <c r="E27" s="54">
        <f t="shared" si="4"/>
        <v>5000000</v>
      </c>
      <c r="F27" s="53">
        <v>2</v>
      </c>
      <c r="G27" s="59">
        <v>1800000</v>
      </c>
      <c r="H27" s="54">
        <f t="shared" si="0"/>
        <v>3600000</v>
      </c>
      <c r="I27" s="53"/>
      <c r="J27" s="62">
        <v>7000</v>
      </c>
      <c r="K27" s="54">
        <f t="shared" si="1"/>
        <v>0</v>
      </c>
      <c r="L27" s="67"/>
      <c r="M27" s="62">
        <v>5000</v>
      </c>
      <c r="N27" s="54">
        <f t="shared" si="2"/>
        <v>0</v>
      </c>
      <c r="O27" s="54">
        <f t="shared" si="3"/>
        <v>8600000</v>
      </c>
    </row>
    <row r="28" spans="1:15" x14ac:dyDescent="0.3">
      <c r="A28" s="66">
        <v>25</v>
      </c>
      <c r="B28" s="52">
        <v>45399</v>
      </c>
      <c r="C28" s="53">
        <v>1</v>
      </c>
      <c r="D28" s="62">
        <v>2500000</v>
      </c>
      <c r="E28" s="54">
        <f t="shared" si="4"/>
        <v>2500000</v>
      </c>
      <c r="F28" s="68">
        <v>3</v>
      </c>
      <c r="G28" s="59">
        <v>1800000</v>
      </c>
      <c r="H28" s="54">
        <f t="shared" si="0"/>
        <v>5400000</v>
      </c>
      <c r="I28" s="53"/>
      <c r="J28" s="62">
        <v>7000</v>
      </c>
      <c r="K28" s="54">
        <f t="shared" si="1"/>
        <v>0</v>
      </c>
      <c r="L28" s="67"/>
      <c r="M28" s="62">
        <v>5000</v>
      </c>
      <c r="N28" s="54">
        <f t="shared" si="2"/>
        <v>0</v>
      </c>
      <c r="O28" s="54">
        <f t="shared" si="3"/>
        <v>7900000</v>
      </c>
    </row>
    <row r="29" spans="1:15" x14ac:dyDescent="0.3">
      <c r="A29" s="66">
        <v>27</v>
      </c>
      <c r="B29" s="52">
        <v>45401</v>
      </c>
      <c r="C29" s="53">
        <v>2</v>
      </c>
      <c r="D29" s="62">
        <v>2500000</v>
      </c>
      <c r="E29" s="54">
        <f t="shared" si="4"/>
        <v>5000000</v>
      </c>
      <c r="F29" s="53">
        <v>2</v>
      </c>
      <c r="G29" s="59">
        <v>1800000</v>
      </c>
      <c r="H29" s="54">
        <f t="shared" si="0"/>
        <v>3600000</v>
      </c>
      <c r="I29" s="53"/>
      <c r="J29" s="62">
        <v>7000</v>
      </c>
      <c r="K29" s="54">
        <f t="shared" si="1"/>
        <v>0</v>
      </c>
      <c r="L29" s="67"/>
      <c r="M29" s="62">
        <v>5000</v>
      </c>
      <c r="N29" s="54">
        <f t="shared" si="2"/>
        <v>0</v>
      </c>
      <c r="O29" s="54">
        <f t="shared" si="3"/>
        <v>8600000</v>
      </c>
    </row>
    <row r="30" spans="1:15" x14ac:dyDescent="0.3">
      <c r="A30" s="66">
        <v>28</v>
      </c>
      <c r="B30" s="52">
        <v>45402</v>
      </c>
      <c r="C30" s="53">
        <v>2</v>
      </c>
      <c r="D30" s="62">
        <v>2500000</v>
      </c>
      <c r="E30" s="54">
        <f t="shared" si="4"/>
        <v>5000000</v>
      </c>
      <c r="F30" s="53">
        <v>2</v>
      </c>
      <c r="G30" s="59">
        <v>1800000</v>
      </c>
      <c r="H30" s="54">
        <f t="shared" si="0"/>
        <v>3600000</v>
      </c>
      <c r="I30" s="53"/>
      <c r="J30" s="62">
        <v>7000</v>
      </c>
      <c r="K30" s="54">
        <f t="shared" si="1"/>
        <v>0</v>
      </c>
      <c r="L30" s="67"/>
      <c r="M30" s="62">
        <v>5000</v>
      </c>
      <c r="N30" s="54">
        <f t="shared" si="2"/>
        <v>0</v>
      </c>
      <c r="O30" s="54">
        <f t="shared" si="3"/>
        <v>8600000</v>
      </c>
    </row>
    <row r="31" spans="1:15" x14ac:dyDescent="0.3">
      <c r="A31" s="66">
        <v>29</v>
      </c>
      <c r="B31" s="52">
        <v>45403</v>
      </c>
      <c r="C31" s="53">
        <v>1</v>
      </c>
      <c r="D31" s="62">
        <v>2500000</v>
      </c>
      <c r="E31" s="54">
        <f t="shared" si="4"/>
        <v>2500000</v>
      </c>
      <c r="F31" s="53">
        <v>2</v>
      </c>
      <c r="G31" s="59">
        <v>1800000</v>
      </c>
      <c r="H31" s="54">
        <f t="shared" si="0"/>
        <v>3600000</v>
      </c>
      <c r="I31" s="53"/>
      <c r="J31" s="62">
        <v>7000</v>
      </c>
      <c r="K31" s="54">
        <f t="shared" si="1"/>
        <v>0</v>
      </c>
      <c r="L31" s="67"/>
      <c r="M31" s="62">
        <v>5000</v>
      </c>
      <c r="N31" s="54">
        <f t="shared" si="2"/>
        <v>0</v>
      </c>
      <c r="O31" s="54">
        <f t="shared" si="3"/>
        <v>6100000</v>
      </c>
    </row>
    <row r="32" spans="1:15" x14ac:dyDescent="0.3">
      <c r="A32" s="66">
        <v>30</v>
      </c>
      <c r="B32" s="52">
        <v>45404</v>
      </c>
      <c r="C32" s="53">
        <v>1</v>
      </c>
      <c r="D32" s="62">
        <v>2500000</v>
      </c>
      <c r="E32" s="54">
        <f t="shared" si="4"/>
        <v>2500000</v>
      </c>
      <c r="F32" s="53">
        <v>1</v>
      </c>
      <c r="G32" s="59">
        <v>1800000</v>
      </c>
      <c r="H32" s="54">
        <f t="shared" si="0"/>
        <v>1800000</v>
      </c>
      <c r="I32" s="53"/>
      <c r="J32" s="62">
        <v>7000</v>
      </c>
      <c r="K32" s="54">
        <f t="shared" si="1"/>
        <v>0</v>
      </c>
      <c r="L32" s="67"/>
      <c r="M32" s="62">
        <v>5000</v>
      </c>
      <c r="N32" s="54">
        <f t="shared" si="2"/>
        <v>0</v>
      </c>
      <c r="O32" s="54">
        <f>E32+H32+N32+K32</f>
        <v>4300000</v>
      </c>
    </row>
    <row r="33" spans="1:15" x14ac:dyDescent="0.3">
      <c r="A33" s="66">
        <v>31</v>
      </c>
      <c r="B33" s="52">
        <v>45405</v>
      </c>
      <c r="C33" s="53">
        <v>2</v>
      </c>
      <c r="D33" s="62">
        <v>2500000</v>
      </c>
      <c r="E33" s="54">
        <f>D33*C33</f>
        <v>5000000</v>
      </c>
      <c r="F33" s="53">
        <v>2</v>
      </c>
      <c r="G33" s="59">
        <v>1800000</v>
      </c>
      <c r="H33" s="54">
        <f>G33*F33</f>
        <v>3600000</v>
      </c>
      <c r="I33" s="53">
        <v>1050</v>
      </c>
      <c r="J33" s="62">
        <v>7000</v>
      </c>
      <c r="K33" s="54">
        <f>J33*I33</f>
        <v>7350000</v>
      </c>
      <c r="L33" s="67"/>
      <c r="M33" s="62">
        <v>5000</v>
      </c>
      <c r="N33" s="54">
        <f>L33*M33</f>
        <v>0</v>
      </c>
      <c r="O33" s="54">
        <f>E33+H33+N33+K33</f>
        <v>15950000</v>
      </c>
    </row>
    <row r="34" spans="1:15" x14ac:dyDescent="0.3">
      <c r="A34" s="166"/>
      <c r="B34" s="166"/>
      <c r="C34" s="1">
        <f>SUM(C4:C33)</f>
        <v>44</v>
      </c>
      <c r="D34" s="1"/>
      <c r="E34" s="2">
        <f>SUM(E4:E33)</f>
        <v>110000000</v>
      </c>
      <c r="F34" s="2">
        <f>SUM(F4:F33)</f>
        <v>58</v>
      </c>
      <c r="G34" s="2"/>
      <c r="H34" s="2">
        <f>SUM(H4:H33)</f>
        <v>104400000</v>
      </c>
      <c r="I34" s="2">
        <f>SUM(I4:I33)</f>
        <v>1050</v>
      </c>
      <c r="J34" s="2"/>
      <c r="K34" s="2">
        <f>SUM(K4:K33)</f>
        <v>7350000</v>
      </c>
      <c r="L34" s="2">
        <f>SUM(L4:L32)</f>
        <v>0</v>
      </c>
      <c r="M34" s="2"/>
      <c r="N34" s="2">
        <f>SUM(N4:N33)</f>
        <v>0</v>
      </c>
      <c r="O34" s="2">
        <f>SUM(O4:O33)</f>
        <v>221750000</v>
      </c>
    </row>
    <row r="35" spans="1:15" x14ac:dyDescent="0.3">
      <c r="A35" s="65"/>
      <c r="B35" s="164" t="s">
        <v>34</v>
      </c>
      <c r="C35" s="164"/>
      <c r="D35" s="164"/>
      <c r="E35" s="164"/>
      <c r="F35" s="34"/>
      <c r="G35" s="35"/>
      <c r="H35" s="36"/>
      <c r="I35" s="36"/>
      <c r="J35" s="36"/>
      <c r="K35" s="36"/>
      <c r="L35" s="164" t="s">
        <v>34</v>
      </c>
      <c r="M35" s="164"/>
      <c r="N35" s="164"/>
      <c r="O35" s="164"/>
    </row>
    <row r="36" spans="1:15" x14ac:dyDescent="0.3">
      <c r="B36" s="118" t="s">
        <v>37</v>
      </c>
      <c r="C36" s="118"/>
      <c r="D36" s="118"/>
      <c r="E36" s="118"/>
      <c r="F36" s="37"/>
      <c r="G36" s="56"/>
      <c r="H36" s="37"/>
      <c r="I36" s="37"/>
      <c r="J36" s="37"/>
      <c r="K36" s="37"/>
      <c r="L36" s="118" t="s">
        <v>38</v>
      </c>
      <c r="M36" s="118"/>
      <c r="N36" s="118"/>
      <c r="O36" s="118"/>
    </row>
  </sheetData>
  <mergeCells count="11">
    <mergeCell ref="A3:B3"/>
    <mergeCell ref="A1:O1"/>
    <mergeCell ref="C2:E2"/>
    <mergeCell ref="F2:H2"/>
    <mergeCell ref="I2:K2"/>
    <mergeCell ref="L2:N2"/>
    <mergeCell ref="A34:B34"/>
    <mergeCell ref="B35:E35"/>
    <mergeCell ref="L35:O35"/>
    <mergeCell ref="B36:E36"/>
    <mergeCell ref="L36:O36"/>
  </mergeCells>
  <pageMargins left="0.19" right="0.17" top="0.5" bottom="0.75" header="0.3" footer="0.3"/>
  <pageSetup paperSize="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35"/>
  <sheetViews>
    <sheetView view="pageBreakPreview" topLeftCell="A10" zoomScaleNormal="100" zoomScaleSheetLayoutView="100" workbookViewId="0">
      <selection activeCell="A34" sqref="A34:B34"/>
    </sheetView>
  </sheetViews>
  <sheetFormatPr defaultColWidth="9.36328125" defaultRowHeight="12" x14ac:dyDescent="0.3"/>
  <cols>
    <col min="1" max="1" width="3.36328125" style="32" customWidth="1"/>
    <col min="2" max="2" width="9.36328125" style="32" customWidth="1"/>
    <col min="3" max="3" width="6.6328125" style="32" customWidth="1"/>
    <col min="4" max="4" width="9.36328125" style="32" customWidth="1"/>
    <col min="5" max="5" width="12.36328125" style="32" customWidth="1"/>
    <col min="6" max="6" width="6.453125" style="32" customWidth="1"/>
    <col min="7" max="7" width="13.36328125" style="38" customWidth="1"/>
    <col min="8" max="8" width="12.6328125" style="32" customWidth="1"/>
    <col min="9" max="9" width="8.36328125" style="32" customWidth="1"/>
    <col min="10" max="10" width="9.36328125" style="32" customWidth="1"/>
    <col min="11" max="11" width="11.6328125" style="32" customWidth="1"/>
    <col min="12" max="12" width="7.54296875" style="32" customWidth="1"/>
    <col min="13" max="13" width="8.54296875" style="32" customWidth="1"/>
    <col min="14" max="14" width="11.54296875" style="32" customWidth="1"/>
    <col min="15" max="15" width="11.6328125" style="32" customWidth="1"/>
    <col min="16" max="16384" width="9.36328125" style="32"/>
  </cols>
  <sheetData>
    <row r="1" spans="1:15" ht="16.5" customHeight="1" x14ac:dyDescent="0.3">
      <c r="A1" s="156" t="s">
        <v>41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</row>
    <row r="2" spans="1:15" ht="24" customHeight="1" x14ac:dyDescent="0.3">
      <c r="A2" s="39" t="s">
        <v>21</v>
      </c>
      <c r="B2" s="40" t="s">
        <v>22</v>
      </c>
      <c r="C2" s="159" t="s">
        <v>23</v>
      </c>
      <c r="D2" s="159"/>
      <c r="E2" s="159"/>
      <c r="F2" s="159" t="s">
        <v>24</v>
      </c>
      <c r="G2" s="159"/>
      <c r="H2" s="159"/>
      <c r="I2" s="160" t="s">
        <v>25</v>
      </c>
      <c r="J2" s="161"/>
      <c r="K2" s="162"/>
      <c r="L2" s="159" t="s">
        <v>26</v>
      </c>
      <c r="M2" s="159"/>
      <c r="N2" s="159"/>
      <c r="O2" s="41" t="s">
        <v>27</v>
      </c>
    </row>
    <row r="3" spans="1:15" ht="33" customHeight="1" x14ac:dyDescent="0.3">
      <c r="A3" s="158" t="s">
        <v>28</v>
      </c>
      <c r="B3" s="158"/>
      <c r="C3" s="42" t="s">
        <v>29</v>
      </c>
      <c r="D3" s="43" t="s">
        <v>30</v>
      </c>
      <c r="E3" s="44" t="s">
        <v>31</v>
      </c>
      <c r="F3" s="45" t="s">
        <v>29</v>
      </c>
      <c r="G3" s="46" t="s">
        <v>30</v>
      </c>
      <c r="H3" s="44" t="s">
        <v>32</v>
      </c>
      <c r="I3" s="47" t="s">
        <v>29</v>
      </c>
      <c r="J3" s="43" t="s">
        <v>30</v>
      </c>
      <c r="K3" s="44" t="s">
        <v>32</v>
      </c>
      <c r="L3" s="47" t="s">
        <v>33</v>
      </c>
      <c r="M3" s="43" t="s">
        <v>30</v>
      </c>
      <c r="N3" s="44" t="s">
        <v>32</v>
      </c>
      <c r="O3" s="48"/>
    </row>
    <row r="4" spans="1:15" x14ac:dyDescent="0.3">
      <c r="A4" s="66">
        <v>1</v>
      </c>
      <c r="B4" s="52">
        <v>45406</v>
      </c>
      <c r="C4" s="53">
        <v>1</v>
      </c>
      <c r="D4" s="62">
        <v>2500000</v>
      </c>
      <c r="E4" s="54">
        <f>D4*C4</f>
        <v>2500000</v>
      </c>
      <c r="F4" s="53">
        <v>2</v>
      </c>
      <c r="G4" s="59">
        <v>1800000</v>
      </c>
      <c r="H4" s="54">
        <f t="shared" ref="H4:H31" si="0">G4*F4</f>
        <v>3600000</v>
      </c>
      <c r="I4" s="53"/>
      <c r="J4" s="62">
        <v>7000</v>
      </c>
      <c r="K4" s="54">
        <f t="shared" ref="K4:K31" si="1">J4*I4</f>
        <v>0</v>
      </c>
      <c r="L4" s="67"/>
      <c r="M4" s="62">
        <v>5000</v>
      </c>
      <c r="N4" s="54">
        <f t="shared" ref="N4:N31" si="2">L4*M4</f>
        <v>0</v>
      </c>
      <c r="O4" s="54">
        <f t="shared" ref="O4:O29" si="3">E4+H4+N4+K4</f>
        <v>6100000</v>
      </c>
    </row>
    <row r="5" spans="1:15" x14ac:dyDescent="0.3">
      <c r="A5" s="66">
        <v>2</v>
      </c>
      <c r="B5" s="52">
        <v>45407</v>
      </c>
      <c r="C5" s="53">
        <v>2</v>
      </c>
      <c r="D5" s="62">
        <v>2500000</v>
      </c>
      <c r="E5" s="54">
        <f>D5*C5</f>
        <v>5000000</v>
      </c>
      <c r="F5" s="53">
        <v>3</v>
      </c>
      <c r="G5" s="59">
        <v>1800000</v>
      </c>
      <c r="H5" s="54">
        <f t="shared" si="0"/>
        <v>5400000</v>
      </c>
      <c r="I5" s="53"/>
      <c r="J5" s="62">
        <v>7000</v>
      </c>
      <c r="K5" s="54"/>
      <c r="L5" s="67"/>
      <c r="M5" s="62">
        <v>5000</v>
      </c>
      <c r="N5" s="54"/>
      <c r="O5" s="54">
        <f t="shared" si="3"/>
        <v>10400000</v>
      </c>
    </row>
    <row r="6" spans="1:15" x14ac:dyDescent="0.3">
      <c r="A6" s="66">
        <v>3</v>
      </c>
      <c r="B6" s="52">
        <v>45408</v>
      </c>
      <c r="C6" s="53">
        <v>2</v>
      </c>
      <c r="D6" s="62">
        <v>2500000</v>
      </c>
      <c r="E6" s="54">
        <f t="shared" ref="E6:E31" si="4">D6*C6</f>
        <v>5000000</v>
      </c>
      <c r="F6" s="53">
        <v>2</v>
      </c>
      <c r="G6" s="59">
        <v>1800000</v>
      </c>
      <c r="H6" s="54">
        <f t="shared" si="0"/>
        <v>3600000</v>
      </c>
      <c r="I6" s="53"/>
      <c r="J6" s="62">
        <v>7000</v>
      </c>
      <c r="K6" s="54">
        <f t="shared" si="1"/>
        <v>0</v>
      </c>
      <c r="L6" s="67"/>
      <c r="M6" s="62">
        <v>5000</v>
      </c>
      <c r="N6" s="54">
        <f t="shared" si="2"/>
        <v>0</v>
      </c>
      <c r="O6" s="54">
        <f t="shared" si="3"/>
        <v>8600000</v>
      </c>
    </row>
    <row r="7" spans="1:15" x14ac:dyDescent="0.3">
      <c r="A7" s="66">
        <v>4</v>
      </c>
      <c r="B7" s="52">
        <v>45409</v>
      </c>
      <c r="C7" s="53">
        <v>1</v>
      </c>
      <c r="D7" s="62">
        <v>2500000</v>
      </c>
      <c r="E7" s="54">
        <f t="shared" si="4"/>
        <v>2500000</v>
      </c>
      <c r="F7" s="53">
        <v>3</v>
      </c>
      <c r="G7" s="59">
        <v>1800000</v>
      </c>
      <c r="H7" s="54">
        <f t="shared" si="0"/>
        <v>5400000</v>
      </c>
      <c r="I7" s="53"/>
      <c r="J7" s="62">
        <v>7000</v>
      </c>
      <c r="K7" s="54">
        <f t="shared" si="1"/>
        <v>0</v>
      </c>
      <c r="L7" s="67"/>
      <c r="M7" s="62">
        <v>5000</v>
      </c>
      <c r="N7" s="54">
        <f t="shared" si="2"/>
        <v>0</v>
      </c>
      <c r="O7" s="54">
        <f t="shared" si="3"/>
        <v>7900000</v>
      </c>
    </row>
    <row r="8" spans="1:15" x14ac:dyDescent="0.3">
      <c r="A8" s="66">
        <v>5</v>
      </c>
      <c r="B8" s="52">
        <v>45410</v>
      </c>
      <c r="C8" s="53">
        <v>2</v>
      </c>
      <c r="D8" s="62">
        <v>2500000</v>
      </c>
      <c r="E8" s="54">
        <f t="shared" si="4"/>
        <v>5000000</v>
      </c>
      <c r="F8" s="53">
        <v>2</v>
      </c>
      <c r="G8" s="59">
        <v>1800000</v>
      </c>
      <c r="H8" s="54">
        <f t="shared" si="0"/>
        <v>3600000</v>
      </c>
      <c r="I8" s="53"/>
      <c r="J8" s="62">
        <v>7000</v>
      </c>
      <c r="K8" s="54">
        <f t="shared" si="1"/>
        <v>0</v>
      </c>
      <c r="L8" s="67"/>
      <c r="M8" s="62">
        <v>5000</v>
      </c>
      <c r="N8" s="54">
        <f t="shared" si="2"/>
        <v>0</v>
      </c>
      <c r="O8" s="54">
        <f t="shared" si="3"/>
        <v>8600000</v>
      </c>
    </row>
    <row r="9" spans="1:15" x14ac:dyDescent="0.3">
      <c r="A9" s="66">
        <v>6</v>
      </c>
      <c r="B9" s="52">
        <v>45411</v>
      </c>
      <c r="C9" s="53">
        <v>1</v>
      </c>
      <c r="D9" s="62">
        <v>2500000</v>
      </c>
      <c r="E9" s="54">
        <f t="shared" si="4"/>
        <v>2500000</v>
      </c>
      <c r="F9" s="53">
        <v>2</v>
      </c>
      <c r="G9" s="59">
        <v>1800000</v>
      </c>
      <c r="H9" s="54">
        <f t="shared" si="0"/>
        <v>3600000</v>
      </c>
      <c r="I9" s="53"/>
      <c r="J9" s="62">
        <v>7000</v>
      </c>
      <c r="K9" s="54">
        <f t="shared" si="1"/>
        <v>0</v>
      </c>
      <c r="L9" s="67"/>
      <c r="M9" s="62">
        <v>5000</v>
      </c>
      <c r="N9" s="54">
        <f t="shared" si="2"/>
        <v>0</v>
      </c>
      <c r="O9" s="54">
        <f t="shared" si="3"/>
        <v>6100000</v>
      </c>
    </row>
    <row r="10" spans="1:15" ht="11.75" customHeight="1" x14ac:dyDescent="0.3">
      <c r="A10" s="66">
        <v>9</v>
      </c>
      <c r="B10" s="52">
        <v>45414</v>
      </c>
      <c r="C10" s="53">
        <v>1</v>
      </c>
      <c r="D10" s="62">
        <v>2500000</v>
      </c>
      <c r="E10" s="54">
        <f>D10*C10</f>
        <v>2500000</v>
      </c>
      <c r="F10" s="53">
        <v>2</v>
      </c>
      <c r="G10" s="59">
        <v>1800000</v>
      </c>
      <c r="H10" s="54">
        <f t="shared" si="0"/>
        <v>3600000</v>
      </c>
      <c r="I10" s="53"/>
      <c r="J10" s="62">
        <v>7000</v>
      </c>
      <c r="K10" s="54">
        <f t="shared" si="1"/>
        <v>0</v>
      </c>
      <c r="L10" s="67"/>
      <c r="M10" s="62">
        <v>5000</v>
      </c>
      <c r="N10" s="54">
        <f t="shared" si="2"/>
        <v>0</v>
      </c>
      <c r="O10" s="54">
        <f>E10+H10+N10+K10</f>
        <v>6100000</v>
      </c>
    </row>
    <row r="11" spans="1:15" x14ac:dyDescent="0.3">
      <c r="A11" s="66">
        <v>10</v>
      </c>
      <c r="B11" s="52">
        <v>45415</v>
      </c>
      <c r="C11" s="53">
        <v>3</v>
      </c>
      <c r="D11" s="62">
        <v>2500000</v>
      </c>
      <c r="E11" s="54">
        <f>D11*C11</f>
        <v>7500000</v>
      </c>
      <c r="F11" s="53">
        <v>2</v>
      </c>
      <c r="G11" s="59">
        <v>1800000</v>
      </c>
      <c r="H11" s="54">
        <f>G11*F11</f>
        <v>3600000</v>
      </c>
      <c r="I11" s="53"/>
      <c r="J11" s="62">
        <v>7000</v>
      </c>
      <c r="K11" s="54"/>
      <c r="L11" s="67"/>
      <c r="M11" s="62">
        <v>5000</v>
      </c>
      <c r="N11" s="54">
        <f t="shared" si="2"/>
        <v>0</v>
      </c>
      <c r="O11" s="54">
        <f t="shared" si="3"/>
        <v>11100000</v>
      </c>
    </row>
    <row r="12" spans="1:15" x14ac:dyDescent="0.3">
      <c r="A12" s="66">
        <v>11</v>
      </c>
      <c r="B12" s="52">
        <v>45416</v>
      </c>
      <c r="C12" s="53">
        <v>2</v>
      </c>
      <c r="D12" s="62">
        <v>2500000</v>
      </c>
      <c r="E12" s="54">
        <f>D12*C12</f>
        <v>5000000</v>
      </c>
      <c r="F12" s="53">
        <v>2</v>
      </c>
      <c r="G12" s="59">
        <v>1800000</v>
      </c>
      <c r="H12" s="54">
        <f t="shared" si="0"/>
        <v>3600000</v>
      </c>
      <c r="I12" s="53"/>
      <c r="J12" s="62">
        <v>7000</v>
      </c>
      <c r="K12" s="54">
        <f t="shared" si="1"/>
        <v>0</v>
      </c>
      <c r="L12" s="67"/>
      <c r="M12" s="62">
        <v>5000</v>
      </c>
      <c r="N12" s="54">
        <f t="shared" si="2"/>
        <v>0</v>
      </c>
      <c r="O12" s="54">
        <f t="shared" si="3"/>
        <v>8600000</v>
      </c>
    </row>
    <row r="13" spans="1:15" x14ac:dyDescent="0.3">
      <c r="A13" s="66">
        <v>12</v>
      </c>
      <c r="B13" s="52">
        <v>45417</v>
      </c>
      <c r="C13" s="53">
        <v>1</v>
      </c>
      <c r="D13" s="62">
        <v>2500000</v>
      </c>
      <c r="E13" s="54">
        <f>D13*C13</f>
        <v>2500000</v>
      </c>
      <c r="F13" s="53">
        <v>2</v>
      </c>
      <c r="G13" s="59">
        <v>1800000</v>
      </c>
      <c r="H13" s="54">
        <f t="shared" si="0"/>
        <v>3600000</v>
      </c>
      <c r="I13" s="53"/>
      <c r="J13" s="62">
        <v>7000</v>
      </c>
      <c r="K13" s="54">
        <f t="shared" si="1"/>
        <v>0</v>
      </c>
      <c r="L13" s="67"/>
      <c r="M13" s="62">
        <v>5000</v>
      </c>
      <c r="N13" s="54">
        <f t="shared" si="2"/>
        <v>0</v>
      </c>
      <c r="O13" s="54">
        <f t="shared" si="3"/>
        <v>6100000</v>
      </c>
    </row>
    <row r="14" spans="1:15" x14ac:dyDescent="0.3">
      <c r="A14" s="66">
        <v>13</v>
      </c>
      <c r="B14" s="52">
        <v>45418</v>
      </c>
      <c r="C14" s="53">
        <v>1</v>
      </c>
      <c r="D14" s="62">
        <v>2500000</v>
      </c>
      <c r="E14" s="54">
        <f t="shared" si="4"/>
        <v>2500000</v>
      </c>
      <c r="F14" s="53">
        <v>2</v>
      </c>
      <c r="G14" s="59">
        <v>1800000</v>
      </c>
      <c r="H14" s="54">
        <f t="shared" si="0"/>
        <v>3600000</v>
      </c>
      <c r="I14" s="53"/>
      <c r="J14" s="62">
        <v>7000</v>
      </c>
      <c r="K14" s="54">
        <f t="shared" si="1"/>
        <v>0</v>
      </c>
      <c r="L14" s="67"/>
      <c r="M14" s="62">
        <v>5000</v>
      </c>
      <c r="N14" s="54">
        <f t="shared" si="2"/>
        <v>0</v>
      </c>
      <c r="O14" s="54">
        <f t="shared" si="3"/>
        <v>6100000</v>
      </c>
    </row>
    <row r="15" spans="1:15" x14ac:dyDescent="0.3">
      <c r="A15" s="66">
        <v>14</v>
      </c>
      <c r="B15" s="52">
        <v>45419</v>
      </c>
      <c r="C15" s="53">
        <v>3</v>
      </c>
      <c r="D15" s="62">
        <v>2500000</v>
      </c>
      <c r="E15" s="54">
        <f t="shared" si="4"/>
        <v>7500000</v>
      </c>
      <c r="F15" s="53">
        <v>3</v>
      </c>
      <c r="G15" s="59">
        <v>1800000</v>
      </c>
      <c r="H15" s="54">
        <f t="shared" si="0"/>
        <v>5400000</v>
      </c>
      <c r="I15" s="53"/>
      <c r="J15" s="62">
        <v>7000</v>
      </c>
      <c r="K15" s="54">
        <f t="shared" si="1"/>
        <v>0</v>
      </c>
      <c r="L15" s="67"/>
      <c r="M15" s="62">
        <v>5000</v>
      </c>
      <c r="N15" s="54">
        <f t="shared" si="2"/>
        <v>0</v>
      </c>
      <c r="O15" s="54">
        <f>E15+H15+N15+K15</f>
        <v>12900000</v>
      </c>
    </row>
    <row r="16" spans="1:15" x14ac:dyDescent="0.3">
      <c r="A16" s="66">
        <v>15</v>
      </c>
      <c r="B16" s="52">
        <v>45420</v>
      </c>
      <c r="C16" s="53">
        <v>2</v>
      </c>
      <c r="D16" s="62">
        <v>2500000</v>
      </c>
      <c r="E16" s="54">
        <f t="shared" si="4"/>
        <v>5000000</v>
      </c>
      <c r="F16" s="53">
        <v>3</v>
      </c>
      <c r="G16" s="59">
        <v>1800000</v>
      </c>
      <c r="H16" s="54">
        <f t="shared" si="0"/>
        <v>5400000</v>
      </c>
      <c r="I16" s="53"/>
      <c r="J16" s="62">
        <v>7000</v>
      </c>
      <c r="K16" s="54">
        <f t="shared" si="1"/>
        <v>0</v>
      </c>
      <c r="L16" s="67">
        <v>810</v>
      </c>
      <c r="M16" s="62">
        <v>5000</v>
      </c>
      <c r="N16" s="54">
        <f t="shared" si="2"/>
        <v>4050000</v>
      </c>
      <c r="O16" s="54">
        <f t="shared" si="3"/>
        <v>14450000</v>
      </c>
    </row>
    <row r="17" spans="1:15" x14ac:dyDescent="0.3">
      <c r="A17" s="66">
        <v>16</v>
      </c>
      <c r="B17" s="52">
        <v>45421</v>
      </c>
      <c r="C17" s="53">
        <v>1</v>
      </c>
      <c r="D17" s="62">
        <v>2500000</v>
      </c>
      <c r="E17" s="54">
        <f t="shared" si="4"/>
        <v>2500000</v>
      </c>
      <c r="F17" s="53">
        <v>2</v>
      </c>
      <c r="G17" s="59">
        <v>1800000</v>
      </c>
      <c r="H17" s="54">
        <f t="shared" si="0"/>
        <v>3600000</v>
      </c>
      <c r="I17" s="53"/>
      <c r="J17" s="62">
        <v>7000</v>
      </c>
      <c r="K17" s="54">
        <f t="shared" si="1"/>
        <v>0</v>
      </c>
      <c r="L17" s="67"/>
      <c r="M17" s="62">
        <v>5000</v>
      </c>
      <c r="N17" s="54">
        <f t="shared" si="2"/>
        <v>0</v>
      </c>
      <c r="O17" s="54">
        <f t="shared" si="3"/>
        <v>6100000</v>
      </c>
    </row>
    <row r="18" spans="1:15" x14ac:dyDescent="0.3">
      <c r="A18" s="66">
        <v>17</v>
      </c>
      <c r="B18" s="52">
        <v>45422</v>
      </c>
      <c r="C18" s="53">
        <v>2</v>
      </c>
      <c r="D18" s="62">
        <v>2500000</v>
      </c>
      <c r="E18" s="54">
        <f t="shared" si="4"/>
        <v>5000000</v>
      </c>
      <c r="F18" s="53">
        <v>2</v>
      </c>
      <c r="G18" s="59">
        <v>1800000</v>
      </c>
      <c r="H18" s="54">
        <f t="shared" si="0"/>
        <v>3600000</v>
      </c>
      <c r="I18" s="53"/>
      <c r="J18" s="62">
        <v>7000</v>
      </c>
      <c r="K18" s="54">
        <f t="shared" si="1"/>
        <v>0</v>
      </c>
      <c r="L18" s="67"/>
      <c r="M18" s="62">
        <v>5000</v>
      </c>
      <c r="N18" s="54">
        <f t="shared" si="2"/>
        <v>0</v>
      </c>
      <c r="O18" s="54">
        <f t="shared" si="3"/>
        <v>8600000</v>
      </c>
    </row>
    <row r="19" spans="1:15" x14ac:dyDescent="0.3">
      <c r="A19" s="66">
        <v>18</v>
      </c>
      <c r="B19" s="52">
        <v>45423</v>
      </c>
      <c r="C19" s="53">
        <v>1</v>
      </c>
      <c r="D19" s="62">
        <v>2500000</v>
      </c>
      <c r="E19" s="54">
        <f t="shared" si="4"/>
        <v>2500000</v>
      </c>
      <c r="F19" s="53">
        <v>2</v>
      </c>
      <c r="G19" s="59">
        <v>1800000</v>
      </c>
      <c r="H19" s="54">
        <f t="shared" si="0"/>
        <v>3600000</v>
      </c>
      <c r="I19" s="53"/>
      <c r="J19" s="62">
        <v>7000</v>
      </c>
      <c r="K19" s="54">
        <f t="shared" si="1"/>
        <v>0</v>
      </c>
      <c r="L19" s="67"/>
      <c r="M19" s="62">
        <v>5000</v>
      </c>
      <c r="N19" s="54">
        <f t="shared" si="2"/>
        <v>0</v>
      </c>
      <c r="O19" s="54">
        <f t="shared" si="3"/>
        <v>6100000</v>
      </c>
    </row>
    <row r="20" spans="1:15" x14ac:dyDescent="0.3">
      <c r="A20" s="66">
        <v>19</v>
      </c>
      <c r="B20" s="52">
        <v>45424</v>
      </c>
      <c r="C20" s="53">
        <v>1</v>
      </c>
      <c r="D20" s="62">
        <v>2500000</v>
      </c>
      <c r="E20" s="54">
        <f t="shared" si="4"/>
        <v>2500000</v>
      </c>
      <c r="F20" s="53">
        <v>2</v>
      </c>
      <c r="G20" s="59">
        <v>1800000</v>
      </c>
      <c r="H20" s="54">
        <f t="shared" si="0"/>
        <v>3600000</v>
      </c>
      <c r="I20" s="53"/>
      <c r="J20" s="62">
        <v>7000</v>
      </c>
      <c r="K20" s="54">
        <f t="shared" si="1"/>
        <v>0</v>
      </c>
      <c r="L20" s="67"/>
      <c r="M20" s="62">
        <v>5000</v>
      </c>
      <c r="N20" s="54">
        <f t="shared" si="2"/>
        <v>0</v>
      </c>
      <c r="O20" s="54">
        <f t="shared" si="3"/>
        <v>6100000</v>
      </c>
    </row>
    <row r="21" spans="1:15" x14ac:dyDescent="0.3">
      <c r="A21" s="66">
        <v>20</v>
      </c>
      <c r="B21" s="52">
        <v>45425</v>
      </c>
      <c r="C21" s="53">
        <v>2</v>
      </c>
      <c r="D21" s="62">
        <v>2500000</v>
      </c>
      <c r="E21" s="54">
        <f t="shared" si="4"/>
        <v>5000000</v>
      </c>
      <c r="F21" s="53">
        <v>2</v>
      </c>
      <c r="G21" s="59">
        <v>1800000</v>
      </c>
      <c r="H21" s="54">
        <f t="shared" si="0"/>
        <v>3600000</v>
      </c>
      <c r="I21" s="53"/>
      <c r="J21" s="62">
        <v>7000</v>
      </c>
      <c r="K21" s="54">
        <f t="shared" si="1"/>
        <v>0</v>
      </c>
      <c r="L21" s="67"/>
      <c r="M21" s="62">
        <v>5000</v>
      </c>
      <c r="N21" s="54">
        <f t="shared" si="2"/>
        <v>0</v>
      </c>
      <c r="O21" s="54">
        <f t="shared" si="3"/>
        <v>8600000</v>
      </c>
    </row>
    <row r="22" spans="1:15" x14ac:dyDescent="0.3">
      <c r="A22" s="66">
        <v>21</v>
      </c>
      <c r="B22" s="52">
        <v>45426</v>
      </c>
      <c r="C22" s="53">
        <v>2</v>
      </c>
      <c r="D22" s="62">
        <v>2500000</v>
      </c>
      <c r="E22" s="54">
        <f t="shared" si="4"/>
        <v>5000000</v>
      </c>
      <c r="F22" s="53">
        <v>2</v>
      </c>
      <c r="G22" s="59">
        <v>1800000</v>
      </c>
      <c r="H22" s="54">
        <f t="shared" si="0"/>
        <v>3600000</v>
      </c>
      <c r="I22" s="53"/>
      <c r="J22" s="62">
        <v>7000</v>
      </c>
      <c r="K22" s="54">
        <f t="shared" si="1"/>
        <v>0</v>
      </c>
      <c r="L22" s="67"/>
      <c r="M22" s="62">
        <v>5000</v>
      </c>
      <c r="N22" s="54">
        <f t="shared" si="2"/>
        <v>0</v>
      </c>
      <c r="O22" s="54">
        <f t="shared" si="3"/>
        <v>8600000</v>
      </c>
    </row>
    <row r="23" spans="1:15" x14ac:dyDescent="0.3">
      <c r="A23" s="66">
        <v>22</v>
      </c>
      <c r="B23" s="52">
        <v>45427</v>
      </c>
      <c r="C23" s="53">
        <v>2</v>
      </c>
      <c r="D23" s="62">
        <v>2500000</v>
      </c>
      <c r="E23" s="54">
        <f t="shared" si="4"/>
        <v>5000000</v>
      </c>
      <c r="F23" s="53">
        <v>2</v>
      </c>
      <c r="G23" s="59">
        <v>1800000</v>
      </c>
      <c r="H23" s="54">
        <f t="shared" si="0"/>
        <v>3600000</v>
      </c>
      <c r="I23" s="53"/>
      <c r="J23" s="62">
        <v>7000</v>
      </c>
      <c r="K23" s="54">
        <f t="shared" si="1"/>
        <v>0</v>
      </c>
      <c r="L23" s="67"/>
      <c r="M23" s="62">
        <v>5000</v>
      </c>
      <c r="N23" s="54">
        <f t="shared" si="2"/>
        <v>0</v>
      </c>
      <c r="O23" s="54">
        <f t="shared" si="3"/>
        <v>8600000</v>
      </c>
    </row>
    <row r="24" spans="1:15" x14ac:dyDescent="0.3">
      <c r="A24" s="66">
        <v>23</v>
      </c>
      <c r="B24" s="52">
        <v>45428</v>
      </c>
      <c r="C24" s="53">
        <v>2</v>
      </c>
      <c r="D24" s="62">
        <v>2500000</v>
      </c>
      <c r="E24" s="54">
        <f t="shared" si="4"/>
        <v>5000000</v>
      </c>
      <c r="F24" s="53">
        <v>2</v>
      </c>
      <c r="G24" s="59">
        <v>1800000</v>
      </c>
      <c r="H24" s="54">
        <f>G24*F24</f>
        <v>3600000</v>
      </c>
      <c r="I24" s="53"/>
      <c r="J24" s="62">
        <v>7000</v>
      </c>
      <c r="K24" s="54">
        <f t="shared" si="1"/>
        <v>0</v>
      </c>
      <c r="L24" s="67"/>
      <c r="M24" s="62">
        <v>5000</v>
      </c>
      <c r="N24" s="54">
        <f t="shared" si="2"/>
        <v>0</v>
      </c>
      <c r="O24" s="54">
        <f t="shared" si="3"/>
        <v>8600000</v>
      </c>
    </row>
    <row r="25" spans="1:15" x14ac:dyDescent="0.3">
      <c r="A25" s="66">
        <v>24</v>
      </c>
      <c r="B25" s="52">
        <v>45429</v>
      </c>
      <c r="C25" s="53">
        <v>2</v>
      </c>
      <c r="D25" s="62">
        <v>2500000</v>
      </c>
      <c r="E25" s="54">
        <f t="shared" si="4"/>
        <v>5000000</v>
      </c>
      <c r="F25" s="53">
        <v>3</v>
      </c>
      <c r="G25" s="59">
        <v>1800000</v>
      </c>
      <c r="H25" s="54">
        <f>G25*F25</f>
        <v>5400000</v>
      </c>
      <c r="I25" s="53"/>
      <c r="J25" s="62">
        <v>7000</v>
      </c>
      <c r="K25" s="54">
        <f t="shared" si="1"/>
        <v>0</v>
      </c>
      <c r="L25" s="67"/>
      <c r="M25" s="62">
        <v>5000</v>
      </c>
      <c r="N25" s="54">
        <f t="shared" si="2"/>
        <v>0</v>
      </c>
      <c r="O25" s="54">
        <f t="shared" si="3"/>
        <v>10400000</v>
      </c>
    </row>
    <row r="26" spans="1:15" x14ac:dyDescent="0.3">
      <c r="A26" s="66">
        <v>25</v>
      </c>
      <c r="B26" s="52">
        <v>45430</v>
      </c>
      <c r="C26" s="53">
        <v>1</v>
      </c>
      <c r="D26" s="62">
        <v>2500000</v>
      </c>
      <c r="E26" s="54">
        <f t="shared" si="4"/>
        <v>2500000</v>
      </c>
      <c r="F26" s="68">
        <v>2</v>
      </c>
      <c r="G26" s="59">
        <v>1800000</v>
      </c>
      <c r="H26" s="54">
        <f t="shared" si="0"/>
        <v>3600000</v>
      </c>
      <c r="I26" s="53"/>
      <c r="J26" s="62">
        <v>7000</v>
      </c>
      <c r="K26" s="54">
        <f t="shared" si="1"/>
        <v>0</v>
      </c>
      <c r="L26" s="67"/>
      <c r="M26" s="62">
        <v>5000</v>
      </c>
      <c r="N26" s="54">
        <f t="shared" si="2"/>
        <v>0</v>
      </c>
      <c r="O26" s="54">
        <f t="shared" si="3"/>
        <v>6100000</v>
      </c>
    </row>
    <row r="27" spans="1:15" x14ac:dyDescent="0.3">
      <c r="A27" s="66">
        <v>26</v>
      </c>
      <c r="B27" s="52">
        <v>45431</v>
      </c>
      <c r="C27" s="53">
        <v>1</v>
      </c>
      <c r="D27" s="62">
        <v>2500000</v>
      </c>
      <c r="E27" s="54">
        <f t="shared" si="4"/>
        <v>2500000</v>
      </c>
      <c r="F27" s="53">
        <v>2</v>
      </c>
      <c r="G27" s="59">
        <v>1800000</v>
      </c>
      <c r="H27" s="54">
        <f t="shared" si="0"/>
        <v>3600000</v>
      </c>
      <c r="I27" s="53"/>
      <c r="J27" s="62">
        <v>7000</v>
      </c>
      <c r="K27" s="54">
        <f t="shared" si="1"/>
        <v>0</v>
      </c>
      <c r="L27" s="67"/>
      <c r="M27" s="62">
        <v>5000</v>
      </c>
      <c r="N27" s="54">
        <f t="shared" si="2"/>
        <v>0</v>
      </c>
      <c r="O27" s="54">
        <f t="shared" si="3"/>
        <v>6100000</v>
      </c>
    </row>
    <row r="28" spans="1:15" x14ac:dyDescent="0.3">
      <c r="A28" s="66">
        <v>27</v>
      </c>
      <c r="B28" s="52">
        <v>45432</v>
      </c>
      <c r="C28" s="53">
        <v>1</v>
      </c>
      <c r="D28" s="62">
        <v>2500000</v>
      </c>
      <c r="E28" s="54">
        <f t="shared" si="4"/>
        <v>2500000</v>
      </c>
      <c r="F28" s="53">
        <v>1</v>
      </c>
      <c r="G28" s="59">
        <v>1800000</v>
      </c>
      <c r="H28" s="54">
        <f t="shared" si="0"/>
        <v>1800000</v>
      </c>
      <c r="I28" s="53"/>
      <c r="J28" s="62">
        <v>7000</v>
      </c>
      <c r="K28" s="54">
        <f t="shared" si="1"/>
        <v>0</v>
      </c>
      <c r="L28" s="67"/>
      <c r="M28" s="62">
        <v>5000</v>
      </c>
      <c r="N28" s="54">
        <f t="shared" si="2"/>
        <v>0</v>
      </c>
      <c r="O28" s="54">
        <f t="shared" si="3"/>
        <v>4300000</v>
      </c>
    </row>
    <row r="29" spans="1:15" x14ac:dyDescent="0.3">
      <c r="A29" s="66">
        <v>28</v>
      </c>
      <c r="B29" s="52">
        <v>45433</v>
      </c>
      <c r="C29" s="53">
        <v>3</v>
      </c>
      <c r="D29" s="62">
        <v>2500000</v>
      </c>
      <c r="E29" s="54">
        <f t="shared" si="4"/>
        <v>7500000</v>
      </c>
      <c r="F29" s="53">
        <v>3</v>
      </c>
      <c r="G29" s="59">
        <v>1800000</v>
      </c>
      <c r="H29" s="54">
        <f t="shared" si="0"/>
        <v>5400000</v>
      </c>
      <c r="I29" s="53"/>
      <c r="J29" s="62">
        <v>7000</v>
      </c>
      <c r="K29" s="54">
        <f t="shared" si="1"/>
        <v>0</v>
      </c>
      <c r="L29" s="67"/>
      <c r="M29" s="62">
        <v>5000</v>
      </c>
      <c r="N29" s="54">
        <f t="shared" si="2"/>
        <v>0</v>
      </c>
      <c r="O29" s="54">
        <f t="shared" si="3"/>
        <v>12900000</v>
      </c>
    </row>
    <row r="30" spans="1:15" x14ac:dyDescent="0.3">
      <c r="A30" s="66">
        <v>29</v>
      </c>
      <c r="B30" s="52">
        <v>45434</v>
      </c>
      <c r="C30" s="53">
        <v>1</v>
      </c>
      <c r="D30" s="62">
        <v>2500000</v>
      </c>
      <c r="E30" s="54">
        <f t="shared" si="4"/>
        <v>2500000</v>
      </c>
      <c r="F30" s="53">
        <v>2</v>
      </c>
      <c r="G30" s="59">
        <v>1800000</v>
      </c>
      <c r="H30" s="54">
        <f t="shared" si="0"/>
        <v>3600000</v>
      </c>
      <c r="I30" s="53"/>
      <c r="J30" s="62">
        <v>7000</v>
      </c>
      <c r="K30" s="54">
        <f t="shared" si="1"/>
        <v>0</v>
      </c>
      <c r="L30" s="67"/>
      <c r="M30" s="62">
        <v>5000</v>
      </c>
      <c r="N30" s="54">
        <f t="shared" si="2"/>
        <v>0</v>
      </c>
      <c r="O30" s="54">
        <f>E30+H30+N30+K30</f>
        <v>6100000</v>
      </c>
    </row>
    <row r="31" spans="1:15" x14ac:dyDescent="0.3">
      <c r="A31" s="66">
        <v>30</v>
      </c>
      <c r="B31" s="52">
        <v>45435</v>
      </c>
      <c r="C31" s="53">
        <v>3</v>
      </c>
      <c r="D31" s="62">
        <v>2500000</v>
      </c>
      <c r="E31" s="54">
        <f t="shared" si="4"/>
        <v>7500000</v>
      </c>
      <c r="F31" s="53">
        <v>3</v>
      </c>
      <c r="G31" s="59">
        <v>1800000</v>
      </c>
      <c r="H31" s="54">
        <f t="shared" si="0"/>
        <v>5400000</v>
      </c>
      <c r="I31" s="53"/>
      <c r="J31" s="62">
        <v>7000</v>
      </c>
      <c r="K31" s="54">
        <f t="shared" si="1"/>
        <v>0</v>
      </c>
      <c r="L31" s="67"/>
      <c r="M31" s="62">
        <v>5000</v>
      </c>
      <c r="N31" s="54">
        <f t="shared" si="2"/>
        <v>0</v>
      </c>
      <c r="O31" s="54">
        <f>E31+H31+N31+K31</f>
        <v>12900000</v>
      </c>
    </row>
    <row r="32" spans="1:15" x14ac:dyDescent="0.3">
      <c r="A32" s="66">
        <v>31</v>
      </c>
      <c r="B32" s="52">
        <v>45436</v>
      </c>
      <c r="C32" s="53">
        <v>1</v>
      </c>
      <c r="D32" s="62">
        <v>2500000</v>
      </c>
      <c r="E32" s="54">
        <f t="shared" ref="E32" si="5">D32*C32</f>
        <v>2500000</v>
      </c>
      <c r="F32" s="53">
        <v>2</v>
      </c>
      <c r="G32" s="59">
        <v>1800000</v>
      </c>
      <c r="H32" s="54">
        <f t="shared" ref="H32" si="6">G32*F32</f>
        <v>3600000</v>
      </c>
      <c r="I32" s="53"/>
      <c r="J32" s="62">
        <v>7000</v>
      </c>
      <c r="K32" s="54">
        <f>J32*I32</f>
        <v>0</v>
      </c>
      <c r="L32" s="67"/>
      <c r="M32" s="62">
        <v>5000</v>
      </c>
      <c r="N32" s="54">
        <f t="shared" ref="N32" si="7">L32*M32</f>
        <v>0</v>
      </c>
      <c r="O32" s="54">
        <f>E32+H32+N32+K32</f>
        <v>6100000</v>
      </c>
    </row>
    <row r="33" spans="1:15" x14ac:dyDescent="0.3">
      <c r="A33" s="166"/>
      <c r="B33" s="166"/>
      <c r="C33" s="1">
        <f>SUM(C4:C32)</f>
        <v>48</v>
      </c>
      <c r="D33" s="1"/>
      <c r="E33" s="2">
        <f>SUM(E4:E32)</f>
        <v>120000000</v>
      </c>
      <c r="F33" s="2">
        <f>SUM(F4:F32)</f>
        <v>64</v>
      </c>
      <c r="G33" s="2"/>
      <c r="H33" s="2">
        <f>SUM(H4:H32)</f>
        <v>115200000</v>
      </c>
      <c r="I33" s="2">
        <f>SUM(I4:I31)</f>
        <v>0</v>
      </c>
      <c r="J33" s="2"/>
      <c r="K33" s="2">
        <f>SUM(K4:K32)</f>
        <v>0</v>
      </c>
      <c r="L33" s="2">
        <f>SUM(L4:L32)</f>
        <v>810</v>
      </c>
      <c r="M33" s="2"/>
      <c r="N33" s="2">
        <f>SUM(N4:N32)</f>
        <v>4050000</v>
      </c>
      <c r="O33" s="2">
        <f>SUM(O4:O32)</f>
        <v>239250000</v>
      </c>
    </row>
    <row r="34" spans="1:15" x14ac:dyDescent="0.3">
      <c r="A34" s="65"/>
      <c r="B34" s="164" t="s">
        <v>34</v>
      </c>
      <c r="C34" s="164"/>
      <c r="D34" s="164"/>
      <c r="E34" s="164"/>
      <c r="F34" s="34"/>
      <c r="G34" s="35"/>
      <c r="H34" s="36"/>
      <c r="I34" s="36"/>
      <c r="J34" s="36"/>
      <c r="K34" s="36"/>
      <c r="L34" s="164" t="s">
        <v>34</v>
      </c>
      <c r="M34" s="164"/>
      <c r="N34" s="164"/>
      <c r="O34" s="164"/>
    </row>
    <row r="35" spans="1:15" x14ac:dyDescent="0.3">
      <c r="B35" s="118" t="s">
        <v>37</v>
      </c>
      <c r="C35" s="118"/>
      <c r="D35" s="118"/>
      <c r="E35" s="118"/>
      <c r="F35" s="37"/>
      <c r="G35" s="56"/>
      <c r="H35" s="37"/>
      <c r="I35" s="37"/>
      <c r="J35" s="37"/>
      <c r="K35" s="37"/>
      <c r="L35" s="118" t="s">
        <v>38</v>
      </c>
      <c r="M35" s="118"/>
      <c r="N35" s="118"/>
      <c r="O35" s="118"/>
    </row>
  </sheetData>
  <mergeCells count="11">
    <mergeCell ref="A33:B33"/>
    <mergeCell ref="B34:E34"/>
    <mergeCell ref="L34:O34"/>
    <mergeCell ref="B35:E35"/>
    <mergeCell ref="L35:O35"/>
    <mergeCell ref="A3:B3"/>
    <mergeCell ref="A1:O1"/>
    <mergeCell ref="C2:E2"/>
    <mergeCell ref="F2:H2"/>
    <mergeCell ref="I2:K2"/>
    <mergeCell ref="L2:N2"/>
  </mergeCells>
  <pageMargins left="0.19" right="0.17" top="0.5" bottom="0.75" header="0.3" footer="0.3"/>
  <pageSetup paperSize="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35"/>
  <sheetViews>
    <sheetView view="pageBreakPreview" zoomScaleNormal="100" zoomScaleSheetLayoutView="100" workbookViewId="0">
      <selection activeCell="A34" sqref="A34:B34"/>
    </sheetView>
  </sheetViews>
  <sheetFormatPr defaultColWidth="9.36328125" defaultRowHeight="12" x14ac:dyDescent="0.3"/>
  <cols>
    <col min="1" max="1" width="3.36328125" style="32" customWidth="1"/>
    <col min="2" max="2" width="9.36328125" style="32" customWidth="1"/>
    <col min="3" max="3" width="6.6328125" style="32" customWidth="1"/>
    <col min="4" max="4" width="9.36328125" style="32" customWidth="1"/>
    <col min="5" max="5" width="12.36328125" style="32" customWidth="1"/>
    <col min="6" max="6" width="6.453125" style="32" customWidth="1"/>
    <col min="7" max="7" width="13.36328125" style="38" customWidth="1"/>
    <col min="8" max="8" width="12.6328125" style="32" customWidth="1"/>
    <col min="9" max="9" width="8.36328125" style="32" customWidth="1"/>
    <col min="10" max="10" width="9.36328125" style="32" customWidth="1"/>
    <col min="11" max="11" width="11.6328125" style="32" customWidth="1"/>
    <col min="12" max="12" width="7.54296875" style="32" customWidth="1"/>
    <col min="13" max="13" width="8.54296875" style="32" customWidth="1"/>
    <col min="14" max="14" width="11.54296875" style="32" customWidth="1"/>
    <col min="15" max="15" width="11.6328125" style="32" customWidth="1"/>
    <col min="16" max="16384" width="9.36328125" style="32"/>
  </cols>
  <sheetData>
    <row r="1" spans="1:15" ht="16.5" customHeight="1" x14ac:dyDescent="0.3">
      <c r="A1" s="156" t="s">
        <v>42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</row>
    <row r="2" spans="1:15" ht="24" customHeight="1" x14ac:dyDescent="0.3">
      <c r="A2" s="39" t="s">
        <v>21</v>
      </c>
      <c r="B2" s="40" t="s">
        <v>22</v>
      </c>
      <c r="C2" s="159" t="s">
        <v>23</v>
      </c>
      <c r="D2" s="159"/>
      <c r="E2" s="159"/>
      <c r="F2" s="159" t="s">
        <v>24</v>
      </c>
      <c r="G2" s="159"/>
      <c r="H2" s="159"/>
      <c r="I2" s="160" t="s">
        <v>25</v>
      </c>
      <c r="J2" s="161"/>
      <c r="K2" s="162"/>
      <c r="L2" s="159" t="s">
        <v>26</v>
      </c>
      <c r="M2" s="159"/>
      <c r="N2" s="159"/>
      <c r="O2" s="41" t="s">
        <v>27</v>
      </c>
    </row>
    <row r="3" spans="1:15" ht="33" customHeight="1" x14ac:dyDescent="0.3">
      <c r="A3" s="158" t="s">
        <v>28</v>
      </c>
      <c r="B3" s="158"/>
      <c r="C3" s="42" t="s">
        <v>29</v>
      </c>
      <c r="D3" s="43" t="s">
        <v>30</v>
      </c>
      <c r="E3" s="44" t="s">
        <v>31</v>
      </c>
      <c r="F3" s="45" t="s">
        <v>29</v>
      </c>
      <c r="G3" s="46" t="s">
        <v>30</v>
      </c>
      <c r="H3" s="44" t="s">
        <v>32</v>
      </c>
      <c r="I3" s="47" t="s">
        <v>29</v>
      </c>
      <c r="J3" s="43" t="s">
        <v>30</v>
      </c>
      <c r="K3" s="44" t="s">
        <v>32</v>
      </c>
      <c r="L3" s="47" t="s">
        <v>33</v>
      </c>
      <c r="M3" s="43" t="s">
        <v>30</v>
      </c>
      <c r="N3" s="44" t="s">
        <v>32</v>
      </c>
      <c r="O3" s="48"/>
    </row>
    <row r="4" spans="1:15" x14ac:dyDescent="0.3">
      <c r="A4" s="66">
        <v>1</v>
      </c>
      <c r="B4" s="52">
        <v>45437</v>
      </c>
      <c r="C4" s="53">
        <v>1</v>
      </c>
      <c r="D4" s="62">
        <v>2500000</v>
      </c>
      <c r="E4" s="54">
        <f t="shared" ref="E4" si="0">D4*C4</f>
        <v>2500000</v>
      </c>
      <c r="F4" s="53">
        <v>2</v>
      </c>
      <c r="G4" s="59">
        <v>1800000</v>
      </c>
      <c r="H4" s="54">
        <f t="shared" ref="H4" si="1">G4*F4</f>
        <v>3600000</v>
      </c>
      <c r="I4" s="53"/>
      <c r="J4" s="62">
        <v>7000</v>
      </c>
      <c r="K4" s="54">
        <f t="shared" ref="K4" si="2">J4*I4</f>
        <v>0</v>
      </c>
      <c r="L4" s="67"/>
      <c r="M4" s="62">
        <v>5000</v>
      </c>
      <c r="N4" s="54">
        <f t="shared" ref="N4" si="3">L4*M4</f>
        <v>0</v>
      </c>
      <c r="O4" s="54">
        <f t="shared" ref="O4" si="4">E4+H4+N4+K4</f>
        <v>6100000</v>
      </c>
    </row>
    <row r="5" spans="1:15" x14ac:dyDescent="0.3">
      <c r="A5" s="66">
        <v>2</v>
      </c>
      <c r="B5" s="52">
        <v>45438</v>
      </c>
      <c r="C5" s="53">
        <v>0</v>
      </c>
      <c r="D5" s="62">
        <v>2500000</v>
      </c>
      <c r="E5" s="54">
        <f t="shared" ref="E5:E30" si="5">D5*C5</f>
        <v>0</v>
      </c>
      <c r="F5" s="53">
        <v>1</v>
      </c>
      <c r="G5" s="59">
        <v>1800000</v>
      </c>
      <c r="H5" s="54">
        <f t="shared" ref="H5:H30" si="6">G5*F5</f>
        <v>1800000</v>
      </c>
      <c r="I5" s="53"/>
      <c r="J5" s="62">
        <v>7000</v>
      </c>
      <c r="K5" s="54">
        <f t="shared" ref="K5:K28" si="7">J5*I5</f>
        <v>0</v>
      </c>
      <c r="L5" s="67"/>
      <c r="M5" s="62">
        <v>5000</v>
      </c>
      <c r="N5" s="54">
        <f t="shared" ref="N5:N30" si="8">L5*M5</f>
        <v>0</v>
      </c>
      <c r="O5" s="54">
        <f t="shared" ref="O5:O26" si="9">E5+H5+N5+K5</f>
        <v>1800000</v>
      </c>
    </row>
    <row r="6" spans="1:15" x14ac:dyDescent="0.3">
      <c r="A6" s="66">
        <v>3</v>
      </c>
      <c r="B6" s="52">
        <v>45439</v>
      </c>
      <c r="C6" s="53">
        <v>2</v>
      </c>
      <c r="D6" s="62">
        <v>2500000</v>
      </c>
      <c r="E6" s="54">
        <f t="shared" si="5"/>
        <v>5000000</v>
      </c>
      <c r="F6" s="53">
        <v>2</v>
      </c>
      <c r="G6" s="59">
        <v>1800000</v>
      </c>
      <c r="H6" s="54">
        <f t="shared" si="6"/>
        <v>3600000</v>
      </c>
      <c r="I6" s="53"/>
      <c r="J6" s="62">
        <v>7000</v>
      </c>
      <c r="K6" s="54">
        <f t="shared" si="7"/>
        <v>0</v>
      </c>
      <c r="L6" s="67"/>
      <c r="M6" s="62">
        <v>5000</v>
      </c>
      <c r="N6" s="54">
        <f t="shared" si="8"/>
        <v>0</v>
      </c>
      <c r="O6" s="54">
        <f t="shared" si="9"/>
        <v>8600000</v>
      </c>
    </row>
    <row r="7" spans="1:15" x14ac:dyDescent="0.3">
      <c r="A7" s="66">
        <v>4</v>
      </c>
      <c r="B7" s="52">
        <v>45440</v>
      </c>
      <c r="C7" s="53">
        <v>2</v>
      </c>
      <c r="D7" s="62">
        <v>2500000</v>
      </c>
      <c r="E7" s="54">
        <f t="shared" si="5"/>
        <v>5000000</v>
      </c>
      <c r="F7" s="53">
        <v>2</v>
      </c>
      <c r="G7" s="59">
        <v>1800000</v>
      </c>
      <c r="H7" s="54">
        <f t="shared" si="6"/>
        <v>3600000</v>
      </c>
      <c r="I7" s="53"/>
      <c r="J7" s="62">
        <v>7000</v>
      </c>
      <c r="K7" s="54">
        <f t="shared" si="7"/>
        <v>0</v>
      </c>
      <c r="L7" s="67"/>
      <c r="M7" s="62">
        <v>5000</v>
      </c>
      <c r="N7" s="54">
        <f t="shared" si="8"/>
        <v>0</v>
      </c>
      <c r="O7" s="54">
        <f t="shared" si="9"/>
        <v>8600000</v>
      </c>
    </row>
    <row r="8" spans="1:15" ht="11.75" customHeight="1" x14ac:dyDescent="0.3">
      <c r="A8" s="66">
        <v>5</v>
      </c>
      <c r="B8" s="52">
        <v>45441</v>
      </c>
      <c r="C8" s="53">
        <v>1</v>
      </c>
      <c r="D8" s="62">
        <v>2500000</v>
      </c>
      <c r="E8" s="54">
        <f>D8*C8</f>
        <v>2500000</v>
      </c>
      <c r="F8" s="53">
        <v>2</v>
      </c>
      <c r="G8" s="59">
        <v>1800000</v>
      </c>
      <c r="H8" s="54">
        <f t="shared" si="6"/>
        <v>3600000</v>
      </c>
      <c r="I8" s="53"/>
      <c r="J8" s="62">
        <v>7000</v>
      </c>
      <c r="K8" s="54">
        <f t="shared" si="7"/>
        <v>0</v>
      </c>
      <c r="L8" s="67"/>
      <c r="M8" s="62">
        <v>5000</v>
      </c>
      <c r="N8" s="54">
        <f t="shared" si="8"/>
        <v>0</v>
      </c>
      <c r="O8" s="54">
        <f>E8+H8+N8+K8</f>
        <v>6100000</v>
      </c>
    </row>
    <row r="9" spans="1:15" x14ac:dyDescent="0.3">
      <c r="A9" s="66">
        <v>6</v>
      </c>
      <c r="B9" s="52">
        <v>45442</v>
      </c>
      <c r="C9" s="53">
        <v>2</v>
      </c>
      <c r="D9" s="62">
        <v>2500000</v>
      </c>
      <c r="E9" s="54">
        <f>D9*C9</f>
        <v>5000000</v>
      </c>
      <c r="F9" s="53">
        <v>2</v>
      </c>
      <c r="G9" s="59">
        <v>1800000</v>
      </c>
      <c r="H9" s="54">
        <f>G9*F9</f>
        <v>3600000</v>
      </c>
      <c r="I9" s="53"/>
      <c r="J9" s="62">
        <v>7000</v>
      </c>
      <c r="K9" s="54"/>
      <c r="L9" s="67"/>
      <c r="M9" s="62">
        <v>5000</v>
      </c>
      <c r="N9" s="54">
        <f t="shared" si="8"/>
        <v>0</v>
      </c>
      <c r="O9" s="54">
        <f t="shared" si="9"/>
        <v>8600000</v>
      </c>
    </row>
    <row r="10" spans="1:15" x14ac:dyDescent="0.3">
      <c r="A10" s="66">
        <v>7</v>
      </c>
      <c r="B10" s="52">
        <v>45443</v>
      </c>
      <c r="C10" s="53">
        <v>2</v>
      </c>
      <c r="D10" s="62">
        <v>2500000</v>
      </c>
      <c r="E10" s="54">
        <f>D10*C10</f>
        <v>5000000</v>
      </c>
      <c r="F10" s="53">
        <v>2</v>
      </c>
      <c r="G10" s="59">
        <v>1800000</v>
      </c>
      <c r="H10" s="54">
        <f t="shared" si="6"/>
        <v>3600000</v>
      </c>
      <c r="I10" s="53"/>
      <c r="J10" s="62">
        <v>7000</v>
      </c>
      <c r="K10" s="54">
        <f t="shared" si="7"/>
        <v>0</v>
      </c>
      <c r="L10" s="67"/>
      <c r="M10" s="62">
        <v>5000</v>
      </c>
      <c r="N10" s="54">
        <f t="shared" si="8"/>
        <v>0</v>
      </c>
      <c r="O10" s="54">
        <f t="shared" si="9"/>
        <v>8600000</v>
      </c>
    </row>
    <row r="11" spans="1:15" x14ac:dyDescent="0.3">
      <c r="A11" s="66">
        <v>8</v>
      </c>
      <c r="B11" s="52">
        <v>45444</v>
      </c>
      <c r="C11" s="53">
        <v>2</v>
      </c>
      <c r="D11" s="62">
        <v>2500000</v>
      </c>
      <c r="E11" s="54">
        <f>D11*C11</f>
        <v>5000000</v>
      </c>
      <c r="F11" s="53">
        <v>2</v>
      </c>
      <c r="G11" s="59">
        <v>1800000</v>
      </c>
      <c r="H11" s="54">
        <f t="shared" si="6"/>
        <v>3600000</v>
      </c>
      <c r="I11" s="53"/>
      <c r="J11" s="62">
        <v>7000</v>
      </c>
      <c r="K11" s="54">
        <f t="shared" si="7"/>
        <v>0</v>
      </c>
      <c r="L11" s="67"/>
      <c r="M11" s="62">
        <v>5000</v>
      </c>
      <c r="N11" s="54">
        <f t="shared" si="8"/>
        <v>0</v>
      </c>
      <c r="O11" s="54">
        <f t="shared" si="9"/>
        <v>8600000</v>
      </c>
    </row>
    <row r="12" spans="1:15" x14ac:dyDescent="0.3">
      <c r="A12" s="66">
        <v>9</v>
      </c>
      <c r="B12" s="52">
        <v>45445</v>
      </c>
      <c r="C12" s="53">
        <v>0</v>
      </c>
      <c r="D12" s="62">
        <v>2500000</v>
      </c>
      <c r="E12" s="54">
        <f t="shared" si="5"/>
        <v>0</v>
      </c>
      <c r="F12" s="53">
        <v>1</v>
      </c>
      <c r="G12" s="59">
        <v>1800000</v>
      </c>
      <c r="H12" s="54">
        <f t="shared" si="6"/>
        <v>1800000</v>
      </c>
      <c r="I12" s="53"/>
      <c r="J12" s="62">
        <v>7000</v>
      </c>
      <c r="K12" s="54">
        <f t="shared" si="7"/>
        <v>0</v>
      </c>
      <c r="L12" s="67"/>
      <c r="M12" s="62">
        <v>5000</v>
      </c>
      <c r="N12" s="54">
        <f t="shared" si="8"/>
        <v>0</v>
      </c>
      <c r="O12" s="54">
        <f t="shared" si="9"/>
        <v>1800000</v>
      </c>
    </row>
    <row r="13" spans="1:15" x14ac:dyDescent="0.3">
      <c r="A13" s="66">
        <v>10</v>
      </c>
      <c r="B13" s="52">
        <v>45446</v>
      </c>
      <c r="C13" s="53">
        <v>1</v>
      </c>
      <c r="D13" s="62">
        <v>2500000</v>
      </c>
      <c r="E13" s="54">
        <f t="shared" si="5"/>
        <v>2500000</v>
      </c>
      <c r="F13" s="53">
        <v>1</v>
      </c>
      <c r="G13" s="59">
        <v>1800000</v>
      </c>
      <c r="H13" s="54">
        <f t="shared" si="6"/>
        <v>1800000</v>
      </c>
      <c r="I13" s="53"/>
      <c r="J13" s="62">
        <v>7000</v>
      </c>
      <c r="K13" s="54">
        <f t="shared" si="7"/>
        <v>0</v>
      </c>
      <c r="L13" s="67"/>
      <c r="M13" s="62">
        <v>5000</v>
      </c>
      <c r="N13" s="54">
        <f t="shared" si="8"/>
        <v>0</v>
      </c>
      <c r="O13" s="54">
        <f>E13+H13+N13+K13</f>
        <v>4300000</v>
      </c>
    </row>
    <row r="14" spans="1:15" x14ac:dyDescent="0.3">
      <c r="A14" s="66">
        <v>11</v>
      </c>
      <c r="B14" s="52">
        <v>45447</v>
      </c>
      <c r="C14" s="53">
        <v>2</v>
      </c>
      <c r="D14" s="62">
        <v>2500000</v>
      </c>
      <c r="E14" s="54">
        <f t="shared" si="5"/>
        <v>5000000</v>
      </c>
      <c r="F14" s="53">
        <v>2</v>
      </c>
      <c r="G14" s="59">
        <v>1800000</v>
      </c>
      <c r="H14" s="54">
        <f t="shared" si="6"/>
        <v>3600000</v>
      </c>
      <c r="I14" s="53"/>
      <c r="J14" s="62">
        <v>7000</v>
      </c>
      <c r="K14" s="54">
        <f t="shared" si="7"/>
        <v>0</v>
      </c>
      <c r="L14" s="67"/>
      <c r="M14" s="62">
        <v>5000</v>
      </c>
      <c r="N14" s="54">
        <f t="shared" si="8"/>
        <v>0</v>
      </c>
      <c r="O14" s="54">
        <f t="shared" si="9"/>
        <v>8600000</v>
      </c>
    </row>
    <row r="15" spans="1:15" x14ac:dyDescent="0.3">
      <c r="A15" s="66">
        <v>12</v>
      </c>
      <c r="B15" s="52">
        <v>45448</v>
      </c>
      <c r="C15" s="53">
        <v>1</v>
      </c>
      <c r="D15" s="62">
        <v>2500000</v>
      </c>
      <c r="E15" s="54">
        <f t="shared" si="5"/>
        <v>2500000</v>
      </c>
      <c r="F15" s="53">
        <v>2</v>
      </c>
      <c r="G15" s="59">
        <v>1800000</v>
      </c>
      <c r="H15" s="54">
        <f t="shared" si="6"/>
        <v>3600000</v>
      </c>
      <c r="I15" s="53"/>
      <c r="J15" s="62">
        <v>7000</v>
      </c>
      <c r="K15" s="54">
        <f t="shared" si="7"/>
        <v>0</v>
      </c>
      <c r="L15" s="67"/>
      <c r="M15" s="62">
        <v>5000</v>
      </c>
      <c r="N15" s="54">
        <f t="shared" si="8"/>
        <v>0</v>
      </c>
      <c r="O15" s="54">
        <f t="shared" si="9"/>
        <v>6100000</v>
      </c>
    </row>
    <row r="16" spans="1:15" x14ac:dyDescent="0.3">
      <c r="A16" s="66">
        <v>13</v>
      </c>
      <c r="B16" s="52">
        <v>45449</v>
      </c>
      <c r="C16" s="53">
        <v>2</v>
      </c>
      <c r="D16" s="62">
        <v>2500000</v>
      </c>
      <c r="E16" s="54">
        <f t="shared" si="5"/>
        <v>5000000</v>
      </c>
      <c r="F16" s="53">
        <v>1</v>
      </c>
      <c r="G16" s="59">
        <v>1800000</v>
      </c>
      <c r="H16" s="54">
        <f t="shared" si="6"/>
        <v>1800000</v>
      </c>
      <c r="I16" s="53"/>
      <c r="J16" s="62">
        <v>7000</v>
      </c>
      <c r="K16" s="54">
        <f t="shared" si="7"/>
        <v>0</v>
      </c>
      <c r="L16" s="67"/>
      <c r="M16" s="62">
        <v>5000</v>
      </c>
      <c r="N16" s="54">
        <f t="shared" si="8"/>
        <v>0</v>
      </c>
      <c r="O16" s="54">
        <f t="shared" si="9"/>
        <v>6800000</v>
      </c>
    </row>
    <row r="17" spans="1:15" x14ac:dyDescent="0.3">
      <c r="A17" s="66">
        <v>14</v>
      </c>
      <c r="B17" s="52">
        <v>45450</v>
      </c>
      <c r="C17" s="53">
        <v>2</v>
      </c>
      <c r="D17" s="62">
        <v>2500000</v>
      </c>
      <c r="E17" s="54">
        <f t="shared" si="5"/>
        <v>5000000</v>
      </c>
      <c r="F17" s="53">
        <v>2</v>
      </c>
      <c r="G17" s="59">
        <v>1800000</v>
      </c>
      <c r="H17" s="54">
        <f t="shared" si="6"/>
        <v>3600000</v>
      </c>
      <c r="I17" s="53"/>
      <c r="J17" s="62">
        <v>7000</v>
      </c>
      <c r="K17" s="54">
        <f t="shared" si="7"/>
        <v>0</v>
      </c>
      <c r="L17" s="67"/>
      <c r="M17" s="62">
        <v>5000</v>
      </c>
      <c r="N17" s="54">
        <f t="shared" si="8"/>
        <v>0</v>
      </c>
      <c r="O17" s="54">
        <f t="shared" si="9"/>
        <v>8600000</v>
      </c>
    </row>
    <row r="18" spans="1:15" x14ac:dyDescent="0.3">
      <c r="A18" s="66">
        <v>15</v>
      </c>
      <c r="B18" s="52">
        <v>45451</v>
      </c>
      <c r="C18" s="53">
        <v>1</v>
      </c>
      <c r="D18" s="62">
        <v>2500000</v>
      </c>
      <c r="E18" s="54">
        <f t="shared" si="5"/>
        <v>2500000</v>
      </c>
      <c r="F18" s="53">
        <v>2</v>
      </c>
      <c r="G18" s="59">
        <v>1800000</v>
      </c>
      <c r="H18" s="54">
        <f t="shared" si="6"/>
        <v>3600000</v>
      </c>
      <c r="I18" s="53"/>
      <c r="J18" s="62">
        <v>7000</v>
      </c>
      <c r="K18" s="54">
        <f t="shared" si="7"/>
        <v>0</v>
      </c>
      <c r="L18" s="67"/>
      <c r="M18" s="62">
        <v>5000</v>
      </c>
      <c r="N18" s="54">
        <f t="shared" si="8"/>
        <v>0</v>
      </c>
      <c r="O18" s="54">
        <f t="shared" si="9"/>
        <v>6100000</v>
      </c>
    </row>
    <row r="19" spans="1:15" x14ac:dyDescent="0.3">
      <c r="A19" s="66">
        <v>17</v>
      </c>
      <c r="B19" s="52">
        <v>45453</v>
      </c>
      <c r="C19" s="53">
        <v>1</v>
      </c>
      <c r="D19" s="62">
        <v>2500000</v>
      </c>
      <c r="E19" s="54">
        <f t="shared" si="5"/>
        <v>2500000</v>
      </c>
      <c r="F19" s="53">
        <v>2</v>
      </c>
      <c r="G19" s="59">
        <v>1800000</v>
      </c>
      <c r="H19" s="54">
        <f t="shared" si="6"/>
        <v>3600000</v>
      </c>
      <c r="I19" s="53"/>
      <c r="J19" s="62">
        <v>7000</v>
      </c>
      <c r="K19" s="54">
        <f t="shared" si="7"/>
        <v>0</v>
      </c>
      <c r="L19" s="67"/>
      <c r="M19" s="62">
        <v>5000</v>
      </c>
      <c r="N19" s="54">
        <f t="shared" si="8"/>
        <v>0</v>
      </c>
      <c r="O19" s="54">
        <f t="shared" si="9"/>
        <v>6100000</v>
      </c>
    </row>
    <row r="20" spans="1:15" x14ac:dyDescent="0.3">
      <c r="A20" s="66">
        <v>18</v>
      </c>
      <c r="B20" s="52">
        <v>45454</v>
      </c>
      <c r="C20" s="53">
        <v>1</v>
      </c>
      <c r="D20" s="62">
        <v>2500000</v>
      </c>
      <c r="E20" s="54">
        <f t="shared" si="5"/>
        <v>2500000</v>
      </c>
      <c r="F20" s="53">
        <v>2</v>
      </c>
      <c r="G20" s="59">
        <v>1800000</v>
      </c>
      <c r="H20" s="54">
        <f t="shared" si="6"/>
        <v>3600000</v>
      </c>
      <c r="I20" s="53"/>
      <c r="J20" s="62">
        <v>7000</v>
      </c>
      <c r="K20" s="54">
        <f t="shared" si="7"/>
        <v>0</v>
      </c>
      <c r="L20" s="67"/>
      <c r="M20" s="62">
        <v>5000</v>
      </c>
      <c r="N20" s="54">
        <f t="shared" si="8"/>
        <v>0</v>
      </c>
      <c r="O20" s="54">
        <f t="shared" si="9"/>
        <v>6100000</v>
      </c>
    </row>
    <row r="21" spans="1:15" x14ac:dyDescent="0.3">
      <c r="A21" s="66">
        <v>19</v>
      </c>
      <c r="B21" s="52">
        <v>45455</v>
      </c>
      <c r="C21" s="53">
        <v>2</v>
      </c>
      <c r="D21" s="62">
        <v>2500000</v>
      </c>
      <c r="E21" s="54">
        <f t="shared" si="5"/>
        <v>5000000</v>
      </c>
      <c r="F21" s="53">
        <v>2</v>
      </c>
      <c r="G21" s="59">
        <v>1800000</v>
      </c>
      <c r="H21" s="54">
        <f>G21*F21</f>
        <v>3600000</v>
      </c>
      <c r="I21" s="53"/>
      <c r="J21" s="62">
        <v>7000</v>
      </c>
      <c r="K21" s="54">
        <f t="shared" si="7"/>
        <v>0</v>
      </c>
      <c r="L21" s="67"/>
      <c r="M21" s="62">
        <v>5000</v>
      </c>
      <c r="N21" s="54">
        <f t="shared" si="8"/>
        <v>0</v>
      </c>
      <c r="O21" s="54">
        <f t="shared" si="9"/>
        <v>8600000</v>
      </c>
    </row>
    <row r="22" spans="1:15" x14ac:dyDescent="0.3">
      <c r="A22" s="66">
        <v>20</v>
      </c>
      <c r="B22" s="52">
        <v>45456</v>
      </c>
      <c r="C22" s="53">
        <v>2</v>
      </c>
      <c r="D22" s="62">
        <v>2500000</v>
      </c>
      <c r="E22" s="54">
        <f>D22*C22</f>
        <v>5000000</v>
      </c>
      <c r="F22" s="53">
        <v>2</v>
      </c>
      <c r="G22" s="59">
        <v>1800000</v>
      </c>
      <c r="H22" s="54">
        <f>G22*F22</f>
        <v>3600000</v>
      </c>
      <c r="I22" s="53"/>
      <c r="J22" s="62">
        <v>7000</v>
      </c>
      <c r="K22" s="54">
        <f t="shared" si="7"/>
        <v>0</v>
      </c>
      <c r="L22" s="67"/>
      <c r="M22" s="62">
        <v>5000</v>
      </c>
      <c r="N22" s="54">
        <f t="shared" si="8"/>
        <v>0</v>
      </c>
      <c r="O22" s="54">
        <f t="shared" si="9"/>
        <v>8600000</v>
      </c>
    </row>
    <row r="23" spans="1:15" x14ac:dyDescent="0.3">
      <c r="A23" s="66">
        <v>21</v>
      </c>
      <c r="B23" s="52">
        <v>45457</v>
      </c>
      <c r="C23" s="53">
        <v>1</v>
      </c>
      <c r="D23" s="62">
        <v>2500000</v>
      </c>
      <c r="E23" s="54">
        <f>D23*C23</f>
        <v>2500000</v>
      </c>
      <c r="F23" s="68">
        <v>2</v>
      </c>
      <c r="G23" s="59">
        <v>1800000</v>
      </c>
      <c r="H23" s="54">
        <f t="shared" si="6"/>
        <v>3600000</v>
      </c>
      <c r="I23" s="53"/>
      <c r="J23" s="62">
        <v>7000</v>
      </c>
      <c r="K23" s="54">
        <f t="shared" si="7"/>
        <v>0</v>
      </c>
      <c r="L23" s="67"/>
      <c r="M23" s="62">
        <v>5000</v>
      </c>
      <c r="N23" s="54">
        <f t="shared" si="8"/>
        <v>0</v>
      </c>
      <c r="O23" s="54">
        <f t="shared" si="9"/>
        <v>6100000</v>
      </c>
    </row>
    <row r="24" spans="1:15" x14ac:dyDescent="0.3">
      <c r="A24" s="66">
        <v>22</v>
      </c>
      <c r="B24" s="52">
        <v>45458</v>
      </c>
      <c r="C24" s="53">
        <v>2</v>
      </c>
      <c r="D24" s="62">
        <v>2500000</v>
      </c>
      <c r="E24" s="54">
        <f t="shared" si="5"/>
        <v>5000000</v>
      </c>
      <c r="F24" s="53">
        <v>2</v>
      </c>
      <c r="G24" s="59">
        <v>1800000</v>
      </c>
      <c r="H24" s="54">
        <f t="shared" si="6"/>
        <v>3600000</v>
      </c>
      <c r="I24" s="53"/>
      <c r="J24" s="62">
        <v>7000</v>
      </c>
      <c r="K24" s="54">
        <f t="shared" si="7"/>
        <v>0</v>
      </c>
      <c r="L24" s="67"/>
      <c r="M24" s="62">
        <v>5000</v>
      </c>
      <c r="N24" s="54">
        <f t="shared" si="8"/>
        <v>0</v>
      </c>
      <c r="O24" s="54">
        <f t="shared" si="9"/>
        <v>8600000</v>
      </c>
    </row>
    <row r="25" spans="1:15" x14ac:dyDescent="0.3">
      <c r="A25" s="66">
        <v>23</v>
      </c>
      <c r="B25" s="52">
        <v>45459</v>
      </c>
      <c r="C25" s="53">
        <v>0</v>
      </c>
      <c r="D25" s="62">
        <v>2500000</v>
      </c>
      <c r="E25" s="54">
        <f t="shared" si="5"/>
        <v>0</v>
      </c>
      <c r="F25" s="53">
        <v>0</v>
      </c>
      <c r="G25" s="59">
        <v>1800000</v>
      </c>
      <c r="H25" s="54">
        <f t="shared" si="6"/>
        <v>0</v>
      </c>
      <c r="I25" s="53"/>
      <c r="J25" s="62">
        <v>7000</v>
      </c>
      <c r="K25" s="54">
        <f t="shared" si="7"/>
        <v>0</v>
      </c>
      <c r="L25" s="67"/>
      <c r="M25" s="62">
        <v>5000</v>
      </c>
      <c r="N25" s="54">
        <f t="shared" si="8"/>
        <v>0</v>
      </c>
      <c r="O25" s="54">
        <f t="shared" si="9"/>
        <v>0</v>
      </c>
    </row>
    <row r="26" spans="1:15" x14ac:dyDescent="0.3">
      <c r="A26" s="66">
        <v>24</v>
      </c>
      <c r="B26" s="52">
        <v>45460</v>
      </c>
      <c r="C26" s="53">
        <v>1</v>
      </c>
      <c r="D26" s="62">
        <v>2500000</v>
      </c>
      <c r="E26" s="54">
        <f t="shared" si="5"/>
        <v>2500000</v>
      </c>
      <c r="F26" s="53">
        <v>2</v>
      </c>
      <c r="G26" s="59">
        <v>1800000</v>
      </c>
      <c r="H26" s="54">
        <f t="shared" si="6"/>
        <v>3600000</v>
      </c>
      <c r="I26" s="53"/>
      <c r="J26" s="62">
        <v>7000</v>
      </c>
      <c r="K26" s="54">
        <f t="shared" si="7"/>
        <v>0</v>
      </c>
      <c r="L26" s="67"/>
      <c r="M26" s="62">
        <v>5000</v>
      </c>
      <c r="N26" s="54">
        <f t="shared" si="8"/>
        <v>0</v>
      </c>
      <c r="O26" s="54">
        <f t="shared" si="9"/>
        <v>6100000</v>
      </c>
    </row>
    <row r="27" spans="1:15" x14ac:dyDescent="0.3">
      <c r="A27" s="66">
        <v>25</v>
      </c>
      <c r="B27" s="52">
        <v>45461</v>
      </c>
      <c r="C27" s="53">
        <v>2</v>
      </c>
      <c r="D27" s="62">
        <v>2500000</v>
      </c>
      <c r="E27" s="54">
        <f t="shared" si="5"/>
        <v>5000000</v>
      </c>
      <c r="F27" s="53">
        <v>2</v>
      </c>
      <c r="G27" s="59">
        <v>1800000</v>
      </c>
      <c r="H27" s="54">
        <f t="shared" si="6"/>
        <v>3600000</v>
      </c>
      <c r="I27" s="53"/>
      <c r="J27" s="62">
        <v>7000</v>
      </c>
      <c r="K27" s="54">
        <f t="shared" si="7"/>
        <v>0</v>
      </c>
      <c r="L27" s="67"/>
      <c r="M27" s="62">
        <v>5000</v>
      </c>
      <c r="N27" s="54">
        <f t="shared" si="8"/>
        <v>0</v>
      </c>
      <c r="O27" s="54">
        <f t="shared" ref="O27:O32" si="10">E27+H27+N27+K27</f>
        <v>8600000</v>
      </c>
    </row>
    <row r="28" spans="1:15" x14ac:dyDescent="0.3">
      <c r="A28" s="66">
        <v>26</v>
      </c>
      <c r="B28" s="52">
        <v>45462</v>
      </c>
      <c r="C28" s="53">
        <v>2</v>
      </c>
      <c r="D28" s="62">
        <v>2500000</v>
      </c>
      <c r="E28" s="54">
        <f t="shared" si="5"/>
        <v>5000000</v>
      </c>
      <c r="F28" s="53">
        <v>2</v>
      </c>
      <c r="G28" s="59">
        <v>1800000</v>
      </c>
      <c r="H28" s="54">
        <f t="shared" si="6"/>
        <v>3600000</v>
      </c>
      <c r="I28" s="53"/>
      <c r="J28" s="62">
        <v>7000</v>
      </c>
      <c r="K28" s="54">
        <f t="shared" si="7"/>
        <v>0</v>
      </c>
      <c r="L28" s="67"/>
      <c r="M28" s="62">
        <v>5000</v>
      </c>
      <c r="N28" s="54">
        <f t="shared" si="8"/>
        <v>0</v>
      </c>
      <c r="O28" s="54">
        <f t="shared" si="10"/>
        <v>8600000</v>
      </c>
    </row>
    <row r="29" spans="1:15" x14ac:dyDescent="0.3">
      <c r="A29" s="66">
        <v>27</v>
      </c>
      <c r="B29" s="52">
        <v>45463</v>
      </c>
      <c r="C29" s="53">
        <v>1</v>
      </c>
      <c r="D29" s="62">
        <v>2500000</v>
      </c>
      <c r="E29" s="54">
        <f t="shared" ref="E29" si="11">D29*C29</f>
        <v>2500000</v>
      </c>
      <c r="F29" s="53">
        <v>2</v>
      </c>
      <c r="G29" s="59">
        <v>1800000</v>
      </c>
      <c r="H29" s="54">
        <f t="shared" ref="H29" si="12">G29*F29</f>
        <v>3600000</v>
      </c>
      <c r="I29" s="53">
        <v>1420</v>
      </c>
      <c r="J29" s="62">
        <v>7000</v>
      </c>
      <c r="K29" s="54">
        <f t="shared" ref="K29" si="13">J29*I29</f>
        <v>9940000</v>
      </c>
      <c r="L29" s="67"/>
      <c r="M29" s="62">
        <v>5000</v>
      </c>
      <c r="N29" s="54">
        <f t="shared" ref="N29" si="14">L29*M29</f>
        <v>0</v>
      </c>
      <c r="O29" s="54">
        <f t="shared" si="10"/>
        <v>16040000</v>
      </c>
    </row>
    <row r="30" spans="1:15" x14ac:dyDescent="0.3">
      <c r="A30" s="66">
        <v>28</v>
      </c>
      <c r="B30" s="52">
        <v>45464</v>
      </c>
      <c r="C30" s="53">
        <v>1</v>
      </c>
      <c r="D30" s="62">
        <v>2500000</v>
      </c>
      <c r="E30" s="54">
        <f t="shared" si="5"/>
        <v>2500000</v>
      </c>
      <c r="F30" s="53">
        <v>1</v>
      </c>
      <c r="G30" s="59">
        <v>1800000</v>
      </c>
      <c r="H30" s="54">
        <f t="shared" si="6"/>
        <v>1800000</v>
      </c>
      <c r="I30" s="53"/>
      <c r="J30" s="62">
        <v>7000</v>
      </c>
      <c r="K30" s="54">
        <f>J30*I30</f>
        <v>0</v>
      </c>
      <c r="L30" s="67"/>
      <c r="M30" s="62">
        <v>5000</v>
      </c>
      <c r="N30" s="54">
        <f t="shared" si="8"/>
        <v>0</v>
      </c>
      <c r="O30" s="54">
        <f t="shared" si="10"/>
        <v>4300000</v>
      </c>
    </row>
    <row r="31" spans="1:15" x14ac:dyDescent="0.3">
      <c r="A31" s="66">
        <v>29</v>
      </c>
      <c r="B31" s="52">
        <v>45465</v>
      </c>
      <c r="C31" s="53">
        <v>1</v>
      </c>
      <c r="D31" s="62">
        <v>2500000</v>
      </c>
      <c r="E31" s="54">
        <f t="shared" ref="E31" si="15">D31*C31</f>
        <v>2500000</v>
      </c>
      <c r="F31" s="53">
        <v>2</v>
      </c>
      <c r="G31" s="59">
        <v>1800000</v>
      </c>
      <c r="H31" s="54">
        <f t="shared" ref="H31" si="16">G31*F31</f>
        <v>3600000</v>
      </c>
      <c r="I31" s="53"/>
      <c r="J31" s="62">
        <v>7000</v>
      </c>
      <c r="K31" s="54">
        <f>J31*I31</f>
        <v>0</v>
      </c>
      <c r="L31" s="67"/>
      <c r="M31" s="62">
        <v>5000</v>
      </c>
      <c r="N31" s="54">
        <f t="shared" ref="N31" si="17">L31*M31</f>
        <v>0</v>
      </c>
      <c r="O31" s="54">
        <f t="shared" si="10"/>
        <v>6100000</v>
      </c>
    </row>
    <row r="32" spans="1:15" x14ac:dyDescent="0.3">
      <c r="A32" s="66">
        <v>30</v>
      </c>
      <c r="B32" s="52">
        <v>45466</v>
      </c>
      <c r="C32" s="53">
        <v>0</v>
      </c>
      <c r="D32" s="62">
        <v>2500000</v>
      </c>
      <c r="E32" s="54">
        <f t="shared" ref="E32" si="18">D32*C32</f>
        <v>0</v>
      </c>
      <c r="F32" s="53">
        <v>1</v>
      </c>
      <c r="G32" s="59">
        <v>1800000</v>
      </c>
      <c r="H32" s="54">
        <f t="shared" ref="H32" si="19">G32*F32</f>
        <v>1800000</v>
      </c>
      <c r="I32" s="53"/>
      <c r="J32" s="62">
        <v>7000</v>
      </c>
      <c r="K32" s="54">
        <f>J32*I32</f>
        <v>0</v>
      </c>
      <c r="L32" s="67"/>
      <c r="M32" s="62">
        <v>5000</v>
      </c>
      <c r="N32" s="54">
        <f t="shared" ref="N32" si="20">L32*M32</f>
        <v>0</v>
      </c>
      <c r="O32" s="54">
        <f t="shared" si="10"/>
        <v>1800000</v>
      </c>
    </row>
    <row r="33" spans="1:15" x14ac:dyDescent="0.3">
      <c r="A33" s="166"/>
      <c r="B33" s="166"/>
      <c r="C33" s="1">
        <f>SUM(C4:C32)</f>
        <v>38</v>
      </c>
      <c r="D33" s="1"/>
      <c r="E33" s="2">
        <f>SUM(E4:E32)</f>
        <v>95000000</v>
      </c>
      <c r="F33" s="2">
        <f>SUM(F4:F32)</f>
        <v>50</v>
      </c>
      <c r="G33" s="2"/>
      <c r="H33" s="2">
        <f>SUM(H4:H32)</f>
        <v>90000000</v>
      </c>
      <c r="I33" s="2">
        <f>SUM(I4:I28)</f>
        <v>0</v>
      </c>
      <c r="J33" s="2"/>
      <c r="K33" s="2">
        <f>SUM(K4:K32)</f>
        <v>9940000</v>
      </c>
      <c r="L33" s="2">
        <f>SUM(L4:L30)</f>
        <v>0</v>
      </c>
      <c r="M33" s="2"/>
      <c r="N33" s="2">
        <f>SUM(N4:N30)</f>
        <v>0</v>
      </c>
      <c r="O33" s="2">
        <f>SUM(O4:O32)</f>
        <v>194940000</v>
      </c>
    </row>
    <row r="34" spans="1:15" x14ac:dyDescent="0.3">
      <c r="A34" s="65"/>
      <c r="B34" s="164" t="s">
        <v>34</v>
      </c>
      <c r="C34" s="164"/>
      <c r="D34" s="164"/>
      <c r="E34" s="164"/>
      <c r="F34" s="34"/>
      <c r="G34" s="35"/>
      <c r="H34" s="36"/>
      <c r="I34" s="36"/>
      <c r="J34" s="36"/>
      <c r="K34" s="36"/>
      <c r="L34" s="164" t="s">
        <v>34</v>
      </c>
      <c r="M34" s="164"/>
      <c r="N34" s="164"/>
      <c r="O34" s="164"/>
    </row>
    <row r="35" spans="1:15" x14ac:dyDescent="0.3">
      <c r="B35" s="118" t="s">
        <v>37</v>
      </c>
      <c r="C35" s="118"/>
      <c r="D35" s="118"/>
      <c r="E35" s="118"/>
      <c r="F35" s="37"/>
      <c r="G35" s="56"/>
      <c r="H35" s="37"/>
      <c r="I35" s="37"/>
      <c r="J35" s="37"/>
      <c r="K35" s="37"/>
      <c r="L35" s="118" t="s">
        <v>38</v>
      </c>
      <c r="M35" s="118"/>
      <c r="N35" s="118"/>
      <c r="O35" s="118"/>
    </row>
  </sheetData>
  <mergeCells count="11">
    <mergeCell ref="A3:B3"/>
    <mergeCell ref="A1:O1"/>
    <mergeCell ref="C2:E2"/>
    <mergeCell ref="F2:H2"/>
    <mergeCell ref="I2:K2"/>
    <mergeCell ref="L2:N2"/>
    <mergeCell ref="A33:B33"/>
    <mergeCell ref="B34:E34"/>
    <mergeCell ref="L34:O34"/>
    <mergeCell ref="B35:E35"/>
    <mergeCell ref="L35:O35"/>
  </mergeCells>
  <pageMargins left="0.19" right="0.17" top="0.5" bottom="0.75" header="0.3" footer="0.3"/>
  <pageSetup paperSize="9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38"/>
  <sheetViews>
    <sheetView view="pageBreakPreview" zoomScale="85" zoomScaleNormal="100" zoomScaleSheetLayoutView="85" workbookViewId="0">
      <selection activeCell="A34" sqref="A34:B34"/>
    </sheetView>
  </sheetViews>
  <sheetFormatPr defaultColWidth="9.36328125" defaultRowHeight="12" x14ac:dyDescent="0.3"/>
  <cols>
    <col min="1" max="1" width="3.36328125" style="32" customWidth="1"/>
    <col min="2" max="2" width="9.36328125" style="32" customWidth="1"/>
    <col min="3" max="3" width="6.6328125" style="32" customWidth="1"/>
    <col min="4" max="4" width="9.36328125" style="32" customWidth="1"/>
    <col min="5" max="5" width="12.36328125" style="32" customWidth="1"/>
    <col min="6" max="6" width="6.453125" style="32" customWidth="1"/>
    <col min="7" max="7" width="13.36328125" style="38" customWidth="1"/>
    <col min="8" max="8" width="12.6328125" style="32" customWidth="1"/>
    <col min="9" max="9" width="8.36328125" style="32" customWidth="1"/>
    <col min="10" max="10" width="9.36328125" style="32" customWidth="1"/>
    <col min="11" max="11" width="11.6328125" style="32" customWidth="1"/>
    <col min="12" max="12" width="7.54296875" style="32" customWidth="1"/>
    <col min="13" max="13" width="8.54296875" style="32" customWidth="1"/>
    <col min="14" max="14" width="11.54296875" style="32" customWidth="1"/>
    <col min="15" max="15" width="11.6328125" style="32" customWidth="1"/>
    <col min="16" max="16384" width="9.36328125" style="32"/>
  </cols>
  <sheetData>
    <row r="1" spans="1:15" ht="16.5" customHeight="1" x14ac:dyDescent="0.3">
      <c r="A1" s="156" t="s">
        <v>43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</row>
    <row r="2" spans="1:15" ht="24" customHeight="1" x14ac:dyDescent="0.3">
      <c r="A2" s="39" t="s">
        <v>21</v>
      </c>
      <c r="B2" s="40" t="s">
        <v>22</v>
      </c>
      <c r="C2" s="160" t="s">
        <v>23</v>
      </c>
      <c r="D2" s="161"/>
      <c r="E2" s="162"/>
      <c r="F2" s="160" t="s">
        <v>24</v>
      </c>
      <c r="G2" s="161"/>
      <c r="H2" s="162"/>
      <c r="I2" s="160" t="s">
        <v>25</v>
      </c>
      <c r="J2" s="161"/>
      <c r="K2" s="162"/>
      <c r="L2" s="160" t="s">
        <v>26</v>
      </c>
      <c r="M2" s="161"/>
      <c r="N2" s="162"/>
      <c r="O2" s="41" t="s">
        <v>27</v>
      </c>
    </row>
    <row r="3" spans="1:15" ht="33" customHeight="1" x14ac:dyDescent="0.3">
      <c r="A3" s="169" t="s">
        <v>28</v>
      </c>
      <c r="B3" s="170"/>
      <c r="C3" s="42" t="s">
        <v>29</v>
      </c>
      <c r="D3" s="43" t="s">
        <v>30</v>
      </c>
      <c r="E3" s="44" t="s">
        <v>31</v>
      </c>
      <c r="F3" s="45" t="s">
        <v>29</v>
      </c>
      <c r="G3" s="46" t="s">
        <v>30</v>
      </c>
      <c r="H3" s="44" t="s">
        <v>32</v>
      </c>
      <c r="I3" s="47" t="s">
        <v>29</v>
      </c>
      <c r="J3" s="43" t="s">
        <v>30</v>
      </c>
      <c r="K3" s="44" t="s">
        <v>32</v>
      </c>
      <c r="L3" s="47" t="s">
        <v>33</v>
      </c>
      <c r="M3" s="43" t="s">
        <v>30</v>
      </c>
      <c r="N3" s="44" t="s">
        <v>32</v>
      </c>
      <c r="O3" s="48"/>
    </row>
    <row r="4" spans="1:15" x14ac:dyDescent="0.3">
      <c r="A4" s="66">
        <v>1</v>
      </c>
      <c r="B4" s="52">
        <v>45467</v>
      </c>
      <c r="C4" s="53">
        <v>1</v>
      </c>
      <c r="D4" s="62">
        <v>2500000</v>
      </c>
      <c r="E4" s="54">
        <f t="shared" ref="E4:E32" si="0">D4*C4</f>
        <v>2500000</v>
      </c>
      <c r="F4" s="53">
        <v>2</v>
      </c>
      <c r="G4" s="59">
        <v>1800000</v>
      </c>
      <c r="H4" s="54">
        <f t="shared" ref="H4:H32" si="1">G4*F4</f>
        <v>3600000</v>
      </c>
      <c r="I4" s="53"/>
      <c r="J4" s="62">
        <v>7000</v>
      </c>
      <c r="K4" s="54">
        <f t="shared" ref="K4:K29" si="2">J4*I4</f>
        <v>0</v>
      </c>
      <c r="L4" s="67"/>
      <c r="M4" s="62">
        <v>5000</v>
      </c>
      <c r="N4" s="54">
        <f t="shared" ref="N4:N32" si="3">L4*M4</f>
        <v>0</v>
      </c>
      <c r="O4" s="54">
        <f t="shared" ref="O4:O32" si="4">E4+H4+N4+K4</f>
        <v>6100000</v>
      </c>
    </row>
    <row r="5" spans="1:15" x14ac:dyDescent="0.3">
      <c r="A5" s="66">
        <v>2</v>
      </c>
      <c r="B5" s="52">
        <v>45468</v>
      </c>
      <c r="C5" s="53">
        <v>2</v>
      </c>
      <c r="D5" s="62">
        <v>2500000</v>
      </c>
      <c r="E5" s="54">
        <f t="shared" si="0"/>
        <v>5000000</v>
      </c>
      <c r="F5" s="53">
        <v>2</v>
      </c>
      <c r="G5" s="59">
        <v>1800000</v>
      </c>
      <c r="H5" s="54">
        <f t="shared" si="1"/>
        <v>3600000</v>
      </c>
      <c r="I5" s="53"/>
      <c r="J5" s="62">
        <v>7000</v>
      </c>
      <c r="K5" s="54">
        <f t="shared" si="2"/>
        <v>0</v>
      </c>
      <c r="L5" s="67">
        <v>1740</v>
      </c>
      <c r="M5" s="62">
        <v>5000</v>
      </c>
      <c r="N5" s="54">
        <f t="shared" si="3"/>
        <v>8700000</v>
      </c>
      <c r="O5" s="54">
        <f t="shared" si="4"/>
        <v>17300000</v>
      </c>
    </row>
    <row r="6" spans="1:15" x14ac:dyDescent="0.3">
      <c r="A6" s="66">
        <v>3</v>
      </c>
      <c r="B6" s="52">
        <v>45469</v>
      </c>
      <c r="C6" s="53">
        <v>1</v>
      </c>
      <c r="D6" s="62">
        <v>2500000</v>
      </c>
      <c r="E6" s="54">
        <f t="shared" si="0"/>
        <v>2500000</v>
      </c>
      <c r="F6" s="53">
        <v>2</v>
      </c>
      <c r="G6" s="59">
        <v>1800000</v>
      </c>
      <c r="H6" s="54">
        <f t="shared" si="1"/>
        <v>3600000</v>
      </c>
      <c r="I6" s="53"/>
      <c r="J6" s="62">
        <v>7000</v>
      </c>
      <c r="K6" s="54">
        <f t="shared" si="2"/>
        <v>0</v>
      </c>
      <c r="L6" s="67">
        <v>1380</v>
      </c>
      <c r="M6" s="62">
        <v>5000</v>
      </c>
      <c r="N6" s="54">
        <f t="shared" si="3"/>
        <v>6900000</v>
      </c>
      <c r="O6" s="54">
        <f t="shared" si="4"/>
        <v>13000000</v>
      </c>
    </row>
    <row r="7" spans="1:15" x14ac:dyDescent="0.3">
      <c r="A7" s="66">
        <v>4</v>
      </c>
      <c r="B7" s="52">
        <v>45470</v>
      </c>
      <c r="C7" s="53">
        <v>2</v>
      </c>
      <c r="D7" s="62">
        <v>2500000</v>
      </c>
      <c r="E7" s="54">
        <f t="shared" si="0"/>
        <v>5000000</v>
      </c>
      <c r="F7" s="53">
        <v>2</v>
      </c>
      <c r="G7" s="59">
        <v>1800000</v>
      </c>
      <c r="H7" s="54">
        <f t="shared" si="1"/>
        <v>3600000</v>
      </c>
      <c r="I7" s="53"/>
      <c r="J7" s="62">
        <v>7000</v>
      </c>
      <c r="K7" s="54">
        <f t="shared" si="2"/>
        <v>0</v>
      </c>
      <c r="L7" s="67"/>
      <c r="M7" s="62">
        <v>5000</v>
      </c>
      <c r="N7" s="54">
        <f t="shared" si="3"/>
        <v>0</v>
      </c>
      <c r="O7" s="54">
        <f t="shared" si="4"/>
        <v>8600000</v>
      </c>
    </row>
    <row r="8" spans="1:15" ht="11.75" customHeight="1" x14ac:dyDescent="0.3">
      <c r="A8" s="66">
        <v>5</v>
      </c>
      <c r="B8" s="52">
        <v>45471</v>
      </c>
      <c r="C8" s="53">
        <v>3</v>
      </c>
      <c r="D8" s="62">
        <v>2500000</v>
      </c>
      <c r="E8" s="54">
        <f>D8*C8</f>
        <v>7500000</v>
      </c>
      <c r="F8" s="53">
        <v>2</v>
      </c>
      <c r="G8" s="59">
        <v>1800000</v>
      </c>
      <c r="H8" s="54">
        <f t="shared" si="1"/>
        <v>3600000</v>
      </c>
      <c r="I8" s="53"/>
      <c r="J8" s="62">
        <v>7000</v>
      </c>
      <c r="K8" s="54">
        <f t="shared" si="2"/>
        <v>0</v>
      </c>
      <c r="L8" s="67"/>
      <c r="M8" s="62">
        <v>5000</v>
      </c>
      <c r="N8" s="54">
        <f t="shared" si="3"/>
        <v>0</v>
      </c>
      <c r="O8" s="54">
        <f>E8+H8+N8+K8</f>
        <v>11100000</v>
      </c>
    </row>
    <row r="9" spans="1:15" x14ac:dyDescent="0.3">
      <c r="A9" s="66">
        <v>6</v>
      </c>
      <c r="B9" s="52">
        <v>45472</v>
      </c>
      <c r="C9" s="53">
        <v>1</v>
      </c>
      <c r="D9" s="62">
        <v>2500000</v>
      </c>
      <c r="E9" s="54">
        <f>D9*C9</f>
        <v>2500000</v>
      </c>
      <c r="F9" s="53">
        <v>1</v>
      </c>
      <c r="G9" s="59">
        <v>1800000</v>
      </c>
      <c r="H9" s="54">
        <f>G9*F9</f>
        <v>1800000</v>
      </c>
      <c r="I9" s="53"/>
      <c r="J9" s="62">
        <v>7000</v>
      </c>
      <c r="K9" s="54"/>
      <c r="L9" s="67"/>
      <c r="M9" s="62">
        <v>5000</v>
      </c>
      <c r="N9" s="54">
        <f t="shared" si="3"/>
        <v>0</v>
      </c>
      <c r="O9" s="54">
        <f t="shared" si="4"/>
        <v>4300000</v>
      </c>
    </row>
    <row r="10" spans="1:15" x14ac:dyDescent="0.3">
      <c r="A10" s="66">
        <v>7</v>
      </c>
      <c r="B10" s="52">
        <v>45473</v>
      </c>
      <c r="C10" s="53">
        <v>0</v>
      </c>
      <c r="D10" s="62">
        <v>2500000</v>
      </c>
      <c r="E10" s="54">
        <f>D10*C10</f>
        <v>0</v>
      </c>
      <c r="F10" s="53">
        <v>2</v>
      </c>
      <c r="G10" s="59">
        <v>1800000</v>
      </c>
      <c r="H10" s="54">
        <f t="shared" si="1"/>
        <v>3600000</v>
      </c>
      <c r="I10" s="53"/>
      <c r="J10" s="62">
        <v>7000</v>
      </c>
      <c r="K10" s="54">
        <f t="shared" si="2"/>
        <v>0</v>
      </c>
      <c r="L10" s="67"/>
      <c r="M10" s="62">
        <v>5000</v>
      </c>
      <c r="N10" s="54">
        <f t="shared" si="3"/>
        <v>0</v>
      </c>
      <c r="O10" s="54">
        <f t="shared" si="4"/>
        <v>3600000</v>
      </c>
    </row>
    <row r="11" spans="1:15" x14ac:dyDescent="0.3">
      <c r="A11" s="66">
        <v>8</v>
      </c>
      <c r="B11" s="52">
        <v>45474</v>
      </c>
      <c r="C11" s="53">
        <v>1</v>
      </c>
      <c r="D11" s="62">
        <v>2500000</v>
      </c>
      <c r="E11" s="54">
        <f>D11*C11</f>
        <v>2500000</v>
      </c>
      <c r="F11" s="53">
        <v>2</v>
      </c>
      <c r="G11" s="59">
        <v>1800000</v>
      </c>
      <c r="H11" s="54">
        <f t="shared" si="1"/>
        <v>3600000</v>
      </c>
      <c r="I11" s="53"/>
      <c r="J11" s="62">
        <v>7000</v>
      </c>
      <c r="K11" s="54">
        <f t="shared" si="2"/>
        <v>0</v>
      </c>
      <c r="L11" s="67"/>
      <c r="M11" s="62">
        <v>5000</v>
      </c>
      <c r="N11" s="54">
        <f t="shared" si="3"/>
        <v>0</v>
      </c>
      <c r="O11" s="54">
        <f t="shared" si="4"/>
        <v>6100000</v>
      </c>
    </row>
    <row r="12" spans="1:15" x14ac:dyDescent="0.3">
      <c r="A12" s="66">
        <v>9</v>
      </c>
      <c r="B12" s="52">
        <v>45475</v>
      </c>
      <c r="C12" s="53">
        <v>2</v>
      </c>
      <c r="D12" s="62">
        <v>2500000</v>
      </c>
      <c r="E12" s="54">
        <f t="shared" si="0"/>
        <v>5000000</v>
      </c>
      <c r="F12" s="53">
        <v>2</v>
      </c>
      <c r="G12" s="59">
        <v>1800000</v>
      </c>
      <c r="H12" s="54">
        <f t="shared" si="1"/>
        <v>3600000</v>
      </c>
      <c r="I12" s="53"/>
      <c r="J12" s="62">
        <v>7000</v>
      </c>
      <c r="K12" s="54">
        <f t="shared" si="2"/>
        <v>0</v>
      </c>
      <c r="L12" s="67"/>
      <c r="M12" s="62">
        <v>5000</v>
      </c>
      <c r="N12" s="54">
        <f t="shared" si="3"/>
        <v>0</v>
      </c>
      <c r="O12" s="54">
        <f t="shared" si="4"/>
        <v>8600000</v>
      </c>
    </row>
    <row r="13" spans="1:15" x14ac:dyDescent="0.3">
      <c r="A13" s="66">
        <v>10</v>
      </c>
      <c r="B13" s="52">
        <v>45476</v>
      </c>
      <c r="C13" s="53">
        <v>2</v>
      </c>
      <c r="D13" s="62">
        <v>2500000</v>
      </c>
      <c r="E13" s="54">
        <f t="shared" si="0"/>
        <v>5000000</v>
      </c>
      <c r="F13" s="53">
        <v>2</v>
      </c>
      <c r="G13" s="59">
        <v>1800000</v>
      </c>
      <c r="H13" s="54">
        <f t="shared" si="1"/>
        <v>3600000</v>
      </c>
      <c r="I13" s="53"/>
      <c r="J13" s="62">
        <v>7000</v>
      </c>
      <c r="K13" s="54">
        <f t="shared" si="2"/>
        <v>0</v>
      </c>
      <c r="L13" s="67"/>
      <c r="M13" s="62">
        <v>5000</v>
      </c>
      <c r="N13" s="54">
        <f t="shared" si="3"/>
        <v>0</v>
      </c>
      <c r="O13" s="54">
        <f>E13+H13+N13+K13</f>
        <v>8600000</v>
      </c>
    </row>
    <row r="14" spans="1:15" x14ac:dyDescent="0.3">
      <c r="A14" s="66">
        <v>11</v>
      </c>
      <c r="B14" s="52">
        <v>45477</v>
      </c>
      <c r="C14" s="53">
        <v>2</v>
      </c>
      <c r="D14" s="62">
        <v>2500000</v>
      </c>
      <c r="E14" s="54">
        <f t="shared" si="0"/>
        <v>5000000</v>
      </c>
      <c r="F14" s="53">
        <v>2</v>
      </c>
      <c r="G14" s="59">
        <v>1800000</v>
      </c>
      <c r="H14" s="54">
        <f t="shared" si="1"/>
        <v>3600000</v>
      </c>
      <c r="I14" s="53"/>
      <c r="J14" s="62">
        <v>7000</v>
      </c>
      <c r="K14" s="54">
        <f t="shared" si="2"/>
        <v>0</v>
      </c>
      <c r="L14" s="67"/>
      <c r="M14" s="62">
        <v>5000</v>
      </c>
      <c r="N14" s="54">
        <f t="shared" si="3"/>
        <v>0</v>
      </c>
      <c r="O14" s="54">
        <f t="shared" si="4"/>
        <v>8600000</v>
      </c>
    </row>
    <row r="15" spans="1:15" x14ac:dyDescent="0.3">
      <c r="A15" s="66">
        <v>12</v>
      </c>
      <c r="B15" s="52">
        <v>45478</v>
      </c>
      <c r="C15" s="53">
        <v>2</v>
      </c>
      <c r="D15" s="62">
        <v>2500000</v>
      </c>
      <c r="E15" s="54">
        <f t="shared" si="0"/>
        <v>5000000</v>
      </c>
      <c r="F15" s="53">
        <v>2</v>
      </c>
      <c r="G15" s="59">
        <v>1800000</v>
      </c>
      <c r="H15" s="54">
        <f t="shared" si="1"/>
        <v>3600000</v>
      </c>
      <c r="I15" s="53"/>
      <c r="J15" s="62">
        <v>7000</v>
      </c>
      <c r="K15" s="54">
        <f t="shared" si="2"/>
        <v>0</v>
      </c>
      <c r="L15" s="67"/>
      <c r="M15" s="62">
        <v>5000</v>
      </c>
      <c r="N15" s="54">
        <f t="shared" si="3"/>
        <v>0</v>
      </c>
      <c r="O15" s="54">
        <f t="shared" si="4"/>
        <v>8600000</v>
      </c>
    </row>
    <row r="16" spans="1:15" x14ac:dyDescent="0.3">
      <c r="A16" s="66">
        <v>13</v>
      </c>
      <c r="B16" s="52">
        <v>45479</v>
      </c>
      <c r="C16" s="53">
        <v>1</v>
      </c>
      <c r="D16" s="62">
        <v>2500000</v>
      </c>
      <c r="E16" s="54">
        <f t="shared" si="0"/>
        <v>2500000</v>
      </c>
      <c r="F16" s="53">
        <v>2</v>
      </c>
      <c r="G16" s="59">
        <v>1800000</v>
      </c>
      <c r="H16" s="54">
        <f t="shared" si="1"/>
        <v>3600000</v>
      </c>
      <c r="I16" s="53"/>
      <c r="J16" s="62">
        <v>7000</v>
      </c>
      <c r="K16" s="54">
        <f t="shared" si="2"/>
        <v>0</v>
      </c>
      <c r="L16" s="67"/>
      <c r="M16" s="62">
        <v>5000</v>
      </c>
      <c r="N16" s="54">
        <f t="shared" si="3"/>
        <v>0</v>
      </c>
      <c r="O16" s="54">
        <f t="shared" si="4"/>
        <v>6100000</v>
      </c>
    </row>
    <row r="17" spans="1:15" x14ac:dyDescent="0.3">
      <c r="A17" s="66">
        <v>14</v>
      </c>
      <c r="B17" s="52">
        <v>45480</v>
      </c>
      <c r="C17" s="53">
        <v>0</v>
      </c>
      <c r="D17" s="62">
        <v>2500000</v>
      </c>
      <c r="E17" s="54">
        <f t="shared" si="0"/>
        <v>0</v>
      </c>
      <c r="F17" s="53">
        <v>1</v>
      </c>
      <c r="G17" s="59">
        <v>1800000</v>
      </c>
      <c r="H17" s="54">
        <f t="shared" si="1"/>
        <v>1800000</v>
      </c>
      <c r="I17" s="53"/>
      <c r="J17" s="62">
        <v>7000</v>
      </c>
      <c r="K17" s="54">
        <f t="shared" si="2"/>
        <v>0</v>
      </c>
      <c r="L17" s="67"/>
      <c r="M17" s="62">
        <v>5000</v>
      </c>
      <c r="N17" s="54">
        <f t="shared" si="3"/>
        <v>0</v>
      </c>
      <c r="O17" s="54">
        <f t="shared" si="4"/>
        <v>1800000</v>
      </c>
    </row>
    <row r="18" spans="1:15" x14ac:dyDescent="0.3">
      <c r="A18" s="66">
        <v>15</v>
      </c>
      <c r="B18" s="52">
        <v>45481</v>
      </c>
      <c r="C18" s="53">
        <v>2</v>
      </c>
      <c r="D18" s="62">
        <v>2500000</v>
      </c>
      <c r="E18" s="54">
        <f t="shared" si="0"/>
        <v>5000000</v>
      </c>
      <c r="F18" s="53">
        <v>1</v>
      </c>
      <c r="G18" s="59">
        <v>1800000</v>
      </c>
      <c r="H18" s="54">
        <f t="shared" si="1"/>
        <v>1800000</v>
      </c>
      <c r="I18" s="53"/>
      <c r="J18" s="62">
        <v>7000</v>
      </c>
      <c r="K18" s="54">
        <f t="shared" si="2"/>
        <v>0</v>
      </c>
      <c r="L18" s="67"/>
      <c r="M18" s="62">
        <v>5000</v>
      </c>
      <c r="N18" s="54">
        <f t="shared" si="3"/>
        <v>0</v>
      </c>
      <c r="O18" s="54">
        <f t="shared" si="4"/>
        <v>6800000</v>
      </c>
    </row>
    <row r="19" spans="1:15" x14ac:dyDescent="0.3">
      <c r="A19" s="66">
        <v>16</v>
      </c>
      <c r="B19" s="52">
        <v>45482</v>
      </c>
      <c r="C19" s="53">
        <v>1</v>
      </c>
      <c r="D19" s="62">
        <v>2500000</v>
      </c>
      <c r="E19" s="54">
        <f t="shared" si="0"/>
        <v>2500000</v>
      </c>
      <c r="F19" s="53">
        <v>2</v>
      </c>
      <c r="G19" s="59">
        <v>1800000</v>
      </c>
      <c r="H19" s="54">
        <f t="shared" si="1"/>
        <v>3600000</v>
      </c>
      <c r="I19" s="53"/>
      <c r="J19" s="62">
        <v>7000</v>
      </c>
      <c r="K19" s="54">
        <f t="shared" si="2"/>
        <v>0</v>
      </c>
      <c r="L19" s="67"/>
      <c r="M19" s="62">
        <v>5000</v>
      </c>
      <c r="N19" s="54">
        <f t="shared" si="3"/>
        <v>0</v>
      </c>
      <c r="O19" s="54">
        <f t="shared" si="4"/>
        <v>6100000</v>
      </c>
    </row>
    <row r="20" spans="1:15" x14ac:dyDescent="0.3">
      <c r="A20" s="66">
        <v>17</v>
      </c>
      <c r="B20" s="52">
        <v>45483</v>
      </c>
      <c r="C20" s="53">
        <v>2</v>
      </c>
      <c r="D20" s="62">
        <v>2500000</v>
      </c>
      <c r="E20" s="54">
        <f>D20*C20</f>
        <v>5000000</v>
      </c>
      <c r="F20" s="53">
        <v>2</v>
      </c>
      <c r="G20" s="59">
        <v>1800000</v>
      </c>
      <c r="H20" s="54">
        <f t="shared" si="1"/>
        <v>3600000</v>
      </c>
      <c r="I20" s="53"/>
      <c r="J20" s="62">
        <v>7000</v>
      </c>
      <c r="K20" s="54">
        <f t="shared" si="2"/>
        <v>0</v>
      </c>
      <c r="L20" s="67"/>
      <c r="M20" s="62">
        <v>5000</v>
      </c>
      <c r="N20" s="54">
        <f t="shared" si="3"/>
        <v>0</v>
      </c>
      <c r="O20" s="54">
        <f t="shared" si="4"/>
        <v>8600000</v>
      </c>
    </row>
    <row r="21" spans="1:15" x14ac:dyDescent="0.3">
      <c r="A21" s="66">
        <v>18</v>
      </c>
      <c r="B21" s="52">
        <v>45484</v>
      </c>
      <c r="C21" s="53">
        <v>2</v>
      </c>
      <c r="D21" s="62">
        <v>2500000</v>
      </c>
      <c r="E21" s="54">
        <f>D21*C21</f>
        <v>5000000</v>
      </c>
      <c r="F21" s="53">
        <v>2</v>
      </c>
      <c r="G21" s="59">
        <v>1800000</v>
      </c>
      <c r="H21" s="54">
        <f>G21*F21</f>
        <v>3600000</v>
      </c>
      <c r="I21" s="53"/>
      <c r="J21" s="62">
        <v>7000</v>
      </c>
      <c r="K21" s="54">
        <f t="shared" si="2"/>
        <v>0</v>
      </c>
      <c r="L21" s="67"/>
      <c r="M21" s="62">
        <v>5000</v>
      </c>
      <c r="N21" s="54">
        <f t="shared" si="3"/>
        <v>0</v>
      </c>
      <c r="O21" s="54">
        <f t="shared" si="4"/>
        <v>8600000</v>
      </c>
    </row>
    <row r="22" spans="1:15" x14ac:dyDescent="0.3">
      <c r="A22" s="66">
        <v>19</v>
      </c>
      <c r="B22" s="52">
        <v>45485</v>
      </c>
      <c r="C22" s="53">
        <v>2</v>
      </c>
      <c r="D22" s="62">
        <v>2500000</v>
      </c>
      <c r="E22" s="54">
        <f>D22*C22</f>
        <v>5000000</v>
      </c>
      <c r="F22" s="53">
        <v>2</v>
      </c>
      <c r="G22" s="59">
        <v>1800000</v>
      </c>
      <c r="H22" s="54">
        <f>G22*F22</f>
        <v>3600000</v>
      </c>
      <c r="I22" s="53"/>
      <c r="J22" s="62">
        <v>7000</v>
      </c>
      <c r="K22" s="54">
        <f t="shared" si="2"/>
        <v>0</v>
      </c>
      <c r="L22" s="67"/>
      <c r="M22" s="62">
        <v>5000</v>
      </c>
      <c r="N22" s="54">
        <f t="shared" si="3"/>
        <v>0</v>
      </c>
      <c r="O22" s="54">
        <f t="shared" si="4"/>
        <v>8600000</v>
      </c>
    </row>
    <row r="23" spans="1:15" x14ac:dyDescent="0.3">
      <c r="A23" s="66">
        <v>20</v>
      </c>
      <c r="B23" s="52">
        <v>45486</v>
      </c>
      <c r="C23" s="53">
        <v>1</v>
      </c>
      <c r="D23" s="62">
        <v>2500000</v>
      </c>
      <c r="E23" s="54">
        <f>D23*C23</f>
        <v>2500000</v>
      </c>
      <c r="F23" s="68">
        <v>2</v>
      </c>
      <c r="G23" s="59">
        <v>1800000</v>
      </c>
      <c r="H23" s="54">
        <f t="shared" si="1"/>
        <v>3600000</v>
      </c>
      <c r="I23" s="53"/>
      <c r="J23" s="62">
        <v>7000</v>
      </c>
      <c r="K23" s="54">
        <f t="shared" si="2"/>
        <v>0</v>
      </c>
      <c r="L23" s="67"/>
      <c r="M23" s="62">
        <v>5000</v>
      </c>
      <c r="N23" s="54">
        <f t="shared" si="3"/>
        <v>0</v>
      </c>
      <c r="O23" s="54">
        <f t="shared" si="4"/>
        <v>6100000</v>
      </c>
    </row>
    <row r="24" spans="1:15" x14ac:dyDescent="0.3">
      <c r="A24" s="66">
        <v>21</v>
      </c>
      <c r="B24" s="52">
        <v>45487</v>
      </c>
      <c r="C24" s="53">
        <v>1</v>
      </c>
      <c r="D24" s="62">
        <v>2500000</v>
      </c>
      <c r="E24" s="54">
        <f t="shared" si="0"/>
        <v>2500000</v>
      </c>
      <c r="F24" s="53">
        <v>0</v>
      </c>
      <c r="G24" s="59">
        <v>1800000</v>
      </c>
      <c r="H24" s="54">
        <f t="shared" si="1"/>
        <v>0</v>
      </c>
      <c r="I24" s="53"/>
      <c r="J24" s="62">
        <v>7000</v>
      </c>
      <c r="K24" s="54">
        <f t="shared" si="2"/>
        <v>0</v>
      </c>
      <c r="L24" s="67"/>
      <c r="M24" s="62">
        <v>5000</v>
      </c>
      <c r="N24" s="54">
        <f t="shared" si="3"/>
        <v>0</v>
      </c>
      <c r="O24" s="54">
        <f t="shared" si="4"/>
        <v>2500000</v>
      </c>
    </row>
    <row r="25" spans="1:15" x14ac:dyDescent="0.3">
      <c r="A25" s="66">
        <v>22</v>
      </c>
      <c r="B25" s="52">
        <v>45488</v>
      </c>
      <c r="C25" s="53">
        <v>2</v>
      </c>
      <c r="D25" s="62">
        <v>2500000</v>
      </c>
      <c r="E25" s="54">
        <f t="shared" si="0"/>
        <v>5000000</v>
      </c>
      <c r="F25" s="53">
        <v>2</v>
      </c>
      <c r="G25" s="59">
        <v>1800000</v>
      </c>
      <c r="H25" s="54">
        <f t="shared" si="1"/>
        <v>3600000</v>
      </c>
      <c r="I25" s="53"/>
      <c r="J25" s="62">
        <v>7000</v>
      </c>
      <c r="K25" s="54">
        <f t="shared" si="2"/>
        <v>0</v>
      </c>
      <c r="L25" s="67"/>
      <c r="M25" s="62">
        <v>5000</v>
      </c>
      <c r="N25" s="54">
        <f t="shared" si="3"/>
        <v>0</v>
      </c>
      <c r="O25" s="54">
        <f t="shared" si="4"/>
        <v>8600000</v>
      </c>
    </row>
    <row r="26" spans="1:15" x14ac:dyDescent="0.3">
      <c r="A26" s="66">
        <v>23</v>
      </c>
      <c r="B26" s="52">
        <v>45489</v>
      </c>
      <c r="C26" s="53">
        <v>2</v>
      </c>
      <c r="D26" s="62">
        <v>2500000</v>
      </c>
      <c r="E26" s="54">
        <f t="shared" si="0"/>
        <v>5000000</v>
      </c>
      <c r="F26" s="53">
        <v>2</v>
      </c>
      <c r="G26" s="59">
        <v>1800000</v>
      </c>
      <c r="H26" s="54">
        <f t="shared" si="1"/>
        <v>3600000</v>
      </c>
      <c r="I26" s="53"/>
      <c r="J26" s="62">
        <v>7000</v>
      </c>
      <c r="K26" s="54">
        <f t="shared" si="2"/>
        <v>0</v>
      </c>
      <c r="L26" s="67"/>
      <c r="M26" s="62">
        <v>5000</v>
      </c>
      <c r="N26" s="54">
        <f t="shared" si="3"/>
        <v>0</v>
      </c>
      <c r="O26" s="54">
        <f t="shared" si="4"/>
        <v>8600000</v>
      </c>
    </row>
    <row r="27" spans="1:15" x14ac:dyDescent="0.3">
      <c r="A27" s="66">
        <v>24</v>
      </c>
      <c r="B27" s="52">
        <v>45490</v>
      </c>
      <c r="C27" s="53">
        <v>2</v>
      </c>
      <c r="D27" s="62">
        <v>2500000</v>
      </c>
      <c r="E27" s="54">
        <f t="shared" si="0"/>
        <v>5000000</v>
      </c>
      <c r="F27" s="53">
        <v>2</v>
      </c>
      <c r="G27" s="59">
        <v>1800000</v>
      </c>
      <c r="H27" s="54">
        <f t="shared" si="1"/>
        <v>3600000</v>
      </c>
      <c r="I27" s="53"/>
      <c r="J27" s="62">
        <v>7000</v>
      </c>
      <c r="K27" s="54">
        <f t="shared" si="2"/>
        <v>0</v>
      </c>
      <c r="L27" s="67"/>
      <c r="M27" s="62">
        <v>5000</v>
      </c>
      <c r="N27" s="54">
        <f t="shared" si="3"/>
        <v>0</v>
      </c>
      <c r="O27" s="54">
        <f t="shared" si="4"/>
        <v>8600000</v>
      </c>
    </row>
    <row r="28" spans="1:15" x14ac:dyDescent="0.3">
      <c r="A28" s="66">
        <v>25</v>
      </c>
      <c r="B28" s="52">
        <v>45491</v>
      </c>
      <c r="C28" s="53">
        <v>3</v>
      </c>
      <c r="D28" s="62">
        <v>2500000</v>
      </c>
      <c r="E28" s="54">
        <f t="shared" si="0"/>
        <v>7500000</v>
      </c>
      <c r="F28" s="53">
        <v>2</v>
      </c>
      <c r="G28" s="59">
        <v>1800000</v>
      </c>
      <c r="H28" s="54">
        <f t="shared" si="1"/>
        <v>3600000</v>
      </c>
      <c r="I28" s="53"/>
      <c r="J28" s="62">
        <v>7000</v>
      </c>
      <c r="K28" s="54">
        <f t="shared" si="2"/>
        <v>0</v>
      </c>
      <c r="L28" s="67"/>
      <c r="M28" s="62">
        <v>5000</v>
      </c>
      <c r="N28" s="54">
        <f t="shared" si="3"/>
        <v>0</v>
      </c>
      <c r="O28" s="54">
        <f t="shared" si="4"/>
        <v>11100000</v>
      </c>
    </row>
    <row r="29" spans="1:15" x14ac:dyDescent="0.3">
      <c r="A29" s="66">
        <v>26</v>
      </c>
      <c r="B29" s="52">
        <v>45492</v>
      </c>
      <c r="C29" s="53">
        <v>2</v>
      </c>
      <c r="D29" s="62">
        <v>2500000</v>
      </c>
      <c r="E29" s="54">
        <f t="shared" si="0"/>
        <v>5000000</v>
      </c>
      <c r="F29" s="53">
        <v>2</v>
      </c>
      <c r="G29" s="59">
        <v>1800000</v>
      </c>
      <c r="H29" s="54">
        <f t="shared" si="1"/>
        <v>3600000</v>
      </c>
      <c r="I29" s="53"/>
      <c r="J29" s="62">
        <v>7000</v>
      </c>
      <c r="K29" s="54">
        <f t="shared" si="2"/>
        <v>0</v>
      </c>
      <c r="L29" s="67"/>
      <c r="M29" s="62">
        <v>5000</v>
      </c>
      <c r="N29" s="54">
        <f t="shared" si="3"/>
        <v>0</v>
      </c>
      <c r="O29" s="54">
        <f t="shared" si="4"/>
        <v>8600000</v>
      </c>
    </row>
    <row r="30" spans="1:15" x14ac:dyDescent="0.3">
      <c r="A30" s="66">
        <v>27</v>
      </c>
      <c r="B30" s="52">
        <v>45493</v>
      </c>
      <c r="C30" s="53">
        <v>2</v>
      </c>
      <c r="D30" s="62">
        <v>2500000</v>
      </c>
      <c r="E30" s="54">
        <f t="shared" si="0"/>
        <v>5000000</v>
      </c>
      <c r="F30" s="53">
        <v>2</v>
      </c>
      <c r="G30" s="59">
        <v>1800000</v>
      </c>
      <c r="H30" s="54">
        <f t="shared" si="1"/>
        <v>3600000</v>
      </c>
      <c r="I30" s="53"/>
      <c r="J30" s="62">
        <v>7000</v>
      </c>
      <c r="K30" s="54">
        <f>J30*I30</f>
        <v>0</v>
      </c>
      <c r="L30" s="67"/>
      <c r="M30" s="62">
        <v>5000</v>
      </c>
      <c r="N30" s="54">
        <f t="shared" si="3"/>
        <v>0</v>
      </c>
      <c r="O30" s="54">
        <f t="shared" si="4"/>
        <v>8600000</v>
      </c>
    </row>
    <row r="31" spans="1:15" x14ac:dyDescent="0.3">
      <c r="A31" s="66">
        <v>28</v>
      </c>
      <c r="B31" s="52">
        <v>45494</v>
      </c>
      <c r="C31" s="53">
        <v>0</v>
      </c>
      <c r="D31" s="62">
        <v>2500000</v>
      </c>
      <c r="E31" s="54">
        <f t="shared" si="0"/>
        <v>0</v>
      </c>
      <c r="F31" s="53">
        <v>2</v>
      </c>
      <c r="G31" s="59">
        <v>1800000</v>
      </c>
      <c r="H31" s="54">
        <f t="shared" si="1"/>
        <v>3600000</v>
      </c>
      <c r="I31" s="53"/>
      <c r="J31" s="62">
        <v>7000</v>
      </c>
      <c r="K31" s="54">
        <f>J31*I31</f>
        <v>0</v>
      </c>
      <c r="L31" s="67"/>
      <c r="M31" s="62">
        <v>5000</v>
      </c>
      <c r="N31" s="54">
        <f t="shared" si="3"/>
        <v>0</v>
      </c>
      <c r="O31" s="54">
        <f t="shared" si="4"/>
        <v>3600000</v>
      </c>
    </row>
    <row r="32" spans="1:15" x14ac:dyDescent="0.3">
      <c r="A32" s="66">
        <v>29</v>
      </c>
      <c r="B32" s="52">
        <v>45495</v>
      </c>
      <c r="C32" s="53">
        <v>2</v>
      </c>
      <c r="D32" s="62">
        <v>2500000</v>
      </c>
      <c r="E32" s="54">
        <f t="shared" si="0"/>
        <v>5000000</v>
      </c>
      <c r="F32" s="53">
        <v>2</v>
      </c>
      <c r="G32" s="59">
        <v>1800000</v>
      </c>
      <c r="H32" s="54">
        <f t="shared" si="1"/>
        <v>3600000</v>
      </c>
      <c r="I32" s="53"/>
      <c r="J32" s="62">
        <v>7000</v>
      </c>
      <c r="K32" s="54">
        <f>J32*I32</f>
        <v>0</v>
      </c>
      <c r="L32" s="67"/>
      <c r="M32" s="62">
        <v>5000</v>
      </c>
      <c r="N32" s="54">
        <f t="shared" si="3"/>
        <v>0</v>
      </c>
      <c r="O32" s="54">
        <f t="shared" si="4"/>
        <v>8600000</v>
      </c>
    </row>
    <row r="33" spans="1:15" x14ac:dyDescent="0.3">
      <c r="A33" s="66">
        <v>30</v>
      </c>
      <c r="B33" s="52">
        <v>45496</v>
      </c>
      <c r="C33" s="53"/>
      <c r="D33" s="62">
        <v>2500000</v>
      </c>
      <c r="E33" s="54">
        <f t="shared" ref="E33" si="5">D33*C33</f>
        <v>0</v>
      </c>
      <c r="F33" s="53">
        <v>2</v>
      </c>
      <c r="G33" s="59">
        <v>1800000</v>
      </c>
      <c r="H33" s="54">
        <f t="shared" ref="H33" si="6">G33*F33</f>
        <v>3600000</v>
      </c>
      <c r="I33" s="53"/>
      <c r="J33" s="62">
        <v>7000</v>
      </c>
      <c r="K33" s="54">
        <f>J33*I33</f>
        <v>0</v>
      </c>
      <c r="L33" s="67"/>
      <c r="M33" s="62">
        <v>5000</v>
      </c>
      <c r="N33" s="54">
        <f t="shared" ref="N33" si="7">L33*M33</f>
        <v>0</v>
      </c>
      <c r="O33" s="54">
        <f t="shared" ref="O33" si="8">E33+H33+N33+K33</f>
        <v>3600000</v>
      </c>
    </row>
    <row r="34" spans="1:15" x14ac:dyDescent="0.3">
      <c r="A34" s="167"/>
      <c r="B34" s="168"/>
      <c r="C34" s="1">
        <f>SUM(C4:C33)</f>
        <v>46</v>
      </c>
      <c r="D34" s="1"/>
      <c r="E34" s="2">
        <f>SUM(E4:E32)</f>
        <v>115000000</v>
      </c>
      <c r="F34" s="2">
        <f>SUM(F4:F33)</f>
        <v>55</v>
      </c>
      <c r="G34" s="2"/>
      <c r="H34" s="2">
        <f>SUM(H4:H33)</f>
        <v>99000000</v>
      </c>
      <c r="I34" s="2">
        <f>SUM(I4:I28)</f>
        <v>0</v>
      </c>
      <c r="J34" s="2"/>
      <c r="K34" s="2">
        <f>SUM(K4:K32)</f>
        <v>0</v>
      </c>
      <c r="L34" s="2">
        <f>SUM(L4:L33)</f>
        <v>3120</v>
      </c>
      <c r="M34" s="2"/>
      <c r="N34" s="2">
        <f>SUM(N4:N33)</f>
        <v>15600000</v>
      </c>
      <c r="O34" s="2">
        <f>SUM(O4:O33)</f>
        <v>229600000</v>
      </c>
    </row>
    <row r="35" spans="1:15" x14ac:dyDescent="0.3">
      <c r="A35" s="65"/>
      <c r="B35" s="164" t="s">
        <v>34</v>
      </c>
      <c r="C35" s="164"/>
      <c r="D35" s="164"/>
      <c r="E35" s="164"/>
      <c r="F35" s="34"/>
      <c r="G35" s="35"/>
      <c r="H35" s="36"/>
      <c r="I35" s="36"/>
      <c r="J35" s="36"/>
      <c r="K35" s="36"/>
      <c r="L35" s="164" t="s">
        <v>34</v>
      </c>
      <c r="M35" s="164"/>
      <c r="N35" s="164"/>
      <c r="O35" s="164"/>
    </row>
    <row r="36" spans="1:15" x14ac:dyDescent="0.3">
      <c r="B36" s="118" t="s">
        <v>37</v>
      </c>
      <c r="C36" s="118"/>
      <c r="D36" s="118"/>
      <c r="E36" s="118"/>
      <c r="F36" s="37"/>
      <c r="G36" s="56"/>
      <c r="H36" s="37"/>
      <c r="I36" s="37"/>
      <c r="J36" s="37"/>
      <c r="K36" s="37"/>
      <c r="L36" s="118" t="s">
        <v>38</v>
      </c>
      <c r="M36" s="118"/>
      <c r="N36" s="118"/>
      <c r="O36" s="118"/>
    </row>
    <row r="38" spans="1:15" x14ac:dyDescent="0.3">
      <c r="G38" s="69">
        <f>E34+H34</f>
        <v>214000000</v>
      </c>
    </row>
  </sheetData>
  <mergeCells count="11">
    <mergeCell ref="A3:B3"/>
    <mergeCell ref="A1:O1"/>
    <mergeCell ref="C2:E2"/>
    <mergeCell ref="F2:H2"/>
    <mergeCell ref="I2:K2"/>
    <mergeCell ref="L2:N2"/>
    <mergeCell ref="A34:B34"/>
    <mergeCell ref="B35:E35"/>
    <mergeCell ref="L35:O35"/>
    <mergeCell ref="B36:E36"/>
    <mergeCell ref="L36:O36"/>
  </mergeCells>
  <pageMargins left="0.19" right="0.17" top="0.5" bottom="0.75" header="0.3" footer="0.3"/>
  <pageSetup paperSize="9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38"/>
  <sheetViews>
    <sheetView view="pageBreakPreview" topLeftCell="A3" zoomScaleNormal="100" zoomScaleSheetLayoutView="100" workbookViewId="0">
      <selection activeCell="A34" sqref="A34:B34"/>
    </sheetView>
  </sheetViews>
  <sheetFormatPr defaultColWidth="9.36328125" defaultRowHeight="12" x14ac:dyDescent="0.3"/>
  <cols>
    <col min="1" max="1" width="3.36328125" style="32" customWidth="1"/>
    <col min="2" max="2" width="9.36328125" style="32" customWidth="1"/>
    <col min="3" max="3" width="6.6328125" style="32" customWidth="1"/>
    <col min="4" max="4" width="9.36328125" style="32" customWidth="1"/>
    <col min="5" max="5" width="12.36328125" style="32" customWidth="1"/>
    <col min="6" max="6" width="6.453125" style="32" customWidth="1"/>
    <col min="7" max="7" width="13.36328125" style="38" customWidth="1"/>
    <col min="8" max="8" width="12.6328125" style="32" customWidth="1"/>
    <col min="9" max="9" width="8.36328125" style="32" customWidth="1"/>
    <col min="10" max="10" width="9.36328125" style="32" customWidth="1"/>
    <col min="11" max="11" width="11.6328125" style="32" customWidth="1"/>
    <col min="12" max="12" width="7.54296875" style="32" customWidth="1"/>
    <col min="13" max="13" width="8.54296875" style="32" customWidth="1"/>
    <col min="14" max="14" width="11.54296875" style="32" customWidth="1"/>
    <col min="15" max="15" width="11.6328125" style="32" customWidth="1"/>
    <col min="16" max="16384" width="9.36328125" style="32"/>
  </cols>
  <sheetData>
    <row r="1" spans="1:15" ht="16.5" customHeight="1" x14ac:dyDescent="0.3">
      <c r="A1" s="156" t="s">
        <v>44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</row>
    <row r="2" spans="1:15" ht="24" customHeight="1" x14ac:dyDescent="0.3">
      <c r="A2" s="39" t="s">
        <v>21</v>
      </c>
      <c r="B2" s="40" t="s">
        <v>22</v>
      </c>
      <c r="C2" s="159" t="s">
        <v>23</v>
      </c>
      <c r="D2" s="159"/>
      <c r="E2" s="159"/>
      <c r="F2" s="159" t="s">
        <v>24</v>
      </c>
      <c r="G2" s="159"/>
      <c r="H2" s="159"/>
      <c r="I2" s="160" t="s">
        <v>25</v>
      </c>
      <c r="J2" s="161"/>
      <c r="K2" s="162"/>
      <c r="L2" s="159" t="s">
        <v>26</v>
      </c>
      <c r="M2" s="159"/>
      <c r="N2" s="159"/>
      <c r="O2" s="41" t="s">
        <v>27</v>
      </c>
    </row>
    <row r="3" spans="1:15" ht="33" customHeight="1" x14ac:dyDescent="0.3">
      <c r="A3" s="158" t="s">
        <v>28</v>
      </c>
      <c r="B3" s="158"/>
      <c r="C3" s="42" t="s">
        <v>29</v>
      </c>
      <c r="D3" s="43" t="s">
        <v>30</v>
      </c>
      <c r="E3" s="44" t="s">
        <v>31</v>
      </c>
      <c r="F3" s="45" t="s">
        <v>29</v>
      </c>
      <c r="G3" s="46" t="s">
        <v>30</v>
      </c>
      <c r="H3" s="44" t="s">
        <v>32</v>
      </c>
      <c r="I3" s="47" t="s">
        <v>29</v>
      </c>
      <c r="J3" s="43" t="s">
        <v>30</v>
      </c>
      <c r="K3" s="44" t="s">
        <v>32</v>
      </c>
      <c r="L3" s="47" t="s">
        <v>33</v>
      </c>
      <c r="M3" s="43" t="s">
        <v>30</v>
      </c>
      <c r="N3" s="44" t="s">
        <v>32</v>
      </c>
      <c r="O3" s="48"/>
    </row>
    <row r="4" spans="1:15" x14ac:dyDescent="0.3">
      <c r="A4" s="66">
        <v>1</v>
      </c>
      <c r="B4" s="52">
        <v>45496</v>
      </c>
      <c r="C4" s="53">
        <v>2</v>
      </c>
      <c r="D4" s="62">
        <v>2500000</v>
      </c>
      <c r="E4" s="54">
        <f t="shared" ref="E4:E35" si="0">D4*C4</f>
        <v>5000000</v>
      </c>
      <c r="F4" s="53">
        <v>0</v>
      </c>
      <c r="G4" s="59">
        <v>1800000</v>
      </c>
      <c r="H4" s="54">
        <f t="shared" ref="H4:H35" si="1">G4*F4</f>
        <v>0</v>
      </c>
      <c r="I4" s="53"/>
      <c r="J4" s="62">
        <v>7000</v>
      </c>
      <c r="K4" s="54">
        <f t="shared" ref="K4:K30" si="2">J4*I4</f>
        <v>0</v>
      </c>
      <c r="L4" s="67"/>
      <c r="M4" s="62">
        <v>5000</v>
      </c>
      <c r="N4" s="54">
        <f t="shared" ref="N4:N35" si="3">L4*M4</f>
        <v>0</v>
      </c>
      <c r="O4" s="54">
        <f t="shared" ref="O4:O35" si="4">E4+H4+N4+K4</f>
        <v>5000000</v>
      </c>
    </row>
    <row r="5" spans="1:15" x14ac:dyDescent="0.3">
      <c r="A5" s="66">
        <v>2</v>
      </c>
      <c r="B5" s="52">
        <v>45497</v>
      </c>
      <c r="C5" s="53">
        <v>3</v>
      </c>
      <c r="D5" s="62">
        <v>2500000</v>
      </c>
      <c r="E5" s="54">
        <f t="shared" ref="E5" si="5">D5*C5</f>
        <v>7500000</v>
      </c>
      <c r="F5" s="53">
        <v>1</v>
      </c>
      <c r="G5" s="59">
        <v>1800000</v>
      </c>
      <c r="H5" s="54">
        <f t="shared" ref="H5" si="6">G5*F5</f>
        <v>1800000</v>
      </c>
      <c r="I5" s="53"/>
      <c r="J5" s="62">
        <v>7000</v>
      </c>
      <c r="K5" s="54">
        <f t="shared" ref="K5" si="7">J5*I5</f>
        <v>0</v>
      </c>
      <c r="L5" s="67"/>
      <c r="M5" s="62">
        <v>5000</v>
      </c>
      <c r="N5" s="54">
        <f t="shared" ref="N5" si="8">L5*M5</f>
        <v>0</v>
      </c>
      <c r="O5" s="54">
        <f t="shared" ref="O5" si="9">E5+H5+N5+K5</f>
        <v>9300000</v>
      </c>
    </row>
    <row r="6" spans="1:15" x14ac:dyDescent="0.3">
      <c r="A6" s="66">
        <v>3</v>
      </c>
      <c r="B6" s="52">
        <v>45498</v>
      </c>
      <c r="C6" s="53">
        <v>2</v>
      </c>
      <c r="D6" s="62">
        <v>2500000</v>
      </c>
      <c r="E6" s="54">
        <f t="shared" si="0"/>
        <v>5000000</v>
      </c>
      <c r="F6" s="53">
        <v>3</v>
      </c>
      <c r="G6" s="59">
        <v>1800000</v>
      </c>
      <c r="H6" s="54">
        <f t="shared" si="1"/>
        <v>5400000</v>
      </c>
      <c r="I6" s="53"/>
      <c r="J6" s="62">
        <v>7000</v>
      </c>
      <c r="K6" s="54">
        <f t="shared" si="2"/>
        <v>0</v>
      </c>
      <c r="L6" s="67"/>
      <c r="M6" s="62">
        <v>5000</v>
      </c>
      <c r="N6" s="54">
        <f t="shared" si="3"/>
        <v>0</v>
      </c>
      <c r="O6" s="54">
        <f t="shared" si="4"/>
        <v>10400000</v>
      </c>
    </row>
    <row r="7" spans="1:15" x14ac:dyDescent="0.3">
      <c r="A7" s="66">
        <v>4</v>
      </c>
      <c r="B7" s="52">
        <v>45499</v>
      </c>
      <c r="C7" s="53">
        <v>2</v>
      </c>
      <c r="D7" s="62">
        <v>2500000</v>
      </c>
      <c r="E7" s="54">
        <f t="shared" si="0"/>
        <v>5000000</v>
      </c>
      <c r="F7" s="53">
        <v>2</v>
      </c>
      <c r="G7" s="59">
        <v>1800000</v>
      </c>
      <c r="H7" s="54">
        <f t="shared" si="1"/>
        <v>3600000</v>
      </c>
      <c r="I7" s="53"/>
      <c r="J7" s="62">
        <v>7000</v>
      </c>
      <c r="K7" s="54">
        <f t="shared" si="2"/>
        <v>0</v>
      </c>
      <c r="L7" s="67"/>
      <c r="M7" s="62">
        <v>5000</v>
      </c>
      <c r="N7" s="54">
        <f t="shared" si="3"/>
        <v>0</v>
      </c>
      <c r="O7" s="54">
        <f t="shared" si="4"/>
        <v>8600000</v>
      </c>
    </row>
    <row r="8" spans="1:15" x14ac:dyDescent="0.3">
      <c r="A8" s="66">
        <v>5</v>
      </c>
      <c r="B8" s="52">
        <v>45500</v>
      </c>
      <c r="C8" s="53">
        <v>1</v>
      </c>
      <c r="D8" s="62">
        <v>2500000</v>
      </c>
      <c r="E8" s="54">
        <f t="shared" si="0"/>
        <v>2500000</v>
      </c>
      <c r="F8" s="53">
        <v>2</v>
      </c>
      <c r="G8" s="59">
        <v>1800000</v>
      </c>
      <c r="H8" s="54">
        <f t="shared" si="1"/>
        <v>3600000</v>
      </c>
      <c r="I8" s="53"/>
      <c r="J8" s="62">
        <v>7000</v>
      </c>
      <c r="K8" s="54">
        <f t="shared" si="2"/>
        <v>0</v>
      </c>
      <c r="L8" s="67"/>
      <c r="M8" s="62">
        <v>5000</v>
      </c>
      <c r="N8" s="54">
        <f t="shared" si="3"/>
        <v>0</v>
      </c>
      <c r="O8" s="54">
        <f t="shared" si="4"/>
        <v>6100000</v>
      </c>
    </row>
    <row r="9" spans="1:15" ht="11.75" customHeight="1" x14ac:dyDescent="0.3">
      <c r="A9" s="66">
        <v>6</v>
      </c>
      <c r="B9" s="52">
        <v>45501</v>
      </c>
      <c r="C9" s="53">
        <v>0</v>
      </c>
      <c r="D9" s="62">
        <v>2500000</v>
      </c>
      <c r="E9" s="54">
        <f>D9*C9</f>
        <v>0</v>
      </c>
      <c r="F9" s="53">
        <v>1</v>
      </c>
      <c r="G9" s="59">
        <v>1800000</v>
      </c>
      <c r="H9" s="54">
        <f t="shared" si="1"/>
        <v>1800000</v>
      </c>
      <c r="I9" s="53"/>
      <c r="J9" s="62">
        <v>7000</v>
      </c>
      <c r="K9" s="54">
        <f t="shared" si="2"/>
        <v>0</v>
      </c>
      <c r="L9" s="67"/>
      <c r="M9" s="62">
        <v>5000</v>
      </c>
      <c r="N9" s="54">
        <f t="shared" si="3"/>
        <v>0</v>
      </c>
      <c r="O9" s="54">
        <f>E9+H9+N9+K9</f>
        <v>1800000</v>
      </c>
    </row>
    <row r="10" spans="1:15" x14ac:dyDescent="0.3">
      <c r="A10" s="66">
        <v>7</v>
      </c>
      <c r="B10" s="52">
        <v>45502</v>
      </c>
      <c r="C10" s="53">
        <v>2</v>
      </c>
      <c r="D10" s="62">
        <v>2500000</v>
      </c>
      <c r="E10" s="54">
        <f>D10*C10</f>
        <v>5000000</v>
      </c>
      <c r="F10" s="53">
        <v>2</v>
      </c>
      <c r="G10" s="59">
        <v>1800000</v>
      </c>
      <c r="H10" s="54">
        <f>G10*F10</f>
        <v>3600000</v>
      </c>
      <c r="I10" s="53"/>
      <c r="J10" s="62">
        <v>7000</v>
      </c>
      <c r="K10" s="54"/>
      <c r="L10" s="67"/>
      <c r="M10" s="62">
        <v>5000</v>
      </c>
      <c r="N10" s="54">
        <f t="shared" si="3"/>
        <v>0</v>
      </c>
      <c r="O10" s="54">
        <f t="shared" si="4"/>
        <v>8600000</v>
      </c>
    </row>
    <row r="11" spans="1:15" x14ac:dyDescent="0.3">
      <c r="A11" s="66">
        <v>8</v>
      </c>
      <c r="B11" s="52">
        <v>45503</v>
      </c>
      <c r="C11" s="53">
        <v>2</v>
      </c>
      <c r="D11" s="62">
        <v>2500000</v>
      </c>
      <c r="E11" s="54">
        <f>D11*C11</f>
        <v>5000000</v>
      </c>
      <c r="F11" s="53">
        <v>2</v>
      </c>
      <c r="G11" s="59">
        <v>1800000</v>
      </c>
      <c r="H11" s="54">
        <f t="shared" si="1"/>
        <v>3600000</v>
      </c>
      <c r="I11" s="53"/>
      <c r="J11" s="62">
        <v>7000</v>
      </c>
      <c r="K11" s="54">
        <f t="shared" si="2"/>
        <v>0</v>
      </c>
      <c r="L11" s="67"/>
      <c r="M11" s="62">
        <v>5000</v>
      </c>
      <c r="N11" s="54">
        <f t="shared" si="3"/>
        <v>0</v>
      </c>
      <c r="O11" s="54">
        <f t="shared" si="4"/>
        <v>8600000</v>
      </c>
    </row>
    <row r="12" spans="1:15" x14ac:dyDescent="0.3">
      <c r="A12" s="66">
        <v>9</v>
      </c>
      <c r="B12" s="52">
        <v>45504</v>
      </c>
      <c r="C12" s="53">
        <v>2</v>
      </c>
      <c r="D12" s="62">
        <v>2500000</v>
      </c>
      <c r="E12" s="54">
        <f>D12*C12</f>
        <v>5000000</v>
      </c>
      <c r="F12" s="53">
        <v>2</v>
      </c>
      <c r="G12" s="59">
        <v>1800000</v>
      </c>
      <c r="H12" s="54">
        <f t="shared" si="1"/>
        <v>3600000</v>
      </c>
      <c r="I12" s="53"/>
      <c r="J12" s="62">
        <v>7000</v>
      </c>
      <c r="K12" s="54">
        <f t="shared" si="2"/>
        <v>0</v>
      </c>
      <c r="L12" s="67"/>
      <c r="M12" s="62">
        <v>5000</v>
      </c>
      <c r="N12" s="54">
        <f t="shared" si="3"/>
        <v>0</v>
      </c>
      <c r="O12" s="54">
        <f t="shared" si="4"/>
        <v>8600000</v>
      </c>
    </row>
    <row r="13" spans="1:15" x14ac:dyDescent="0.3">
      <c r="A13" s="66">
        <v>10</v>
      </c>
      <c r="B13" s="52">
        <v>45505</v>
      </c>
      <c r="C13" s="53">
        <v>1</v>
      </c>
      <c r="D13" s="62">
        <v>2500000</v>
      </c>
      <c r="E13" s="54">
        <f t="shared" si="0"/>
        <v>2500000</v>
      </c>
      <c r="F13" s="53">
        <v>2</v>
      </c>
      <c r="G13" s="59">
        <v>1800000</v>
      </c>
      <c r="H13" s="54">
        <f t="shared" si="1"/>
        <v>3600000</v>
      </c>
      <c r="I13" s="53"/>
      <c r="J13" s="62">
        <v>7000</v>
      </c>
      <c r="K13" s="54">
        <f t="shared" si="2"/>
        <v>0</v>
      </c>
      <c r="L13" s="67"/>
      <c r="M13" s="62">
        <v>5000</v>
      </c>
      <c r="N13" s="54">
        <f t="shared" si="3"/>
        <v>0</v>
      </c>
      <c r="O13" s="54">
        <f t="shared" si="4"/>
        <v>6100000</v>
      </c>
    </row>
    <row r="14" spans="1:15" x14ac:dyDescent="0.3">
      <c r="A14" s="66">
        <v>11</v>
      </c>
      <c r="B14" s="52">
        <v>45506</v>
      </c>
      <c r="C14" s="53">
        <v>3</v>
      </c>
      <c r="D14" s="62">
        <v>2500000</v>
      </c>
      <c r="E14" s="54">
        <f t="shared" si="0"/>
        <v>7500000</v>
      </c>
      <c r="F14" s="53">
        <v>2</v>
      </c>
      <c r="G14" s="59">
        <v>1800000</v>
      </c>
      <c r="H14" s="54">
        <f t="shared" si="1"/>
        <v>3600000</v>
      </c>
      <c r="I14" s="53"/>
      <c r="J14" s="62">
        <v>7000</v>
      </c>
      <c r="K14" s="54">
        <f t="shared" si="2"/>
        <v>0</v>
      </c>
      <c r="L14" s="67"/>
      <c r="M14" s="62">
        <v>5000</v>
      </c>
      <c r="N14" s="54">
        <f t="shared" si="3"/>
        <v>0</v>
      </c>
      <c r="O14" s="54">
        <f>E14+H14+N14+K14</f>
        <v>11100000</v>
      </c>
    </row>
    <row r="15" spans="1:15" x14ac:dyDescent="0.3">
      <c r="A15" s="66">
        <v>12</v>
      </c>
      <c r="B15" s="52">
        <v>45507</v>
      </c>
      <c r="C15" s="53">
        <v>1</v>
      </c>
      <c r="D15" s="62">
        <v>2500000</v>
      </c>
      <c r="E15" s="54">
        <f t="shared" si="0"/>
        <v>2500000</v>
      </c>
      <c r="F15" s="53">
        <v>2</v>
      </c>
      <c r="G15" s="59">
        <v>1800000</v>
      </c>
      <c r="H15" s="54">
        <f t="shared" si="1"/>
        <v>3600000</v>
      </c>
      <c r="I15" s="53"/>
      <c r="J15" s="62">
        <v>7000</v>
      </c>
      <c r="K15" s="54">
        <f t="shared" si="2"/>
        <v>0</v>
      </c>
      <c r="L15" s="67"/>
      <c r="M15" s="62">
        <v>5000</v>
      </c>
      <c r="N15" s="54">
        <f t="shared" si="3"/>
        <v>0</v>
      </c>
      <c r="O15" s="54">
        <f t="shared" si="4"/>
        <v>6100000</v>
      </c>
    </row>
    <row r="16" spans="1:15" x14ac:dyDescent="0.3">
      <c r="A16" s="66">
        <v>13</v>
      </c>
      <c r="B16" s="52">
        <v>45508</v>
      </c>
      <c r="C16" s="53">
        <v>1</v>
      </c>
      <c r="D16" s="62">
        <v>2500000</v>
      </c>
      <c r="E16" s="54">
        <f t="shared" si="0"/>
        <v>2500000</v>
      </c>
      <c r="F16" s="53">
        <v>1</v>
      </c>
      <c r="G16" s="59">
        <v>1800000</v>
      </c>
      <c r="H16" s="54">
        <f t="shared" si="1"/>
        <v>1800000</v>
      </c>
      <c r="I16" s="53"/>
      <c r="J16" s="62">
        <v>7000</v>
      </c>
      <c r="K16" s="54">
        <f t="shared" si="2"/>
        <v>0</v>
      </c>
      <c r="L16" s="67"/>
      <c r="M16" s="62">
        <v>5000</v>
      </c>
      <c r="N16" s="54">
        <f t="shared" si="3"/>
        <v>0</v>
      </c>
      <c r="O16" s="54">
        <f t="shared" si="4"/>
        <v>4300000</v>
      </c>
    </row>
    <row r="17" spans="1:15" x14ac:dyDescent="0.3">
      <c r="A17" s="66">
        <v>14</v>
      </c>
      <c r="B17" s="52">
        <v>45509</v>
      </c>
      <c r="C17" s="53">
        <v>1</v>
      </c>
      <c r="D17" s="62">
        <v>2500000</v>
      </c>
      <c r="E17" s="54">
        <f t="shared" si="0"/>
        <v>2500000</v>
      </c>
      <c r="F17" s="53">
        <v>2</v>
      </c>
      <c r="G17" s="59">
        <v>1800000</v>
      </c>
      <c r="H17" s="54">
        <f t="shared" si="1"/>
        <v>3600000</v>
      </c>
      <c r="I17" s="53"/>
      <c r="J17" s="62">
        <v>7000</v>
      </c>
      <c r="K17" s="54">
        <f t="shared" si="2"/>
        <v>0</v>
      </c>
      <c r="L17" s="67"/>
      <c r="M17" s="62">
        <v>5000</v>
      </c>
      <c r="N17" s="54">
        <f t="shared" si="3"/>
        <v>0</v>
      </c>
      <c r="O17" s="54">
        <f t="shared" si="4"/>
        <v>6100000</v>
      </c>
    </row>
    <row r="18" spans="1:15" x14ac:dyDescent="0.3">
      <c r="A18" s="66">
        <v>15</v>
      </c>
      <c r="B18" s="52">
        <v>45510</v>
      </c>
      <c r="C18" s="53">
        <v>2</v>
      </c>
      <c r="D18" s="62">
        <v>2500000</v>
      </c>
      <c r="E18" s="54">
        <f t="shared" si="0"/>
        <v>5000000</v>
      </c>
      <c r="F18" s="53">
        <v>2</v>
      </c>
      <c r="G18" s="59">
        <v>1800000</v>
      </c>
      <c r="H18" s="54">
        <f t="shared" si="1"/>
        <v>3600000</v>
      </c>
      <c r="I18" s="53"/>
      <c r="J18" s="62">
        <v>7000</v>
      </c>
      <c r="K18" s="54">
        <f t="shared" si="2"/>
        <v>0</v>
      </c>
      <c r="L18" s="67"/>
      <c r="M18" s="62">
        <v>5000</v>
      </c>
      <c r="N18" s="54">
        <f t="shared" si="3"/>
        <v>0</v>
      </c>
      <c r="O18" s="54">
        <f t="shared" si="4"/>
        <v>8600000</v>
      </c>
    </row>
    <row r="19" spans="1:15" x14ac:dyDescent="0.3">
      <c r="A19" s="66">
        <v>16</v>
      </c>
      <c r="B19" s="52">
        <v>45511</v>
      </c>
      <c r="C19" s="53">
        <v>1</v>
      </c>
      <c r="D19" s="62">
        <v>2500000</v>
      </c>
      <c r="E19" s="54">
        <f t="shared" si="0"/>
        <v>2500000</v>
      </c>
      <c r="F19" s="53">
        <v>2</v>
      </c>
      <c r="G19" s="59">
        <v>1800000</v>
      </c>
      <c r="H19" s="54">
        <f t="shared" si="1"/>
        <v>3600000</v>
      </c>
      <c r="I19" s="53"/>
      <c r="J19" s="62">
        <v>7000</v>
      </c>
      <c r="K19" s="54">
        <f t="shared" si="2"/>
        <v>0</v>
      </c>
      <c r="L19" s="67"/>
      <c r="M19" s="62">
        <v>5000</v>
      </c>
      <c r="N19" s="54">
        <f t="shared" si="3"/>
        <v>0</v>
      </c>
      <c r="O19" s="54">
        <f t="shared" si="4"/>
        <v>6100000</v>
      </c>
    </row>
    <row r="20" spans="1:15" x14ac:dyDescent="0.3">
      <c r="A20" s="66">
        <v>17</v>
      </c>
      <c r="B20" s="52">
        <v>45512</v>
      </c>
      <c r="C20" s="53">
        <v>2</v>
      </c>
      <c r="D20" s="62">
        <v>2500000</v>
      </c>
      <c r="E20" s="54">
        <f t="shared" si="0"/>
        <v>5000000</v>
      </c>
      <c r="F20" s="53">
        <v>2</v>
      </c>
      <c r="G20" s="59">
        <v>1800000</v>
      </c>
      <c r="H20" s="54">
        <f t="shared" si="1"/>
        <v>3600000</v>
      </c>
      <c r="I20" s="53">
        <v>1110</v>
      </c>
      <c r="J20" s="62">
        <v>7000</v>
      </c>
      <c r="K20" s="54">
        <f t="shared" si="2"/>
        <v>7770000</v>
      </c>
      <c r="L20" s="67"/>
      <c r="M20" s="62">
        <v>5000</v>
      </c>
      <c r="N20" s="54">
        <f t="shared" si="3"/>
        <v>0</v>
      </c>
      <c r="O20" s="54">
        <f t="shared" si="4"/>
        <v>16370000</v>
      </c>
    </row>
    <row r="21" spans="1:15" x14ac:dyDescent="0.3">
      <c r="A21" s="66">
        <v>18</v>
      </c>
      <c r="B21" s="52">
        <v>45513</v>
      </c>
      <c r="C21" s="53">
        <v>1</v>
      </c>
      <c r="D21" s="62">
        <v>2500000</v>
      </c>
      <c r="E21" s="54">
        <f>D21*C21</f>
        <v>2500000</v>
      </c>
      <c r="F21" s="53">
        <v>1</v>
      </c>
      <c r="G21" s="59">
        <v>1800000</v>
      </c>
      <c r="H21" s="54">
        <f t="shared" si="1"/>
        <v>1800000</v>
      </c>
      <c r="I21" s="53"/>
      <c r="J21" s="62">
        <v>7000</v>
      </c>
      <c r="K21" s="54">
        <f t="shared" si="2"/>
        <v>0</v>
      </c>
      <c r="L21" s="67">
        <v>870</v>
      </c>
      <c r="M21" s="62">
        <v>5000</v>
      </c>
      <c r="N21" s="54">
        <f t="shared" si="3"/>
        <v>4350000</v>
      </c>
      <c r="O21" s="54">
        <f t="shared" si="4"/>
        <v>8650000</v>
      </c>
    </row>
    <row r="22" spans="1:15" x14ac:dyDescent="0.3">
      <c r="A22" s="66">
        <v>19</v>
      </c>
      <c r="B22" s="52">
        <v>45514</v>
      </c>
      <c r="C22" s="53">
        <v>1</v>
      </c>
      <c r="D22" s="62">
        <v>2500000</v>
      </c>
      <c r="E22" s="54">
        <f>D22*C22</f>
        <v>2500000</v>
      </c>
      <c r="F22" s="53">
        <v>2</v>
      </c>
      <c r="G22" s="59">
        <v>1800000</v>
      </c>
      <c r="H22" s="54">
        <f>G22*F22</f>
        <v>3600000</v>
      </c>
      <c r="I22" s="53"/>
      <c r="J22" s="62">
        <v>7000</v>
      </c>
      <c r="K22" s="54">
        <f t="shared" si="2"/>
        <v>0</v>
      </c>
      <c r="L22" s="67"/>
      <c r="M22" s="62">
        <v>5000</v>
      </c>
      <c r="N22" s="54">
        <f t="shared" si="3"/>
        <v>0</v>
      </c>
      <c r="O22" s="54">
        <f t="shared" si="4"/>
        <v>6100000</v>
      </c>
    </row>
    <row r="23" spans="1:15" x14ac:dyDescent="0.3">
      <c r="A23" s="66">
        <v>20</v>
      </c>
      <c r="B23" s="52">
        <v>45515</v>
      </c>
      <c r="C23" s="53">
        <v>1</v>
      </c>
      <c r="D23" s="62">
        <v>2500000</v>
      </c>
      <c r="E23" s="54">
        <f>D23*C23</f>
        <v>2500000</v>
      </c>
      <c r="F23" s="53">
        <v>2</v>
      </c>
      <c r="G23" s="59">
        <v>1800000</v>
      </c>
      <c r="H23" s="54">
        <f>G23*F23</f>
        <v>3600000</v>
      </c>
      <c r="I23" s="53"/>
      <c r="J23" s="62">
        <v>7000</v>
      </c>
      <c r="K23" s="54">
        <f t="shared" si="2"/>
        <v>0</v>
      </c>
      <c r="L23" s="67"/>
      <c r="M23" s="62">
        <v>5000</v>
      </c>
      <c r="N23" s="54">
        <f t="shared" si="3"/>
        <v>0</v>
      </c>
      <c r="O23" s="54">
        <f t="shared" si="4"/>
        <v>6100000</v>
      </c>
    </row>
    <row r="24" spans="1:15" x14ac:dyDescent="0.3">
      <c r="A24" s="66">
        <v>21</v>
      </c>
      <c r="B24" s="52">
        <v>45516</v>
      </c>
      <c r="C24" s="53">
        <v>1</v>
      </c>
      <c r="D24" s="62">
        <v>2500000</v>
      </c>
      <c r="E24" s="54">
        <f>D24*C24</f>
        <v>2500000</v>
      </c>
      <c r="F24" s="68">
        <v>2</v>
      </c>
      <c r="G24" s="59">
        <v>1800000</v>
      </c>
      <c r="H24" s="54">
        <f t="shared" si="1"/>
        <v>3600000</v>
      </c>
      <c r="I24" s="53"/>
      <c r="J24" s="62">
        <v>7000</v>
      </c>
      <c r="K24" s="54">
        <f t="shared" si="2"/>
        <v>0</v>
      </c>
      <c r="L24" s="67"/>
      <c r="M24" s="62">
        <v>5000</v>
      </c>
      <c r="N24" s="54">
        <f t="shared" si="3"/>
        <v>0</v>
      </c>
      <c r="O24" s="54">
        <f t="shared" si="4"/>
        <v>6100000</v>
      </c>
    </row>
    <row r="25" spans="1:15" x14ac:dyDescent="0.3">
      <c r="A25" s="66">
        <v>22</v>
      </c>
      <c r="B25" s="52">
        <v>45517</v>
      </c>
      <c r="C25" s="53">
        <v>2</v>
      </c>
      <c r="D25" s="62">
        <v>2500000</v>
      </c>
      <c r="E25" s="54">
        <f t="shared" si="0"/>
        <v>5000000</v>
      </c>
      <c r="F25" s="53">
        <v>1</v>
      </c>
      <c r="G25" s="59">
        <v>1800000</v>
      </c>
      <c r="H25" s="54">
        <f t="shared" si="1"/>
        <v>1800000</v>
      </c>
      <c r="I25" s="53"/>
      <c r="J25" s="62">
        <v>7000</v>
      </c>
      <c r="K25" s="54">
        <f t="shared" si="2"/>
        <v>0</v>
      </c>
      <c r="L25" s="67"/>
      <c r="M25" s="62">
        <v>5000</v>
      </c>
      <c r="N25" s="54">
        <f t="shared" si="3"/>
        <v>0</v>
      </c>
      <c r="O25" s="54">
        <f t="shared" si="4"/>
        <v>6800000</v>
      </c>
    </row>
    <row r="26" spans="1:15" x14ac:dyDescent="0.3">
      <c r="A26" s="66">
        <v>23</v>
      </c>
      <c r="B26" s="52">
        <v>45518</v>
      </c>
      <c r="C26" s="53">
        <v>2</v>
      </c>
      <c r="D26" s="62">
        <v>2500000</v>
      </c>
      <c r="E26" s="54">
        <f t="shared" si="0"/>
        <v>5000000</v>
      </c>
      <c r="F26" s="53">
        <v>2</v>
      </c>
      <c r="G26" s="59">
        <v>1800000</v>
      </c>
      <c r="H26" s="54">
        <f t="shared" si="1"/>
        <v>3600000</v>
      </c>
      <c r="I26" s="53"/>
      <c r="J26" s="62">
        <v>7000</v>
      </c>
      <c r="K26" s="54">
        <f t="shared" si="2"/>
        <v>0</v>
      </c>
      <c r="L26" s="67"/>
      <c r="M26" s="62">
        <v>5000</v>
      </c>
      <c r="N26" s="54">
        <f t="shared" si="3"/>
        <v>0</v>
      </c>
      <c r="O26" s="54">
        <f t="shared" si="4"/>
        <v>8600000</v>
      </c>
    </row>
    <row r="27" spans="1:15" x14ac:dyDescent="0.3">
      <c r="A27" s="66">
        <v>24</v>
      </c>
      <c r="B27" s="52">
        <v>45519</v>
      </c>
      <c r="C27" s="53">
        <v>2</v>
      </c>
      <c r="D27" s="62">
        <v>2500000</v>
      </c>
      <c r="E27" s="54">
        <f t="shared" si="0"/>
        <v>5000000</v>
      </c>
      <c r="F27" s="53">
        <v>3</v>
      </c>
      <c r="G27" s="59">
        <v>1800000</v>
      </c>
      <c r="H27" s="54">
        <f t="shared" si="1"/>
        <v>5400000</v>
      </c>
      <c r="I27" s="53"/>
      <c r="J27" s="62">
        <v>7000</v>
      </c>
      <c r="K27" s="54">
        <f t="shared" si="2"/>
        <v>0</v>
      </c>
      <c r="L27" s="67"/>
      <c r="M27" s="62">
        <v>5000</v>
      </c>
      <c r="N27" s="54">
        <f t="shared" si="3"/>
        <v>0</v>
      </c>
      <c r="O27" s="54">
        <f t="shared" si="4"/>
        <v>10400000</v>
      </c>
    </row>
    <row r="28" spans="1:15" x14ac:dyDescent="0.3">
      <c r="A28" s="66">
        <v>25</v>
      </c>
      <c r="B28" s="52">
        <v>45520</v>
      </c>
      <c r="C28" s="53">
        <v>1</v>
      </c>
      <c r="D28" s="62">
        <v>2500000</v>
      </c>
      <c r="E28" s="54">
        <f t="shared" si="0"/>
        <v>2500000</v>
      </c>
      <c r="F28" s="53">
        <v>2</v>
      </c>
      <c r="G28" s="59">
        <v>1800000</v>
      </c>
      <c r="H28" s="54">
        <f t="shared" si="1"/>
        <v>3600000</v>
      </c>
      <c r="I28" s="53"/>
      <c r="J28" s="62">
        <v>7000</v>
      </c>
      <c r="K28" s="54">
        <f t="shared" si="2"/>
        <v>0</v>
      </c>
      <c r="L28" s="67"/>
      <c r="M28" s="62">
        <v>5000</v>
      </c>
      <c r="N28" s="54">
        <f t="shared" si="3"/>
        <v>0</v>
      </c>
      <c r="O28" s="54">
        <f t="shared" si="4"/>
        <v>6100000</v>
      </c>
    </row>
    <row r="29" spans="1:15" x14ac:dyDescent="0.3">
      <c r="A29" s="66">
        <v>26</v>
      </c>
      <c r="B29" s="52">
        <v>45521</v>
      </c>
      <c r="C29" s="53">
        <v>1</v>
      </c>
      <c r="D29" s="62">
        <v>2500000</v>
      </c>
      <c r="E29" s="54">
        <f t="shared" si="0"/>
        <v>2500000</v>
      </c>
      <c r="F29" s="53">
        <v>2</v>
      </c>
      <c r="G29" s="59">
        <v>1800000</v>
      </c>
      <c r="H29" s="54">
        <f t="shared" si="1"/>
        <v>3600000</v>
      </c>
      <c r="I29" s="53"/>
      <c r="J29" s="62">
        <v>7000</v>
      </c>
      <c r="K29" s="54">
        <f t="shared" si="2"/>
        <v>0</v>
      </c>
      <c r="L29" s="67"/>
      <c r="M29" s="62">
        <v>5000</v>
      </c>
      <c r="N29" s="54">
        <f t="shared" si="3"/>
        <v>0</v>
      </c>
      <c r="O29" s="54">
        <f t="shared" si="4"/>
        <v>6100000</v>
      </c>
    </row>
    <row r="30" spans="1:15" x14ac:dyDescent="0.3">
      <c r="A30" s="66">
        <v>27</v>
      </c>
      <c r="B30" s="52">
        <v>45522</v>
      </c>
      <c r="C30" s="53">
        <v>1</v>
      </c>
      <c r="D30" s="62">
        <v>2500000</v>
      </c>
      <c r="E30" s="54">
        <f t="shared" si="0"/>
        <v>2500000</v>
      </c>
      <c r="F30" s="53">
        <v>1</v>
      </c>
      <c r="G30" s="59">
        <v>1800000</v>
      </c>
      <c r="H30" s="54">
        <f t="shared" si="1"/>
        <v>1800000</v>
      </c>
      <c r="I30" s="53"/>
      <c r="J30" s="62">
        <v>7000</v>
      </c>
      <c r="K30" s="54">
        <f t="shared" si="2"/>
        <v>0</v>
      </c>
      <c r="L30" s="67"/>
      <c r="M30" s="62">
        <v>5000</v>
      </c>
      <c r="N30" s="54">
        <f t="shared" si="3"/>
        <v>0</v>
      </c>
      <c r="O30" s="54">
        <f t="shared" si="4"/>
        <v>4300000</v>
      </c>
    </row>
    <row r="31" spans="1:15" x14ac:dyDescent="0.3">
      <c r="A31" s="66">
        <v>28</v>
      </c>
      <c r="B31" s="52">
        <v>45523</v>
      </c>
      <c r="C31" s="53">
        <v>1</v>
      </c>
      <c r="D31" s="62">
        <v>2500000</v>
      </c>
      <c r="E31" s="54">
        <f t="shared" si="0"/>
        <v>2500000</v>
      </c>
      <c r="F31" s="53">
        <v>1</v>
      </c>
      <c r="G31" s="59">
        <v>1800000</v>
      </c>
      <c r="H31" s="54">
        <f t="shared" si="1"/>
        <v>1800000</v>
      </c>
      <c r="I31" s="53"/>
      <c r="J31" s="62">
        <v>7000</v>
      </c>
      <c r="K31" s="54">
        <f>J31*I31</f>
        <v>0</v>
      </c>
      <c r="L31" s="67"/>
      <c r="M31" s="62">
        <v>5000</v>
      </c>
      <c r="N31" s="54">
        <f t="shared" si="3"/>
        <v>0</v>
      </c>
      <c r="O31" s="54">
        <f t="shared" si="4"/>
        <v>4300000</v>
      </c>
    </row>
    <row r="32" spans="1:15" x14ac:dyDescent="0.3">
      <c r="A32" s="66">
        <v>29</v>
      </c>
      <c r="B32" s="52">
        <v>45524</v>
      </c>
      <c r="C32" s="53">
        <v>2</v>
      </c>
      <c r="D32" s="62">
        <v>2500000</v>
      </c>
      <c r="E32" s="54">
        <f t="shared" si="0"/>
        <v>5000000</v>
      </c>
      <c r="F32" s="53">
        <v>2</v>
      </c>
      <c r="G32" s="59">
        <v>1800000</v>
      </c>
      <c r="H32" s="54">
        <f t="shared" si="1"/>
        <v>3600000</v>
      </c>
      <c r="I32" s="53"/>
      <c r="J32" s="62">
        <v>7000</v>
      </c>
      <c r="K32" s="54">
        <f>J32*I32</f>
        <v>0</v>
      </c>
      <c r="L32" s="67"/>
      <c r="M32" s="62">
        <v>5000</v>
      </c>
      <c r="N32" s="54">
        <f t="shared" si="3"/>
        <v>0</v>
      </c>
      <c r="O32" s="54">
        <f t="shared" si="4"/>
        <v>8600000</v>
      </c>
    </row>
    <row r="33" spans="1:15" x14ac:dyDescent="0.3">
      <c r="A33" s="66">
        <v>30</v>
      </c>
      <c r="B33" s="52">
        <v>45525</v>
      </c>
      <c r="C33" s="53">
        <v>2</v>
      </c>
      <c r="D33" s="62">
        <v>2500000</v>
      </c>
      <c r="E33" s="54">
        <f t="shared" si="0"/>
        <v>5000000</v>
      </c>
      <c r="F33" s="53">
        <v>2</v>
      </c>
      <c r="G33" s="59">
        <v>1800000</v>
      </c>
      <c r="H33" s="54">
        <f t="shared" si="1"/>
        <v>3600000</v>
      </c>
      <c r="I33" s="53"/>
      <c r="J33" s="62">
        <v>7000</v>
      </c>
      <c r="K33" s="54">
        <f>J33*I33</f>
        <v>0</v>
      </c>
      <c r="L33" s="67"/>
      <c r="M33" s="62">
        <v>5000</v>
      </c>
      <c r="N33" s="54">
        <f t="shared" si="3"/>
        <v>0</v>
      </c>
      <c r="O33" s="54">
        <f t="shared" si="4"/>
        <v>8600000</v>
      </c>
    </row>
    <row r="34" spans="1:15" x14ac:dyDescent="0.3">
      <c r="A34" s="66">
        <v>31</v>
      </c>
      <c r="B34" s="52">
        <v>45526</v>
      </c>
      <c r="C34" s="53">
        <v>2</v>
      </c>
      <c r="D34" s="62">
        <v>2500000</v>
      </c>
      <c r="E34" s="54">
        <f t="shared" ref="E34" si="10">D34*C34</f>
        <v>5000000</v>
      </c>
      <c r="F34" s="53">
        <v>2</v>
      </c>
      <c r="G34" s="59">
        <v>1800000</v>
      </c>
      <c r="H34" s="54">
        <f t="shared" ref="H34" si="11">G34*F34</f>
        <v>3600000</v>
      </c>
      <c r="I34" s="53"/>
      <c r="J34" s="62">
        <v>7000</v>
      </c>
      <c r="K34" s="54">
        <f>J34*I34</f>
        <v>0</v>
      </c>
      <c r="L34" s="67"/>
      <c r="M34" s="62">
        <v>5000</v>
      </c>
      <c r="N34" s="54">
        <f t="shared" ref="N34" si="12">L34*M34</f>
        <v>0</v>
      </c>
      <c r="O34" s="54">
        <f t="shared" ref="O34" si="13">E34+H34+N34+K34</f>
        <v>8600000</v>
      </c>
    </row>
    <row r="35" spans="1:15" x14ac:dyDescent="0.3">
      <c r="A35" s="66">
        <v>32</v>
      </c>
      <c r="B35" s="52">
        <v>45527</v>
      </c>
      <c r="C35" s="53">
        <v>2</v>
      </c>
      <c r="D35" s="62">
        <v>2500000</v>
      </c>
      <c r="E35" s="54">
        <f t="shared" si="0"/>
        <v>5000000</v>
      </c>
      <c r="F35" s="53">
        <v>2</v>
      </c>
      <c r="G35" s="59">
        <v>1800000</v>
      </c>
      <c r="H35" s="54">
        <f t="shared" si="1"/>
        <v>3600000</v>
      </c>
      <c r="I35" s="53"/>
      <c r="J35" s="62">
        <v>7000</v>
      </c>
      <c r="K35" s="54">
        <f>J35*I35</f>
        <v>0</v>
      </c>
      <c r="L35" s="67"/>
      <c r="M35" s="62">
        <v>5000</v>
      </c>
      <c r="N35" s="54">
        <f t="shared" si="3"/>
        <v>0</v>
      </c>
      <c r="O35" s="54">
        <f t="shared" si="4"/>
        <v>8600000</v>
      </c>
    </row>
    <row r="36" spans="1:15" x14ac:dyDescent="0.3">
      <c r="A36" s="166"/>
      <c r="B36" s="166"/>
      <c r="C36" s="1">
        <f>SUM(C4:C35)</f>
        <v>50</v>
      </c>
      <c r="D36" s="1"/>
      <c r="E36" s="2">
        <f>SUM(E4:E35)</f>
        <v>125000000</v>
      </c>
      <c r="F36" s="2">
        <f>SUM(F4:F35)</f>
        <v>57</v>
      </c>
      <c r="G36" s="2"/>
      <c r="H36" s="2">
        <f>SUM(H4:H35)</f>
        <v>102600000</v>
      </c>
      <c r="I36" s="2">
        <f>SUM(I4:I35)</f>
        <v>1110</v>
      </c>
      <c r="J36" s="2"/>
      <c r="K36" s="2">
        <f>SUM(K4:K35)</f>
        <v>7770000</v>
      </c>
      <c r="L36" s="2">
        <f>SUM(L4:L35)</f>
        <v>870</v>
      </c>
      <c r="M36" s="2"/>
      <c r="N36" s="2">
        <f>SUM(N4:N35)</f>
        <v>4350000</v>
      </c>
      <c r="O36" s="2">
        <f>SUM(O4:O35)</f>
        <v>239720000</v>
      </c>
    </row>
    <row r="37" spans="1:15" x14ac:dyDescent="0.3">
      <c r="A37" s="65"/>
      <c r="B37" s="164" t="s">
        <v>34</v>
      </c>
      <c r="C37" s="164"/>
      <c r="D37" s="164"/>
      <c r="E37" s="164"/>
      <c r="F37" s="34"/>
      <c r="G37" s="35"/>
      <c r="H37" s="36"/>
      <c r="I37" s="36"/>
      <c r="J37" s="36"/>
      <c r="K37" s="36"/>
      <c r="L37" s="164" t="s">
        <v>34</v>
      </c>
      <c r="M37" s="164"/>
      <c r="N37" s="164"/>
      <c r="O37" s="164"/>
    </row>
    <row r="38" spans="1:15" x14ac:dyDescent="0.3">
      <c r="B38" s="118" t="s">
        <v>37</v>
      </c>
      <c r="C38" s="118"/>
      <c r="D38" s="118"/>
      <c r="E38" s="118"/>
      <c r="F38" s="37"/>
      <c r="G38" s="56"/>
      <c r="H38" s="37"/>
      <c r="I38" s="37"/>
      <c r="J38" s="37"/>
      <c r="K38" s="37"/>
      <c r="L38" s="118" t="s">
        <v>38</v>
      </c>
      <c r="M38" s="118"/>
      <c r="N38" s="118"/>
      <c r="O38" s="118"/>
    </row>
  </sheetData>
  <mergeCells count="11">
    <mergeCell ref="A3:B3"/>
    <mergeCell ref="A1:O1"/>
    <mergeCell ref="C2:E2"/>
    <mergeCell ref="F2:H2"/>
    <mergeCell ref="I2:K2"/>
    <mergeCell ref="L2:N2"/>
    <mergeCell ref="A36:B36"/>
    <mergeCell ref="B37:E37"/>
    <mergeCell ref="L37:O37"/>
    <mergeCell ref="B38:E38"/>
    <mergeCell ref="L38:O38"/>
  </mergeCells>
  <pageMargins left="0.19" right="0.17" top="0.5" bottom="0.75" header="0.3" footer="0.3"/>
  <pageSetup paperSize="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38"/>
  <sheetViews>
    <sheetView view="pageBreakPreview" zoomScaleNormal="100" zoomScaleSheetLayoutView="100" workbookViewId="0">
      <selection activeCell="A34" sqref="A34:B34"/>
    </sheetView>
  </sheetViews>
  <sheetFormatPr defaultColWidth="9.36328125" defaultRowHeight="12" x14ac:dyDescent="0.3"/>
  <cols>
    <col min="1" max="1" width="3.36328125" style="32" customWidth="1"/>
    <col min="2" max="2" width="9.36328125" style="32" customWidth="1"/>
    <col min="3" max="3" width="6.6328125" style="32" customWidth="1"/>
    <col min="4" max="4" width="9.36328125" style="32" customWidth="1"/>
    <col min="5" max="5" width="12.36328125" style="32" customWidth="1"/>
    <col min="6" max="6" width="6.453125" style="32" customWidth="1"/>
    <col min="7" max="7" width="13.36328125" style="38" customWidth="1"/>
    <col min="8" max="8" width="12.6328125" style="32" customWidth="1"/>
    <col min="9" max="9" width="8.36328125" style="32" customWidth="1"/>
    <col min="10" max="10" width="9.36328125" style="32" customWidth="1"/>
    <col min="11" max="11" width="11.6328125" style="32" customWidth="1"/>
    <col min="12" max="12" width="7.54296875" style="32" customWidth="1"/>
    <col min="13" max="13" width="8.54296875" style="32" customWidth="1"/>
    <col min="14" max="14" width="11.54296875" style="32" customWidth="1"/>
    <col min="15" max="15" width="11.6328125" style="32" customWidth="1"/>
    <col min="16" max="16384" width="9.36328125" style="32"/>
  </cols>
  <sheetData>
    <row r="1" spans="1:15" ht="16.5" customHeight="1" x14ac:dyDescent="0.3">
      <c r="A1" s="156" t="s">
        <v>45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</row>
    <row r="2" spans="1:15" ht="24" customHeight="1" x14ac:dyDescent="0.3">
      <c r="A2" s="39" t="s">
        <v>21</v>
      </c>
      <c r="B2" s="40" t="s">
        <v>22</v>
      </c>
      <c r="C2" s="159" t="s">
        <v>23</v>
      </c>
      <c r="D2" s="159"/>
      <c r="E2" s="159"/>
      <c r="F2" s="159" t="s">
        <v>24</v>
      </c>
      <c r="G2" s="159"/>
      <c r="H2" s="159"/>
      <c r="I2" s="160" t="s">
        <v>25</v>
      </c>
      <c r="J2" s="161"/>
      <c r="K2" s="162"/>
      <c r="L2" s="159" t="s">
        <v>26</v>
      </c>
      <c r="M2" s="159"/>
      <c r="N2" s="159"/>
      <c r="O2" s="41" t="s">
        <v>27</v>
      </c>
    </row>
    <row r="3" spans="1:15" ht="33" customHeight="1" x14ac:dyDescent="0.3">
      <c r="A3" s="158" t="s">
        <v>28</v>
      </c>
      <c r="B3" s="158"/>
      <c r="C3" s="42" t="s">
        <v>29</v>
      </c>
      <c r="D3" s="43" t="s">
        <v>30</v>
      </c>
      <c r="E3" s="44" t="s">
        <v>31</v>
      </c>
      <c r="F3" s="45" t="s">
        <v>29</v>
      </c>
      <c r="G3" s="46" t="s">
        <v>30</v>
      </c>
      <c r="H3" s="44" t="s">
        <v>32</v>
      </c>
      <c r="I3" s="47" t="s">
        <v>29</v>
      </c>
      <c r="J3" s="43" t="s">
        <v>30</v>
      </c>
      <c r="K3" s="44" t="s">
        <v>32</v>
      </c>
      <c r="L3" s="47" t="s">
        <v>33</v>
      </c>
      <c r="M3" s="43" t="s">
        <v>30</v>
      </c>
      <c r="N3" s="44" t="s">
        <v>32</v>
      </c>
      <c r="O3" s="48"/>
    </row>
    <row r="4" spans="1:15" x14ac:dyDescent="0.3">
      <c r="A4" s="66">
        <v>1</v>
      </c>
      <c r="B4" s="52">
        <v>45528</v>
      </c>
      <c r="C4" s="53">
        <v>2</v>
      </c>
      <c r="D4" s="62">
        <v>2500000</v>
      </c>
      <c r="E4" s="54">
        <f t="shared" ref="E4:E35" si="0">D4*C4</f>
        <v>5000000</v>
      </c>
      <c r="F4" s="53">
        <v>2</v>
      </c>
      <c r="G4" s="59">
        <v>1800000</v>
      </c>
      <c r="H4" s="54">
        <f t="shared" ref="H4:H35" si="1">G4*F4</f>
        <v>3600000</v>
      </c>
      <c r="I4" s="53"/>
      <c r="J4" s="62">
        <v>7000</v>
      </c>
      <c r="K4" s="54">
        <f t="shared" ref="K4:K30" si="2">J4*I4</f>
        <v>0</v>
      </c>
      <c r="L4" s="67"/>
      <c r="M4" s="62">
        <v>5000</v>
      </c>
      <c r="N4" s="54">
        <f t="shared" ref="N4:N35" si="3">L4*M4</f>
        <v>0</v>
      </c>
      <c r="O4" s="54">
        <f t="shared" ref="O4:O35" si="4">E4+H4+N4+K4</f>
        <v>8600000</v>
      </c>
    </row>
    <row r="5" spans="1:15" x14ac:dyDescent="0.3">
      <c r="A5" s="66">
        <v>2</v>
      </c>
      <c r="B5" s="52">
        <v>45529</v>
      </c>
      <c r="C5" s="53">
        <v>1</v>
      </c>
      <c r="D5" s="62">
        <v>2500000</v>
      </c>
      <c r="E5" s="54">
        <f t="shared" si="0"/>
        <v>2500000</v>
      </c>
      <c r="F5" s="53">
        <v>2</v>
      </c>
      <c r="G5" s="59">
        <v>1800000</v>
      </c>
      <c r="H5" s="54">
        <f t="shared" si="1"/>
        <v>3600000</v>
      </c>
      <c r="I5" s="53"/>
      <c r="J5" s="62">
        <v>7000</v>
      </c>
      <c r="K5" s="54">
        <f t="shared" si="2"/>
        <v>0</v>
      </c>
      <c r="L5" s="67"/>
      <c r="M5" s="62">
        <v>5000</v>
      </c>
      <c r="N5" s="54">
        <f t="shared" si="3"/>
        <v>0</v>
      </c>
      <c r="O5" s="54">
        <f t="shared" si="4"/>
        <v>6100000</v>
      </c>
    </row>
    <row r="6" spans="1:15" x14ac:dyDescent="0.3">
      <c r="A6" s="66">
        <v>3</v>
      </c>
      <c r="B6" s="52">
        <v>45530</v>
      </c>
      <c r="C6" s="53">
        <v>1</v>
      </c>
      <c r="D6" s="62">
        <v>2500000</v>
      </c>
      <c r="E6" s="54">
        <f t="shared" si="0"/>
        <v>2500000</v>
      </c>
      <c r="F6" s="53">
        <v>2</v>
      </c>
      <c r="G6" s="59">
        <v>1800000</v>
      </c>
      <c r="H6" s="54">
        <f t="shared" si="1"/>
        <v>3600000</v>
      </c>
      <c r="I6" s="53"/>
      <c r="J6" s="62">
        <v>7000</v>
      </c>
      <c r="K6" s="54">
        <f t="shared" si="2"/>
        <v>0</v>
      </c>
      <c r="L6" s="67"/>
      <c r="M6" s="62">
        <v>5000</v>
      </c>
      <c r="N6" s="54">
        <f t="shared" si="3"/>
        <v>0</v>
      </c>
      <c r="O6" s="54">
        <f t="shared" si="4"/>
        <v>6100000</v>
      </c>
    </row>
    <row r="7" spans="1:15" x14ac:dyDescent="0.3">
      <c r="A7" s="66">
        <v>4</v>
      </c>
      <c r="B7" s="52">
        <v>45531</v>
      </c>
      <c r="C7" s="53">
        <v>2</v>
      </c>
      <c r="D7" s="62">
        <v>2500000</v>
      </c>
      <c r="E7" s="54">
        <f t="shared" si="0"/>
        <v>5000000</v>
      </c>
      <c r="F7" s="53">
        <v>2</v>
      </c>
      <c r="G7" s="59">
        <v>1800000</v>
      </c>
      <c r="H7" s="54">
        <f t="shared" si="1"/>
        <v>3600000</v>
      </c>
      <c r="I7" s="53"/>
      <c r="J7" s="62">
        <v>7000</v>
      </c>
      <c r="K7" s="54">
        <f t="shared" si="2"/>
        <v>0</v>
      </c>
      <c r="L7" s="67"/>
      <c r="M7" s="62">
        <v>5000</v>
      </c>
      <c r="N7" s="54">
        <f t="shared" si="3"/>
        <v>0</v>
      </c>
      <c r="O7" s="54">
        <f t="shared" si="4"/>
        <v>8600000</v>
      </c>
    </row>
    <row r="8" spans="1:15" x14ac:dyDescent="0.3">
      <c r="A8" s="66">
        <v>5</v>
      </c>
      <c r="B8" s="52">
        <v>45532</v>
      </c>
      <c r="C8" s="53">
        <v>2</v>
      </c>
      <c r="D8" s="62">
        <v>2500000</v>
      </c>
      <c r="E8" s="54">
        <f t="shared" si="0"/>
        <v>5000000</v>
      </c>
      <c r="F8" s="53">
        <v>2</v>
      </c>
      <c r="G8" s="59">
        <v>1800000</v>
      </c>
      <c r="H8" s="54">
        <f t="shared" si="1"/>
        <v>3600000</v>
      </c>
      <c r="I8" s="53"/>
      <c r="J8" s="62">
        <v>7000</v>
      </c>
      <c r="K8" s="54">
        <f t="shared" si="2"/>
        <v>0</v>
      </c>
      <c r="L8" s="67"/>
      <c r="M8" s="62">
        <v>5000</v>
      </c>
      <c r="N8" s="54">
        <f t="shared" si="3"/>
        <v>0</v>
      </c>
      <c r="O8" s="54">
        <f t="shared" si="4"/>
        <v>8600000</v>
      </c>
    </row>
    <row r="9" spans="1:15" ht="11.75" customHeight="1" x14ac:dyDescent="0.3">
      <c r="A9" s="66">
        <v>6</v>
      </c>
      <c r="B9" s="52">
        <v>45533</v>
      </c>
      <c r="C9" s="53">
        <v>1</v>
      </c>
      <c r="D9" s="62">
        <v>2500000</v>
      </c>
      <c r="E9" s="54">
        <f>D9*C9</f>
        <v>2500000</v>
      </c>
      <c r="F9" s="53">
        <v>3</v>
      </c>
      <c r="G9" s="59">
        <v>1800000</v>
      </c>
      <c r="H9" s="54">
        <f t="shared" si="1"/>
        <v>5400000</v>
      </c>
      <c r="I9" s="53"/>
      <c r="J9" s="62">
        <v>7000</v>
      </c>
      <c r="K9" s="54">
        <f t="shared" si="2"/>
        <v>0</v>
      </c>
      <c r="L9" s="67"/>
      <c r="M9" s="62">
        <v>5000</v>
      </c>
      <c r="N9" s="54">
        <f t="shared" si="3"/>
        <v>0</v>
      </c>
      <c r="O9" s="54">
        <f>E9+H9+N9+K9</f>
        <v>7900000</v>
      </c>
    </row>
    <row r="10" spans="1:15" x14ac:dyDescent="0.3">
      <c r="A10" s="66">
        <v>7</v>
      </c>
      <c r="B10" s="52">
        <v>45534</v>
      </c>
      <c r="C10" s="53">
        <v>2</v>
      </c>
      <c r="D10" s="62">
        <v>2500000</v>
      </c>
      <c r="E10" s="54">
        <f>D10*C10</f>
        <v>5000000</v>
      </c>
      <c r="F10" s="53">
        <v>2</v>
      </c>
      <c r="G10" s="59">
        <v>1800000</v>
      </c>
      <c r="H10" s="54">
        <f>G10*F10</f>
        <v>3600000</v>
      </c>
      <c r="I10" s="53"/>
      <c r="J10" s="62">
        <v>7000</v>
      </c>
      <c r="K10" s="54"/>
      <c r="L10" s="67"/>
      <c r="M10" s="62">
        <v>5000</v>
      </c>
      <c r="N10" s="54">
        <f t="shared" si="3"/>
        <v>0</v>
      </c>
      <c r="O10" s="54">
        <f t="shared" si="4"/>
        <v>8600000</v>
      </c>
    </row>
    <row r="11" spans="1:15" x14ac:dyDescent="0.3">
      <c r="A11" s="66">
        <v>8</v>
      </c>
      <c r="B11" s="52">
        <v>45535</v>
      </c>
      <c r="C11" s="53">
        <v>2</v>
      </c>
      <c r="D11" s="62">
        <v>2500000</v>
      </c>
      <c r="E11" s="54">
        <f>D11*C11</f>
        <v>5000000</v>
      </c>
      <c r="F11" s="53">
        <v>3</v>
      </c>
      <c r="G11" s="59">
        <v>1800000</v>
      </c>
      <c r="H11" s="54">
        <f t="shared" si="1"/>
        <v>5400000</v>
      </c>
      <c r="I11" s="53"/>
      <c r="J11" s="62">
        <v>7000</v>
      </c>
      <c r="K11" s="54">
        <f t="shared" si="2"/>
        <v>0</v>
      </c>
      <c r="L11" s="67"/>
      <c r="M11" s="62">
        <v>5000</v>
      </c>
      <c r="N11" s="54">
        <f t="shared" si="3"/>
        <v>0</v>
      </c>
      <c r="O11" s="54">
        <f t="shared" si="4"/>
        <v>10400000</v>
      </c>
    </row>
    <row r="12" spans="1:15" x14ac:dyDescent="0.3">
      <c r="A12" s="66">
        <v>9</v>
      </c>
      <c r="B12" s="52">
        <v>45536</v>
      </c>
      <c r="C12" s="53">
        <v>0</v>
      </c>
      <c r="D12" s="62">
        <v>2500000</v>
      </c>
      <c r="E12" s="54">
        <f>D12*C12</f>
        <v>0</v>
      </c>
      <c r="F12" s="53">
        <v>0</v>
      </c>
      <c r="G12" s="59">
        <v>1800000</v>
      </c>
      <c r="H12" s="54">
        <f t="shared" si="1"/>
        <v>0</v>
      </c>
      <c r="I12" s="53"/>
      <c r="J12" s="62">
        <v>7000</v>
      </c>
      <c r="K12" s="54">
        <f t="shared" si="2"/>
        <v>0</v>
      </c>
      <c r="L12" s="67"/>
      <c r="M12" s="62">
        <v>5000</v>
      </c>
      <c r="N12" s="54">
        <f t="shared" si="3"/>
        <v>0</v>
      </c>
      <c r="O12" s="54">
        <f t="shared" si="4"/>
        <v>0</v>
      </c>
    </row>
    <row r="13" spans="1:15" x14ac:dyDescent="0.3">
      <c r="A13" s="66">
        <v>10</v>
      </c>
      <c r="B13" s="52">
        <v>45537</v>
      </c>
      <c r="C13" s="53">
        <v>0</v>
      </c>
      <c r="D13" s="62">
        <v>2500000</v>
      </c>
      <c r="E13" s="54">
        <f t="shared" si="0"/>
        <v>0</v>
      </c>
      <c r="F13" s="53">
        <v>0</v>
      </c>
      <c r="G13" s="59">
        <v>1800000</v>
      </c>
      <c r="H13" s="54">
        <f t="shared" si="1"/>
        <v>0</v>
      </c>
      <c r="I13" s="53"/>
      <c r="J13" s="62">
        <v>7000</v>
      </c>
      <c r="K13" s="54">
        <f t="shared" si="2"/>
        <v>0</v>
      </c>
      <c r="L13" s="67"/>
      <c r="M13" s="62">
        <v>5000</v>
      </c>
      <c r="N13" s="54">
        <f t="shared" si="3"/>
        <v>0</v>
      </c>
      <c r="O13" s="54">
        <f t="shared" si="4"/>
        <v>0</v>
      </c>
    </row>
    <row r="14" spans="1:15" x14ac:dyDescent="0.3">
      <c r="A14" s="66">
        <v>11</v>
      </c>
      <c r="B14" s="52">
        <v>45538</v>
      </c>
      <c r="C14" s="53">
        <v>0</v>
      </c>
      <c r="D14" s="62">
        <v>2500000</v>
      </c>
      <c r="E14" s="54">
        <f t="shared" si="0"/>
        <v>0</v>
      </c>
      <c r="F14" s="53">
        <v>0</v>
      </c>
      <c r="G14" s="59">
        <v>1800000</v>
      </c>
      <c r="H14" s="54">
        <f t="shared" si="1"/>
        <v>0</v>
      </c>
      <c r="I14" s="53"/>
      <c r="J14" s="62">
        <v>7000</v>
      </c>
      <c r="K14" s="54">
        <f t="shared" si="2"/>
        <v>0</v>
      </c>
      <c r="L14" s="67"/>
      <c r="M14" s="62">
        <v>5000</v>
      </c>
      <c r="N14" s="54">
        <f t="shared" si="3"/>
        <v>0</v>
      </c>
      <c r="O14" s="54">
        <f>E14+H14+N14+K14</f>
        <v>0</v>
      </c>
    </row>
    <row r="15" spans="1:15" x14ac:dyDescent="0.3">
      <c r="A15" s="66">
        <v>12</v>
      </c>
      <c r="B15" s="52">
        <v>45539</v>
      </c>
      <c r="C15" s="53">
        <v>2</v>
      </c>
      <c r="D15" s="62">
        <v>2500000</v>
      </c>
      <c r="E15" s="54">
        <f t="shared" si="0"/>
        <v>5000000</v>
      </c>
      <c r="F15" s="53">
        <v>2</v>
      </c>
      <c r="G15" s="59">
        <v>1800000</v>
      </c>
      <c r="H15" s="54">
        <f t="shared" si="1"/>
        <v>3600000</v>
      </c>
      <c r="I15" s="53"/>
      <c r="J15" s="62">
        <v>7000</v>
      </c>
      <c r="K15" s="54">
        <f t="shared" si="2"/>
        <v>0</v>
      </c>
      <c r="L15" s="67"/>
      <c r="M15" s="62">
        <v>5000</v>
      </c>
      <c r="N15" s="54">
        <f t="shared" si="3"/>
        <v>0</v>
      </c>
      <c r="O15" s="54">
        <f t="shared" si="4"/>
        <v>8600000</v>
      </c>
    </row>
    <row r="16" spans="1:15" x14ac:dyDescent="0.3">
      <c r="A16" s="66">
        <v>13</v>
      </c>
      <c r="B16" s="52">
        <v>45540</v>
      </c>
      <c r="C16" s="53">
        <v>1</v>
      </c>
      <c r="D16" s="62">
        <v>2500000</v>
      </c>
      <c r="E16" s="54">
        <f t="shared" si="0"/>
        <v>2500000</v>
      </c>
      <c r="F16" s="53">
        <v>2</v>
      </c>
      <c r="G16" s="59">
        <v>1800000</v>
      </c>
      <c r="H16" s="54">
        <f t="shared" si="1"/>
        <v>3600000</v>
      </c>
      <c r="I16" s="53"/>
      <c r="J16" s="62">
        <v>7000</v>
      </c>
      <c r="K16" s="54">
        <f t="shared" si="2"/>
        <v>0</v>
      </c>
      <c r="L16" s="67"/>
      <c r="M16" s="62">
        <v>5000</v>
      </c>
      <c r="N16" s="54">
        <f t="shared" si="3"/>
        <v>0</v>
      </c>
      <c r="O16" s="54">
        <f t="shared" si="4"/>
        <v>6100000</v>
      </c>
    </row>
    <row r="17" spans="1:15" x14ac:dyDescent="0.3">
      <c r="A17" s="66">
        <v>14</v>
      </c>
      <c r="B17" s="52">
        <v>45541</v>
      </c>
      <c r="C17" s="53">
        <v>2</v>
      </c>
      <c r="D17" s="62">
        <v>2500000</v>
      </c>
      <c r="E17" s="54">
        <f t="shared" si="0"/>
        <v>5000000</v>
      </c>
      <c r="F17" s="53">
        <v>2</v>
      </c>
      <c r="G17" s="59">
        <v>1800000</v>
      </c>
      <c r="H17" s="54">
        <f t="shared" si="1"/>
        <v>3600000</v>
      </c>
      <c r="I17" s="53"/>
      <c r="J17" s="62">
        <v>7000</v>
      </c>
      <c r="K17" s="54">
        <f t="shared" si="2"/>
        <v>0</v>
      </c>
      <c r="L17" s="67"/>
      <c r="M17" s="62">
        <v>5000</v>
      </c>
      <c r="N17" s="54">
        <f t="shared" si="3"/>
        <v>0</v>
      </c>
      <c r="O17" s="54">
        <f t="shared" si="4"/>
        <v>8600000</v>
      </c>
    </row>
    <row r="18" spans="1:15" x14ac:dyDescent="0.3">
      <c r="A18" s="66">
        <v>15</v>
      </c>
      <c r="B18" s="52">
        <v>45542</v>
      </c>
      <c r="C18" s="53">
        <v>3</v>
      </c>
      <c r="D18" s="62">
        <v>2500000</v>
      </c>
      <c r="E18" s="54">
        <f t="shared" si="0"/>
        <v>7500000</v>
      </c>
      <c r="F18" s="53">
        <v>2</v>
      </c>
      <c r="G18" s="59">
        <v>1800000</v>
      </c>
      <c r="H18" s="54">
        <f t="shared" si="1"/>
        <v>3600000</v>
      </c>
      <c r="I18" s="53"/>
      <c r="J18" s="62">
        <v>7000</v>
      </c>
      <c r="K18" s="54">
        <f t="shared" si="2"/>
        <v>0</v>
      </c>
      <c r="L18" s="67"/>
      <c r="M18" s="62">
        <v>5000</v>
      </c>
      <c r="N18" s="54">
        <f t="shared" si="3"/>
        <v>0</v>
      </c>
      <c r="O18" s="54">
        <f t="shared" si="4"/>
        <v>11100000</v>
      </c>
    </row>
    <row r="19" spans="1:15" x14ac:dyDescent="0.3">
      <c r="A19" s="66">
        <v>16</v>
      </c>
      <c r="B19" s="52">
        <v>45543</v>
      </c>
      <c r="C19" s="53">
        <v>0</v>
      </c>
      <c r="D19" s="62">
        <v>2500000</v>
      </c>
      <c r="E19" s="54">
        <f t="shared" si="0"/>
        <v>0</v>
      </c>
      <c r="F19" s="53">
        <v>0</v>
      </c>
      <c r="G19" s="59">
        <v>1800000</v>
      </c>
      <c r="H19" s="54">
        <f t="shared" si="1"/>
        <v>0</v>
      </c>
      <c r="I19" s="53"/>
      <c r="J19" s="62">
        <v>7000</v>
      </c>
      <c r="K19" s="54">
        <f t="shared" si="2"/>
        <v>0</v>
      </c>
      <c r="L19" s="67"/>
      <c r="M19" s="62">
        <v>5000</v>
      </c>
      <c r="N19" s="54">
        <f t="shared" si="3"/>
        <v>0</v>
      </c>
      <c r="O19" s="54">
        <f t="shared" si="4"/>
        <v>0</v>
      </c>
    </row>
    <row r="20" spans="1:15" x14ac:dyDescent="0.3">
      <c r="A20" s="66">
        <v>17</v>
      </c>
      <c r="B20" s="52">
        <v>45544</v>
      </c>
      <c r="C20" s="53">
        <v>1</v>
      </c>
      <c r="D20" s="62">
        <v>2500000</v>
      </c>
      <c r="E20" s="54">
        <f t="shared" si="0"/>
        <v>2500000</v>
      </c>
      <c r="F20" s="53">
        <v>2</v>
      </c>
      <c r="G20" s="59">
        <v>1800000</v>
      </c>
      <c r="H20" s="54">
        <f t="shared" si="1"/>
        <v>3600000</v>
      </c>
      <c r="I20" s="53"/>
      <c r="J20" s="62">
        <v>7000</v>
      </c>
      <c r="K20" s="54">
        <f t="shared" si="2"/>
        <v>0</v>
      </c>
      <c r="L20" s="67"/>
      <c r="M20" s="62">
        <v>5000</v>
      </c>
      <c r="N20" s="54">
        <f t="shared" si="3"/>
        <v>0</v>
      </c>
      <c r="O20" s="54">
        <f t="shared" si="4"/>
        <v>6100000</v>
      </c>
    </row>
    <row r="21" spans="1:15" x14ac:dyDescent="0.3">
      <c r="A21" s="66">
        <v>18</v>
      </c>
      <c r="B21" s="52">
        <v>45545</v>
      </c>
      <c r="C21" s="53">
        <v>2</v>
      </c>
      <c r="D21" s="62">
        <v>2500000</v>
      </c>
      <c r="E21" s="54">
        <f>D21*C21</f>
        <v>5000000</v>
      </c>
      <c r="F21" s="53">
        <v>2</v>
      </c>
      <c r="G21" s="59">
        <v>1800000</v>
      </c>
      <c r="H21" s="54">
        <f t="shared" si="1"/>
        <v>3600000</v>
      </c>
      <c r="I21" s="53"/>
      <c r="J21" s="62">
        <v>7000</v>
      </c>
      <c r="K21" s="54">
        <f t="shared" si="2"/>
        <v>0</v>
      </c>
      <c r="L21" s="67"/>
      <c r="M21" s="62">
        <v>5000</v>
      </c>
      <c r="N21" s="54">
        <f t="shared" si="3"/>
        <v>0</v>
      </c>
      <c r="O21" s="54">
        <f t="shared" si="4"/>
        <v>8600000</v>
      </c>
    </row>
    <row r="22" spans="1:15" x14ac:dyDescent="0.3">
      <c r="A22" s="66">
        <v>19</v>
      </c>
      <c r="B22" s="52">
        <v>45546</v>
      </c>
      <c r="C22" s="53">
        <v>2</v>
      </c>
      <c r="D22" s="62">
        <v>2500000</v>
      </c>
      <c r="E22" s="54">
        <f>D22*C22</f>
        <v>5000000</v>
      </c>
      <c r="F22" s="53">
        <v>2</v>
      </c>
      <c r="G22" s="59">
        <v>1800000</v>
      </c>
      <c r="H22" s="54">
        <f>G22*F22</f>
        <v>3600000</v>
      </c>
      <c r="I22" s="53"/>
      <c r="J22" s="62">
        <v>7000</v>
      </c>
      <c r="K22" s="54">
        <f t="shared" si="2"/>
        <v>0</v>
      </c>
      <c r="L22" s="67">
        <v>1020</v>
      </c>
      <c r="M22" s="62">
        <v>5000</v>
      </c>
      <c r="N22" s="54">
        <f t="shared" si="3"/>
        <v>5100000</v>
      </c>
      <c r="O22" s="54">
        <f t="shared" si="4"/>
        <v>13700000</v>
      </c>
    </row>
    <row r="23" spans="1:15" x14ac:dyDescent="0.3">
      <c r="A23" s="66">
        <v>20</v>
      </c>
      <c r="B23" s="52">
        <v>45547</v>
      </c>
      <c r="C23" s="53">
        <v>2</v>
      </c>
      <c r="D23" s="62">
        <v>2500000</v>
      </c>
      <c r="E23" s="54">
        <f>D23*C23</f>
        <v>5000000</v>
      </c>
      <c r="F23" s="53">
        <v>2</v>
      </c>
      <c r="G23" s="59">
        <v>1800000</v>
      </c>
      <c r="H23" s="54">
        <f>G23*F23</f>
        <v>3600000</v>
      </c>
      <c r="I23" s="53"/>
      <c r="J23" s="62">
        <v>7000</v>
      </c>
      <c r="K23" s="54">
        <f t="shared" si="2"/>
        <v>0</v>
      </c>
      <c r="L23" s="67"/>
      <c r="M23" s="62">
        <v>5000</v>
      </c>
      <c r="N23" s="54">
        <f t="shared" si="3"/>
        <v>0</v>
      </c>
      <c r="O23" s="54">
        <f t="shared" si="4"/>
        <v>8600000</v>
      </c>
    </row>
    <row r="24" spans="1:15" x14ac:dyDescent="0.3">
      <c r="A24" s="66">
        <v>21</v>
      </c>
      <c r="B24" s="52">
        <v>45548</v>
      </c>
      <c r="C24" s="53">
        <v>1</v>
      </c>
      <c r="D24" s="62">
        <v>2500000</v>
      </c>
      <c r="E24" s="54">
        <f>D24*C24</f>
        <v>2500000</v>
      </c>
      <c r="F24" s="68">
        <v>3</v>
      </c>
      <c r="G24" s="59">
        <v>1800000</v>
      </c>
      <c r="H24" s="54">
        <f t="shared" si="1"/>
        <v>5400000</v>
      </c>
      <c r="I24" s="53"/>
      <c r="J24" s="62">
        <v>7000</v>
      </c>
      <c r="K24" s="54">
        <f t="shared" si="2"/>
        <v>0</v>
      </c>
      <c r="L24" s="67"/>
      <c r="M24" s="62">
        <v>5000</v>
      </c>
      <c r="N24" s="54">
        <f t="shared" si="3"/>
        <v>0</v>
      </c>
      <c r="O24" s="54">
        <f t="shared" si="4"/>
        <v>7900000</v>
      </c>
    </row>
    <row r="25" spans="1:15" x14ac:dyDescent="0.3">
      <c r="A25" s="66">
        <v>22</v>
      </c>
      <c r="B25" s="52">
        <v>45549</v>
      </c>
      <c r="C25" s="53">
        <v>2</v>
      </c>
      <c r="D25" s="62">
        <v>2500000</v>
      </c>
      <c r="E25" s="54">
        <f t="shared" si="0"/>
        <v>5000000</v>
      </c>
      <c r="F25" s="53">
        <v>2</v>
      </c>
      <c r="G25" s="59">
        <v>1800000</v>
      </c>
      <c r="H25" s="54">
        <f t="shared" si="1"/>
        <v>3600000</v>
      </c>
      <c r="I25" s="53"/>
      <c r="J25" s="62">
        <v>7000</v>
      </c>
      <c r="K25" s="54">
        <f t="shared" si="2"/>
        <v>0</v>
      </c>
      <c r="L25" s="67"/>
      <c r="M25" s="62">
        <v>5000</v>
      </c>
      <c r="N25" s="54">
        <f t="shared" si="3"/>
        <v>0</v>
      </c>
      <c r="O25" s="54">
        <f t="shared" si="4"/>
        <v>8600000</v>
      </c>
    </row>
    <row r="26" spans="1:15" x14ac:dyDescent="0.3">
      <c r="A26" s="66">
        <v>23</v>
      </c>
      <c r="B26" s="52">
        <v>45550</v>
      </c>
      <c r="C26" s="53">
        <v>0</v>
      </c>
      <c r="D26" s="62">
        <v>2500000</v>
      </c>
      <c r="E26" s="54">
        <f t="shared" si="0"/>
        <v>0</v>
      </c>
      <c r="F26" s="53">
        <v>2</v>
      </c>
      <c r="G26" s="59">
        <v>1800000</v>
      </c>
      <c r="H26" s="54">
        <f t="shared" si="1"/>
        <v>3600000</v>
      </c>
      <c r="I26" s="53"/>
      <c r="J26" s="62">
        <v>7000</v>
      </c>
      <c r="K26" s="54">
        <f t="shared" si="2"/>
        <v>0</v>
      </c>
      <c r="L26" s="67"/>
      <c r="M26" s="62">
        <v>5000</v>
      </c>
      <c r="N26" s="54">
        <f t="shared" si="3"/>
        <v>0</v>
      </c>
      <c r="O26" s="54">
        <f t="shared" si="4"/>
        <v>3600000</v>
      </c>
    </row>
    <row r="27" spans="1:15" x14ac:dyDescent="0.3">
      <c r="A27" s="66">
        <v>24</v>
      </c>
      <c r="B27" s="52">
        <v>45551</v>
      </c>
      <c r="C27" s="53">
        <v>2</v>
      </c>
      <c r="D27" s="62">
        <v>2500000</v>
      </c>
      <c r="E27" s="54">
        <f t="shared" si="0"/>
        <v>5000000</v>
      </c>
      <c r="F27" s="53">
        <v>1</v>
      </c>
      <c r="G27" s="59">
        <v>1800000</v>
      </c>
      <c r="H27" s="54">
        <f t="shared" si="1"/>
        <v>1800000</v>
      </c>
      <c r="I27" s="53"/>
      <c r="J27" s="62">
        <v>7000</v>
      </c>
      <c r="K27" s="54">
        <f t="shared" si="2"/>
        <v>0</v>
      </c>
      <c r="L27" s="67"/>
      <c r="M27" s="62">
        <v>5000</v>
      </c>
      <c r="N27" s="54">
        <f t="shared" si="3"/>
        <v>0</v>
      </c>
      <c r="O27" s="54">
        <f t="shared" si="4"/>
        <v>6800000</v>
      </c>
    </row>
    <row r="28" spans="1:15" x14ac:dyDescent="0.3">
      <c r="A28" s="66">
        <v>25</v>
      </c>
      <c r="B28" s="52">
        <v>45552</v>
      </c>
      <c r="C28" s="53">
        <v>3</v>
      </c>
      <c r="D28" s="62">
        <v>2500000</v>
      </c>
      <c r="E28" s="54">
        <f t="shared" si="0"/>
        <v>7500000</v>
      </c>
      <c r="F28" s="53">
        <v>2</v>
      </c>
      <c r="G28" s="59">
        <v>1800000</v>
      </c>
      <c r="H28" s="54">
        <f t="shared" si="1"/>
        <v>3600000</v>
      </c>
      <c r="I28" s="53"/>
      <c r="J28" s="62">
        <v>7000</v>
      </c>
      <c r="K28" s="54">
        <f t="shared" si="2"/>
        <v>0</v>
      </c>
      <c r="L28" s="67"/>
      <c r="M28" s="62">
        <v>5000</v>
      </c>
      <c r="N28" s="54">
        <f t="shared" si="3"/>
        <v>0</v>
      </c>
      <c r="O28" s="54">
        <f t="shared" si="4"/>
        <v>11100000</v>
      </c>
    </row>
    <row r="29" spans="1:15" x14ac:dyDescent="0.3">
      <c r="A29" s="66">
        <v>26</v>
      </c>
      <c r="B29" s="52">
        <v>45553</v>
      </c>
      <c r="C29" s="53">
        <v>1</v>
      </c>
      <c r="D29" s="62">
        <v>2500000</v>
      </c>
      <c r="E29" s="54">
        <f t="shared" si="0"/>
        <v>2500000</v>
      </c>
      <c r="F29" s="53">
        <v>2</v>
      </c>
      <c r="G29" s="59">
        <v>1800000</v>
      </c>
      <c r="H29" s="54">
        <f t="shared" si="1"/>
        <v>3600000</v>
      </c>
      <c r="I29" s="53"/>
      <c r="J29" s="62">
        <v>7000</v>
      </c>
      <c r="K29" s="54">
        <f t="shared" si="2"/>
        <v>0</v>
      </c>
      <c r="L29" s="67"/>
      <c r="M29" s="62">
        <v>5000</v>
      </c>
      <c r="N29" s="54">
        <f t="shared" si="3"/>
        <v>0</v>
      </c>
      <c r="O29" s="54">
        <f t="shared" si="4"/>
        <v>6100000</v>
      </c>
    </row>
    <row r="30" spans="1:15" x14ac:dyDescent="0.3">
      <c r="A30" s="66">
        <v>27</v>
      </c>
      <c r="B30" s="52">
        <v>45554</v>
      </c>
      <c r="C30" s="53">
        <v>2</v>
      </c>
      <c r="D30" s="62">
        <v>2500000</v>
      </c>
      <c r="E30" s="54">
        <f t="shared" si="0"/>
        <v>5000000</v>
      </c>
      <c r="F30" s="53">
        <v>2</v>
      </c>
      <c r="G30" s="59">
        <v>1800000</v>
      </c>
      <c r="H30" s="54">
        <f t="shared" si="1"/>
        <v>3600000</v>
      </c>
      <c r="I30" s="53"/>
      <c r="J30" s="62">
        <v>7000</v>
      </c>
      <c r="K30" s="54">
        <f t="shared" si="2"/>
        <v>0</v>
      </c>
      <c r="L30" s="67"/>
      <c r="M30" s="62">
        <v>5000</v>
      </c>
      <c r="N30" s="54">
        <f t="shared" si="3"/>
        <v>0</v>
      </c>
      <c r="O30" s="54">
        <f t="shared" si="4"/>
        <v>8600000</v>
      </c>
    </row>
    <row r="31" spans="1:15" x14ac:dyDescent="0.3">
      <c r="A31" s="66">
        <v>28</v>
      </c>
      <c r="B31" s="52">
        <v>45555</v>
      </c>
      <c r="C31" s="53">
        <v>2</v>
      </c>
      <c r="D31" s="62">
        <v>2500000</v>
      </c>
      <c r="E31" s="54">
        <f t="shared" si="0"/>
        <v>5000000</v>
      </c>
      <c r="F31" s="53">
        <v>2</v>
      </c>
      <c r="G31" s="59">
        <v>1800000</v>
      </c>
      <c r="H31" s="54">
        <f t="shared" si="1"/>
        <v>3600000</v>
      </c>
      <c r="I31" s="53"/>
      <c r="J31" s="62">
        <v>7000</v>
      </c>
      <c r="K31" s="54">
        <f>J31*I31</f>
        <v>0</v>
      </c>
      <c r="L31" s="67"/>
      <c r="M31" s="62">
        <v>5000</v>
      </c>
      <c r="N31" s="54">
        <f t="shared" si="3"/>
        <v>0</v>
      </c>
      <c r="O31" s="54">
        <f t="shared" si="4"/>
        <v>8600000</v>
      </c>
    </row>
    <row r="32" spans="1:15" x14ac:dyDescent="0.3">
      <c r="A32" s="66">
        <v>29</v>
      </c>
      <c r="B32" s="52">
        <v>45556</v>
      </c>
      <c r="C32" s="53">
        <v>1</v>
      </c>
      <c r="D32" s="62">
        <v>2500000</v>
      </c>
      <c r="E32" s="54">
        <f t="shared" si="0"/>
        <v>2500000</v>
      </c>
      <c r="F32" s="53">
        <v>2</v>
      </c>
      <c r="G32" s="59">
        <v>1800000</v>
      </c>
      <c r="H32" s="54">
        <f t="shared" si="1"/>
        <v>3600000</v>
      </c>
      <c r="I32" s="53"/>
      <c r="J32" s="62">
        <v>7000</v>
      </c>
      <c r="K32" s="54">
        <f>J32*I32</f>
        <v>0</v>
      </c>
      <c r="L32" s="67"/>
      <c r="M32" s="62">
        <v>5000</v>
      </c>
      <c r="N32" s="54">
        <f t="shared" si="3"/>
        <v>0</v>
      </c>
      <c r="O32" s="54">
        <f t="shared" si="4"/>
        <v>6100000</v>
      </c>
    </row>
    <row r="33" spans="1:15" x14ac:dyDescent="0.3">
      <c r="A33" s="66">
        <v>30</v>
      </c>
      <c r="B33" s="52">
        <v>45557</v>
      </c>
      <c r="C33" s="53">
        <v>1</v>
      </c>
      <c r="D33" s="62">
        <v>2500000</v>
      </c>
      <c r="E33" s="54">
        <f t="shared" si="0"/>
        <v>2500000</v>
      </c>
      <c r="F33" s="53">
        <v>2</v>
      </c>
      <c r="G33" s="59">
        <v>1800000</v>
      </c>
      <c r="H33" s="54">
        <f t="shared" si="1"/>
        <v>3600000</v>
      </c>
      <c r="I33" s="53"/>
      <c r="J33" s="62">
        <v>7000</v>
      </c>
      <c r="K33" s="54">
        <f>J33*I33</f>
        <v>0</v>
      </c>
      <c r="L33" s="67"/>
      <c r="M33" s="62">
        <v>5000</v>
      </c>
      <c r="N33" s="54">
        <f t="shared" si="3"/>
        <v>0</v>
      </c>
      <c r="O33" s="54">
        <f t="shared" si="4"/>
        <v>6100000</v>
      </c>
    </row>
    <row r="34" spans="1:15" x14ac:dyDescent="0.3">
      <c r="A34" s="66">
        <v>31</v>
      </c>
      <c r="B34" s="52">
        <v>45558</v>
      </c>
      <c r="C34" s="53">
        <v>1</v>
      </c>
      <c r="D34" s="62">
        <v>2500000</v>
      </c>
      <c r="E34" s="54">
        <f t="shared" si="0"/>
        <v>2500000</v>
      </c>
      <c r="F34" s="53">
        <v>2</v>
      </c>
      <c r="G34" s="59">
        <v>1800000</v>
      </c>
      <c r="H34" s="54">
        <f t="shared" si="1"/>
        <v>3600000</v>
      </c>
      <c r="I34" s="53"/>
      <c r="J34" s="62">
        <v>7000</v>
      </c>
      <c r="K34" s="54">
        <f>J34*I34</f>
        <v>0</v>
      </c>
      <c r="L34" s="67"/>
      <c r="M34" s="62">
        <v>5000</v>
      </c>
      <c r="N34" s="54">
        <f t="shared" si="3"/>
        <v>0</v>
      </c>
      <c r="O34" s="54">
        <f t="shared" si="4"/>
        <v>6100000</v>
      </c>
    </row>
    <row r="35" spans="1:15" x14ac:dyDescent="0.3">
      <c r="A35" s="66">
        <v>32</v>
      </c>
      <c r="B35" s="52">
        <v>45559</v>
      </c>
      <c r="C35" s="53"/>
      <c r="D35" s="62">
        <v>2500000</v>
      </c>
      <c r="E35" s="54">
        <f t="shared" si="0"/>
        <v>0</v>
      </c>
      <c r="F35" s="53"/>
      <c r="G35" s="59">
        <v>1800000</v>
      </c>
      <c r="H35" s="54">
        <f t="shared" si="1"/>
        <v>0</v>
      </c>
      <c r="I35" s="53"/>
      <c r="J35" s="62">
        <v>7000</v>
      </c>
      <c r="K35" s="54">
        <f>J35*I35</f>
        <v>0</v>
      </c>
      <c r="L35" s="67"/>
      <c r="M35" s="62">
        <v>5000</v>
      </c>
      <c r="N35" s="54">
        <f t="shared" si="3"/>
        <v>0</v>
      </c>
      <c r="O35" s="54">
        <f t="shared" si="4"/>
        <v>0</v>
      </c>
    </row>
    <row r="36" spans="1:15" x14ac:dyDescent="0.3">
      <c r="A36" s="166"/>
      <c r="B36" s="166"/>
      <c r="C36" s="1">
        <f>SUM(C4:C35)</f>
        <v>44</v>
      </c>
      <c r="D36" s="1"/>
      <c r="E36" s="2">
        <f>SUM(E4:E35)</f>
        <v>110000000</v>
      </c>
      <c r="F36" s="2">
        <f>SUM(F4:F35)</f>
        <v>56</v>
      </c>
      <c r="G36" s="2"/>
      <c r="H36" s="2">
        <f>SUM(H4:H35)</f>
        <v>100800000</v>
      </c>
      <c r="I36" s="2">
        <f>SUM(I4:I35)</f>
        <v>0</v>
      </c>
      <c r="J36" s="2"/>
      <c r="K36" s="2">
        <f>SUM(K4:K35)</f>
        <v>0</v>
      </c>
      <c r="L36" s="2">
        <f>SUM(L4:L35)</f>
        <v>1020</v>
      </c>
      <c r="M36" s="2"/>
      <c r="N36" s="2">
        <f>SUM(N4:N35)</f>
        <v>5100000</v>
      </c>
      <c r="O36" s="2">
        <f>SUM(O4:O35)</f>
        <v>215900000</v>
      </c>
    </row>
    <row r="37" spans="1:15" x14ac:dyDescent="0.3">
      <c r="A37" s="65"/>
      <c r="B37" s="164" t="s">
        <v>34</v>
      </c>
      <c r="C37" s="164"/>
      <c r="D37" s="164"/>
      <c r="E37" s="164"/>
      <c r="F37" s="34"/>
      <c r="G37" s="35"/>
      <c r="H37" s="36"/>
      <c r="I37" s="36"/>
      <c r="J37" s="36"/>
      <c r="K37" s="36"/>
      <c r="L37" s="164" t="s">
        <v>34</v>
      </c>
      <c r="M37" s="164"/>
      <c r="N37" s="164"/>
      <c r="O37" s="164"/>
    </row>
    <row r="38" spans="1:15" x14ac:dyDescent="0.3">
      <c r="B38" s="118" t="s">
        <v>37</v>
      </c>
      <c r="C38" s="118"/>
      <c r="D38" s="118"/>
      <c r="E38" s="118"/>
      <c r="F38" s="37"/>
      <c r="G38" s="56"/>
      <c r="H38" s="37"/>
      <c r="I38" s="37"/>
      <c r="J38" s="37"/>
      <c r="K38" s="37"/>
      <c r="L38" s="118" t="s">
        <v>38</v>
      </c>
      <c r="M38" s="118"/>
      <c r="N38" s="118"/>
      <c r="O38" s="118"/>
    </row>
  </sheetData>
  <mergeCells count="11">
    <mergeCell ref="A36:B36"/>
    <mergeCell ref="B37:E37"/>
    <mergeCell ref="L37:O37"/>
    <mergeCell ref="B38:E38"/>
    <mergeCell ref="L38:O38"/>
    <mergeCell ref="A3:B3"/>
    <mergeCell ref="A1:O1"/>
    <mergeCell ref="C2:E2"/>
    <mergeCell ref="F2:H2"/>
    <mergeCell ref="I2:K2"/>
    <mergeCell ref="L2:N2"/>
  </mergeCells>
  <pageMargins left="0.19" right="0.17" top="0.5" bottom="0.75" header="0.3" footer="0.3"/>
  <pageSetup paperSize="9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O37"/>
  <sheetViews>
    <sheetView view="pageBreakPreview" topLeftCell="A9" zoomScaleNormal="100" zoomScaleSheetLayoutView="100" workbookViewId="0">
      <selection activeCell="A34" sqref="A34:B34"/>
    </sheetView>
  </sheetViews>
  <sheetFormatPr defaultColWidth="9.36328125" defaultRowHeight="12" x14ac:dyDescent="0.3"/>
  <cols>
    <col min="1" max="1" width="3.36328125" style="32" customWidth="1"/>
    <col min="2" max="2" width="9.36328125" style="32" customWidth="1"/>
    <col min="3" max="3" width="6.6328125" style="32" customWidth="1"/>
    <col min="4" max="4" width="9.36328125" style="32" customWidth="1"/>
    <col min="5" max="5" width="12.36328125" style="32" customWidth="1"/>
    <col min="6" max="6" width="6.453125" style="32" customWidth="1"/>
    <col min="7" max="7" width="13.36328125" style="38" customWidth="1"/>
    <col min="8" max="8" width="12.6328125" style="32" customWidth="1"/>
    <col min="9" max="9" width="8.36328125" style="32" customWidth="1"/>
    <col min="10" max="10" width="9.36328125" style="32" customWidth="1"/>
    <col min="11" max="11" width="11.6328125" style="32" customWidth="1"/>
    <col min="12" max="12" width="7.54296875" style="32" customWidth="1"/>
    <col min="13" max="13" width="8.54296875" style="32" customWidth="1"/>
    <col min="14" max="14" width="11.54296875" style="32" customWidth="1"/>
    <col min="15" max="15" width="11.6328125" style="32" customWidth="1"/>
    <col min="16" max="16384" width="9.36328125" style="32"/>
  </cols>
  <sheetData>
    <row r="1" spans="1:15" ht="16.5" customHeight="1" x14ac:dyDescent="0.3">
      <c r="A1" s="156" t="s">
        <v>46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</row>
    <row r="2" spans="1:15" ht="24" customHeight="1" x14ac:dyDescent="0.3">
      <c r="A2" s="39" t="s">
        <v>21</v>
      </c>
      <c r="B2" s="40" t="s">
        <v>22</v>
      </c>
      <c r="C2" s="159" t="s">
        <v>23</v>
      </c>
      <c r="D2" s="159"/>
      <c r="E2" s="159"/>
      <c r="F2" s="159" t="s">
        <v>24</v>
      </c>
      <c r="G2" s="159"/>
      <c r="H2" s="159"/>
      <c r="I2" s="160" t="s">
        <v>25</v>
      </c>
      <c r="J2" s="161"/>
      <c r="K2" s="162"/>
      <c r="L2" s="159" t="s">
        <v>26</v>
      </c>
      <c r="M2" s="159"/>
      <c r="N2" s="159"/>
      <c r="O2" s="41" t="s">
        <v>27</v>
      </c>
    </row>
    <row r="3" spans="1:15" ht="33" customHeight="1" x14ac:dyDescent="0.3">
      <c r="A3" s="158" t="s">
        <v>28</v>
      </c>
      <c r="B3" s="158"/>
      <c r="C3" s="42" t="s">
        <v>29</v>
      </c>
      <c r="D3" s="43" t="s">
        <v>30</v>
      </c>
      <c r="E3" s="44" t="s">
        <v>31</v>
      </c>
      <c r="F3" s="45" t="s">
        <v>29</v>
      </c>
      <c r="G3" s="46" t="s">
        <v>30</v>
      </c>
      <c r="H3" s="44" t="s">
        <v>32</v>
      </c>
      <c r="I3" s="47" t="s">
        <v>29</v>
      </c>
      <c r="J3" s="43" t="s">
        <v>30</v>
      </c>
      <c r="K3" s="44" t="s">
        <v>32</v>
      </c>
      <c r="L3" s="47" t="s">
        <v>33</v>
      </c>
      <c r="M3" s="43" t="s">
        <v>30</v>
      </c>
      <c r="N3" s="44" t="s">
        <v>32</v>
      </c>
      <c r="O3" s="48"/>
    </row>
    <row r="4" spans="1:15" x14ac:dyDescent="0.3">
      <c r="A4" s="66">
        <v>1</v>
      </c>
      <c r="B4" s="52">
        <v>45559</v>
      </c>
      <c r="C4" s="53">
        <v>2</v>
      </c>
      <c r="D4" s="62">
        <v>2500000</v>
      </c>
      <c r="E4" s="54">
        <f t="shared" ref="E4:E34" si="0">D4*C4</f>
        <v>5000000</v>
      </c>
      <c r="F4" s="53">
        <v>2</v>
      </c>
      <c r="G4" s="59">
        <v>1800000</v>
      </c>
      <c r="H4" s="54">
        <f t="shared" ref="H4:H34" si="1">G4*F4</f>
        <v>3600000</v>
      </c>
      <c r="I4" s="53"/>
      <c r="J4" s="62">
        <v>7000</v>
      </c>
      <c r="K4" s="54">
        <f t="shared" ref="K4:K30" si="2">J4*I4</f>
        <v>0</v>
      </c>
      <c r="L4" s="67"/>
      <c r="M4" s="62">
        <v>5000</v>
      </c>
      <c r="N4" s="54">
        <f t="shared" ref="N4:N34" si="3">L4*M4</f>
        <v>0</v>
      </c>
      <c r="O4" s="54">
        <f t="shared" ref="O4:O34" si="4">E4+H4+N4+K4</f>
        <v>8600000</v>
      </c>
    </row>
    <row r="5" spans="1:15" x14ac:dyDescent="0.3">
      <c r="A5" s="66">
        <v>2</v>
      </c>
      <c r="B5" s="52">
        <v>45560</v>
      </c>
      <c r="C5" s="53">
        <v>2</v>
      </c>
      <c r="D5" s="62">
        <v>2500000</v>
      </c>
      <c r="E5" s="54">
        <f t="shared" si="0"/>
        <v>5000000</v>
      </c>
      <c r="F5" s="53">
        <v>2</v>
      </c>
      <c r="G5" s="59">
        <v>1800000</v>
      </c>
      <c r="H5" s="54">
        <f t="shared" si="1"/>
        <v>3600000</v>
      </c>
      <c r="I5" s="53"/>
      <c r="J5" s="62">
        <v>7000</v>
      </c>
      <c r="K5" s="54">
        <f t="shared" si="2"/>
        <v>0</v>
      </c>
      <c r="L5" s="67"/>
      <c r="M5" s="62">
        <v>5000</v>
      </c>
      <c r="N5" s="54">
        <f t="shared" si="3"/>
        <v>0</v>
      </c>
      <c r="O5" s="54">
        <f t="shared" si="4"/>
        <v>8600000</v>
      </c>
    </row>
    <row r="6" spans="1:15" x14ac:dyDescent="0.3">
      <c r="A6" s="66">
        <v>3</v>
      </c>
      <c r="B6" s="52">
        <v>45561</v>
      </c>
      <c r="C6" s="53">
        <v>2</v>
      </c>
      <c r="D6" s="62">
        <v>2500000</v>
      </c>
      <c r="E6" s="54">
        <f t="shared" si="0"/>
        <v>5000000</v>
      </c>
      <c r="F6" s="53">
        <v>3</v>
      </c>
      <c r="G6" s="59">
        <v>1800000</v>
      </c>
      <c r="H6" s="54">
        <f t="shared" si="1"/>
        <v>5400000</v>
      </c>
      <c r="I6" s="53"/>
      <c r="J6" s="62">
        <v>7000</v>
      </c>
      <c r="K6" s="54">
        <f t="shared" si="2"/>
        <v>0</v>
      </c>
      <c r="L6" s="67"/>
      <c r="M6" s="62">
        <v>5000</v>
      </c>
      <c r="N6" s="54">
        <f t="shared" si="3"/>
        <v>0</v>
      </c>
      <c r="O6" s="54">
        <f t="shared" si="4"/>
        <v>10400000</v>
      </c>
    </row>
    <row r="7" spans="1:15" x14ac:dyDescent="0.3">
      <c r="A7" s="66">
        <v>4</v>
      </c>
      <c r="B7" s="52">
        <v>45562</v>
      </c>
      <c r="C7" s="53">
        <v>2</v>
      </c>
      <c r="D7" s="62">
        <v>2500000</v>
      </c>
      <c r="E7" s="54">
        <f t="shared" si="0"/>
        <v>5000000</v>
      </c>
      <c r="F7" s="53">
        <v>2</v>
      </c>
      <c r="G7" s="59">
        <v>1800000</v>
      </c>
      <c r="H7" s="54">
        <f t="shared" si="1"/>
        <v>3600000</v>
      </c>
      <c r="I7" s="53"/>
      <c r="J7" s="62">
        <v>7000</v>
      </c>
      <c r="K7" s="54">
        <f t="shared" si="2"/>
        <v>0</v>
      </c>
      <c r="L7" s="67"/>
      <c r="M7" s="62">
        <v>5000</v>
      </c>
      <c r="N7" s="54">
        <f t="shared" si="3"/>
        <v>0</v>
      </c>
      <c r="O7" s="54">
        <f t="shared" si="4"/>
        <v>8600000</v>
      </c>
    </row>
    <row r="8" spans="1:15" x14ac:dyDescent="0.3">
      <c r="A8" s="66">
        <v>5</v>
      </c>
      <c r="B8" s="52">
        <v>45563</v>
      </c>
      <c r="C8" s="53">
        <v>2</v>
      </c>
      <c r="D8" s="62">
        <v>2500000</v>
      </c>
      <c r="E8" s="54">
        <f t="shared" si="0"/>
        <v>5000000</v>
      </c>
      <c r="F8" s="53">
        <v>2</v>
      </c>
      <c r="G8" s="59">
        <v>1800000</v>
      </c>
      <c r="H8" s="54">
        <f t="shared" si="1"/>
        <v>3600000</v>
      </c>
      <c r="I8" s="53">
        <v>1880</v>
      </c>
      <c r="J8" s="62">
        <v>7000</v>
      </c>
      <c r="K8" s="54">
        <f t="shared" si="2"/>
        <v>13160000</v>
      </c>
      <c r="L8" s="67"/>
      <c r="M8" s="62">
        <v>5000</v>
      </c>
      <c r="N8" s="54">
        <f t="shared" si="3"/>
        <v>0</v>
      </c>
      <c r="O8" s="54">
        <f t="shared" si="4"/>
        <v>21760000</v>
      </c>
    </row>
    <row r="9" spans="1:15" ht="11.75" customHeight="1" x14ac:dyDescent="0.3">
      <c r="A9" s="66">
        <v>6</v>
      </c>
      <c r="B9" s="52">
        <v>45564</v>
      </c>
      <c r="C9" s="53">
        <v>1</v>
      </c>
      <c r="D9" s="62">
        <v>2500000</v>
      </c>
      <c r="E9" s="54">
        <f>D9*C9</f>
        <v>2500000</v>
      </c>
      <c r="F9" s="53">
        <v>1</v>
      </c>
      <c r="G9" s="59">
        <v>1800000</v>
      </c>
      <c r="H9" s="54">
        <f t="shared" si="1"/>
        <v>1800000</v>
      </c>
      <c r="I9" s="53"/>
      <c r="J9" s="62">
        <v>7000</v>
      </c>
      <c r="K9" s="54">
        <f t="shared" si="2"/>
        <v>0</v>
      </c>
      <c r="L9" s="67"/>
      <c r="M9" s="62">
        <v>5000</v>
      </c>
      <c r="N9" s="54">
        <f t="shared" si="3"/>
        <v>0</v>
      </c>
      <c r="O9" s="54">
        <f>E9+H9+N9+K9</f>
        <v>4300000</v>
      </c>
    </row>
    <row r="10" spans="1:15" x14ac:dyDescent="0.3">
      <c r="A10" s="66">
        <v>7</v>
      </c>
      <c r="B10" s="52">
        <v>45565</v>
      </c>
      <c r="C10" s="53">
        <v>2</v>
      </c>
      <c r="D10" s="62">
        <v>2500000</v>
      </c>
      <c r="E10" s="54">
        <f>D10*C10</f>
        <v>5000000</v>
      </c>
      <c r="F10" s="53">
        <v>2</v>
      </c>
      <c r="G10" s="59">
        <v>1800000</v>
      </c>
      <c r="H10" s="54">
        <f>G10*F10</f>
        <v>3600000</v>
      </c>
      <c r="I10" s="53"/>
      <c r="J10" s="62">
        <v>7000</v>
      </c>
      <c r="K10" s="54"/>
      <c r="L10" s="67"/>
      <c r="M10" s="62">
        <v>5000</v>
      </c>
      <c r="N10" s="54">
        <f t="shared" si="3"/>
        <v>0</v>
      </c>
      <c r="O10" s="54">
        <f t="shared" si="4"/>
        <v>8600000</v>
      </c>
    </row>
    <row r="11" spans="1:15" x14ac:dyDescent="0.3">
      <c r="A11" s="66">
        <v>8</v>
      </c>
      <c r="B11" s="52">
        <v>45566</v>
      </c>
      <c r="C11" s="53">
        <v>1</v>
      </c>
      <c r="D11" s="62">
        <v>2500000</v>
      </c>
      <c r="E11" s="54">
        <f>D11*C11</f>
        <v>2500000</v>
      </c>
      <c r="F11" s="53">
        <v>3</v>
      </c>
      <c r="G11" s="59">
        <v>1800000</v>
      </c>
      <c r="H11" s="54">
        <f t="shared" si="1"/>
        <v>5400000</v>
      </c>
      <c r="I11" s="53"/>
      <c r="J11" s="62">
        <v>7000</v>
      </c>
      <c r="K11" s="54">
        <f t="shared" si="2"/>
        <v>0</v>
      </c>
      <c r="L11" s="67"/>
      <c r="M11" s="62">
        <v>5000</v>
      </c>
      <c r="N11" s="54">
        <f t="shared" si="3"/>
        <v>0</v>
      </c>
      <c r="O11" s="54">
        <f t="shared" si="4"/>
        <v>7900000</v>
      </c>
    </row>
    <row r="12" spans="1:15" x14ac:dyDescent="0.3">
      <c r="A12" s="66">
        <v>9</v>
      </c>
      <c r="B12" s="52">
        <v>45567</v>
      </c>
      <c r="C12" s="53">
        <v>2</v>
      </c>
      <c r="D12" s="62">
        <v>2500000</v>
      </c>
      <c r="E12" s="54">
        <f>D12*C12</f>
        <v>5000000</v>
      </c>
      <c r="F12" s="53">
        <v>3</v>
      </c>
      <c r="G12" s="59">
        <v>1800000</v>
      </c>
      <c r="H12" s="54">
        <f t="shared" si="1"/>
        <v>5400000</v>
      </c>
      <c r="I12" s="53"/>
      <c r="J12" s="62">
        <v>7000</v>
      </c>
      <c r="K12" s="54">
        <f t="shared" si="2"/>
        <v>0</v>
      </c>
      <c r="L12" s="67"/>
      <c r="M12" s="62">
        <v>5000</v>
      </c>
      <c r="N12" s="54">
        <f t="shared" si="3"/>
        <v>0</v>
      </c>
      <c r="O12" s="54">
        <f t="shared" si="4"/>
        <v>10400000</v>
      </c>
    </row>
    <row r="13" spans="1:15" x14ac:dyDescent="0.3">
      <c r="A13" s="66">
        <v>10</v>
      </c>
      <c r="B13" s="52">
        <v>45568</v>
      </c>
      <c r="C13" s="53">
        <v>1</v>
      </c>
      <c r="D13" s="62">
        <v>2500000</v>
      </c>
      <c r="E13" s="54">
        <f t="shared" si="0"/>
        <v>2500000</v>
      </c>
      <c r="F13" s="53">
        <v>3</v>
      </c>
      <c r="G13" s="59">
        <v>1800000</v>
      </c>
      <c r="H13" s="54">
        <f t="shared" si="1"/>
        <v>5400000</v>
      </c>
      <c r="I13" s="53"/>
      <c r="J13" s="62">
        <v>7000</v>
      </c>
      <c r="K13" s="54">
        <f t="shared" si="2"/>
        <v>0</v>
      </c>
      <c r="L13" s="67"/>
      <c r="M13" s="62">
        <v>5000</v>
      </c>
      <c r="N13" s="54">
        <f t="shared" si="3"/>
        <v>0</v>
      </c>
      <c r="O13" s="54">
        <f t="shared" si="4"/>
        <v>7900000</v>
      </c>
    </row>
    <row r="14" spans="1:15" x14ac:dyDescent="0.3">
      <c r="A14" s="66">
        <v>11</v>
      </c>
      <c r="B14" s="52">
        <v>45569</v>
      </c>
      <c r="C14" s="53">
        <v>2</v>
      </c>
      <c r="D14" s="62">
        <v>2500000</v>
      </c>
      <c r="E14" s="54">
        <f t="shared" si="0"/>
        <v>5000000</v>
      </c>
      <c r="F14" s="53">
        <v>3</v>
      </c>
      <c r="G14" s="59">
        <v>1800000</v>
      </c>
      <c r="H14" s="54">
        <f t="shared" si="1"/>
        <v>5400000</v>
      </c>
      <c r="I14" s="53"/>
      <c r="J14" s="62">
        <v>7000</v>
      </c>
      <c r="K14" s="54">
        <f t="shared" si="2"/>
        <v>0</v>
      </c>
      <c r="L14" s="67"/>
      <c r="M14" s="62">
        <v>5000</v>
      </c>
      <c r="N14" s="54">
        <f t="shared" si="3"/>
        <v>0</v>
      </c>
      <c r="O14" s="54">
        <f>E14+H14+N14+K14</f>
        <v>10400000</v>
      </c>
    </row>
    <row r="15" spans="1:15" x14ac:dyDescent="0.3">
      <c r="A15" s="66">
        <v>12</v>
      </c>
      <c r="B15" s="52">
        <v>45570</v>
      </c>
      <c r="C15" s="53">
        <v>3</v>
      </c>
      <c r="D15" s="62">
        <v>2500000</v>
      </c>
      <c r="E15" s="54">
        <f t="shared" si="0"/>
        <v>7500000</v>
      </c>
      <c r="F15" s="53">
        <v>2</v>
      </c>
      <c r="G15" s="59">
        <v>1800000</v>
      </c>
      <c r="H15" s="54">
        <f t="shared" si="1"/>
        <v>3600000</v>
      </c>
      <c r="I15" s="53"/>
      <c r="J15" s="62">
        <v>7000</v>
      </c>
      <c r="K15" s="54">
        <f t="shared" si="2"/>
        <v>0</v>
      </c>
      <c r="L15" s="67"/>
      <c r="M15" s="62">
        <v>5000</v>
      </c>
      <c r="N15" s="54">
        <f t="shared" si="3"/>
        <v>0</v>
      </c>
      <c r="O15" s="54">
        <f t="shared" si="4"/>
        <v>11100000</v>
      </c>
    </row>
    <row r="16" spans="1:15" x14ac:dyDescent="0.3">
      <c r="A16" s="66">
        <v>13</v>
      </c>
      <c r="B16" s="52">
        <v>45571</v>
      </c>
      <c r="C16" s="53">
        <v>3</v>
      </c>
      <c r="D16" s="62">
        <v>2500000</v>
      </c>
      <c r="E16" s="54">
        <f t="shared" si="0"/>
        <v>7500000</v>
      </c>
      <c r="F16" s="53">
        <v>2</v>
      </c>
      <c r="G16" s="59">
        <v>1800000</v>
      </c>
      <c r="H16" s="54">
        <f t="shared" si="1"/>
        <v>3600000</v>
      </c>
      <c r="I16" s="53"/>
      <c r="J16" s="62">
        <v>7000</v>
      </c>
      <c r="K16" s="54">
        <f t="shared" si="2"/>
        <v>0</v>
      </c>
      <c r="L16" s="67"/>
      <c r="M16" s="62">
        <v>5000</v>
      </c>
      <c r="N16" s="54">
        <f t="shared" si="3"/>
        <v>0</v>
      </c>
      <c r="O16" s="54">
        <f t="shared" si="4"/>
        <v>11100000</v>
      </c>
    </row>
    <row r="17" spans="1:15" x14ac:dyDescent="0.3">
      <c r="A17" s="66">
        <v>14</v>
      </c>
      <c r="B17" s="52">
        <v>45572</v>
      </c>
      <c r="C17" s="53">
        <v>2</v>
      </c>
      <c r="D17" s="62">
        <v>2500000</v>
      </c>
      <c r="E17" s="54">
        <f t="shared" si="0"/>
        <v>5000000</v>
      </c>
      <c r="F17" s="53">
        <v>3</v>
      </c>
      <c r="G17" s="59">
        <v>1800000</v>
      </c>
      <c r="H17" s="54">
        <f t="shared" si="1"/>
        <v>5400000</v>
      </c>
      <c r="I17" s="53"/>
      <c r="J17" s="62">
        <v>7000</v>
      </c>
      <c r="K17" s="54">
        <f t="shared" si="2"/>
        <v>0</v>
      </c>
      <c r="L17" s="67"/>
      <c r="M17" s="62">
        <v>5000</v>
      </c>
      <c r="N17" s="54">
        <f t="shared" si="3"/>
        <v>0</v>
      </c>
      <c r="O17" s="54">
        <f t="shared" si="4"/>
        <v>10400000</v>
      </c>
    </row>
    <row r="18" spans="1:15" x14ac:dyDescent="0.3">
      <c r="A18" s="66">
        <v>15</v>
      </c>
      <c r="B18" s="52">
        <v>45573</v>
      </c>
      <c r="C18" s="53">
        <v>2</v>
      </c>
      <c r="D18" s="62">
        <v>2500000</v>
      </c>
      <c r="E18" s="54">
        <f t="shared" si="0"/>
        <v>5000000</v>
      </c>
      <c r="F18" s="53">
        <v>2</v>
      </c>
      <c r="G18" s="59">
        <v>1800000</v>
      </c>
      <c r="H18" s="54">
        <f t="shared" si="1"/>
        <v>3600000</v>
      </c>
      <c r="I18" s="53"/>
      <c r="J18" s="62">
        <v>7000</v>
      </c>
      <c r="K18" s="54">
        <f t="shared" si="2"/>
        <v>0</v>
      </c>
      <c r="L18" s="67"/>
      <c r="M18" s="62">
        <v>5000</v>
      </c>
      <c r="N18" s="54">
        <f t="shared" si="3"/>
        <v>0</v>
      </c>
      <c r="O18" s="54">
        <f t="shared" si="4"/>
        <v>8600000</v>
      </c>
    </row>
    <row r="19" spans="1:15" x14ac:dyDescent="0.3">
      <c r="A19" s="66">
        <v>16</v>
      </c>
      <c r="B19" s="52">
        <v>45574</v>
      </c>
      <c r="C19" s="53">
        <v>2</v>
      </c>
      <c r="D19" s="62">
        <v>2500000</v>
      </c>
      <c r="E19" s="54">
        <f t="shared" si="0"/>
        <v>5000000</v>
      </c>
      <c r="F19" s="53">
        <v>3</v>
      </c>
      <c r="G19" s="59">
        <v>1800000</v>
      </c>
      <c r="H19" s="54">
        <f t="shared" si="1"/>
        <v>5400000</v>
      </c>
      <c r="I19" s="53"/>
      <c r="J19" s="62">
        <v>7000</v>
      </c>
      <c r="K19" s="54">
        <f t="shared" si="2"/>
        <v>0</v>
      </c>
      <c r="L19" s="67"/>
      <c r="M19" s="62">
        <v>5000</v>
      </c>
      <c r="N19" s="54">
        <f t="shared" si="3"/>
        <v>0</v>
      </c>
      <c r="O19" s="54">
        <f t="shared" si="4"/>
        <v>10400000</v>
      </c>
    </row>
    <row r="20" spans="1:15" x14ac:dyDescent="0.3">
      <c r="A20" s="66">
        <v>17</v>
      </c>
      <c r="B20" s="52">
        <v>45575</v>
      </c>
      <c r="C20" s="53">
        <v>3</v>
      </c>
      <c r="D20" s="62">
        <v>2500000</v>
      </c>
      <c r="E20" s="54">
        <f t="shared" si="0"/>
        <v>7500000</v>
      </c>
      <c r="F20" s="53">
        <v>2</v>
      </c>
      <c r="G20" s="59">
        <v>1800000</v>
      </c>
      <c r="H20" s="54">
        <f t="shared" si="1"/>
        <v>3600000</v>
      </c>
      <c r="I20" s="53"/>
      <c r="J20" s="62">
        <v>7000</v>
      </c>
      <c r="K20" s="54">
        <f t="shared" si="2"/>
        <v>0</v>
      </c>
      <c r="L20" s="67"/>
      <c r="M20" s="62">
        <v>5000</v>
      </c>
      <c r="N20" s="54">
        <f t="shared" si="3"/>
        <v>0</v>
      </c>
      <c r="O20" s="54">
        <f t="shared" si="4"/>
        <v>11100000</v>
      </c>
    </row>
    <row r="21" spans="1:15" x14ac:dyDescent="0.3">
      <c r="A21" s="66">
        <v>18</v>
      </c>
      <c r="B21" s="52">
        <v>45576</v>
      </c>
      <c r="C21" s="53">
        <v>3</v>
      </c>
      <c r="D21" s="62">
        <v>2500000</v>
      </c>
      <c r="E21" s="54">
        <f>D21*C21</f>
        <v>7500000</v>
      </c>
      <c r="F21" s="53">
        <v>3</v>
      </c>
      <c r="G21" s="59">
        <v>1800000</v>
      </c>
      <c r="H21" s="54">
        <f t="shared" si="1"/>
        <v>5400000</v>
      </c>
      <c r="I21" s="53"/>
      <c r="J21" s="62">
        <v>7000</v>
      </c>
      <c r="K21" s="54">
        <f t="shared" si="2"/>
        <v>0</v>
      </c>
      <c r="L21" s="67"/>
      <c r="M21" s="62">
        <v>5000</v>
      </c>
      <c r="N21" s="54">
        <f t="shared" si="3"/>
        <v>0</v>
      </c>
      <c r="O21" s="54">
        <f t="shared" si="4"/>
        <v>12900000</v>
      </c>
    </row>
    <row r="22" spans="1:15" x14ac:dyDescent="0.3">
      <c r="A22" s="66">
        <v>19</v>
      </c>
      <c r="B22" s="52">
        <v>45577</v>
      </c>
      <c r="C22" s="53">
        <v>2</v>
      </c>
      <c r="D22" s="62">
        <v>2500000</v>
      </c>
      <c r="E22" s="54">
        <f>D22*C22</f>
        <v>5000000</v>
      </c>
      <c r="F22" s="53">
        <v>2</v>
      </c>
      <c r="G22" s="59">
        <v>1800000</v>
      </c>
      <c r="H22" s="54">
        <f>G22*F22</f>
        <v>3600000</v>
      </c>
      <c r="I22" s="53"/>
      <c r="J22" s="62">
        <v>7000</v>
      </c>
      <c r="K22" s="54">
        <f t="shared" si="2"/>
        <v>0</v>
      </c>
      <c r="L22" s="67"/>
      <c r="M22" s="62">
        <v>5000</v>
      </c>
      <c r="N22" s="54">
        <f t="shared" si="3"/>
        <v>0</v>
      </c>
      <c r="O22" s="54">
        <f t="shared" si="4"/>
        <v>8600000</v>
      </c>
    </row>
    <row r="23" spans="1:15" x14ac:dyDescent="0.3">
      <c r="A23" s="66">
        <v>20</v>
      </c>
      <c r="B23" s="52">
        <v>45578</v>
      </c>
      <c r="C23" s="53">
        <v>1</v>
      </c>
      <c r="D23" s="62">
        <v>2500000</v>
      </c>
      <c r="E23" s="54">
        <f>D23*C23</f>
        <v>2500000</v>
      </c>
      <c r="F23" s="53">
        <v>1</v>
      </c>
      <c r="G23" s="59">
        <v>1800000</v>
      </c>
      <c r="H23" s="54">
        <f>G23*F23</f>
        <v>1800000</v>
      </c>
      <c r="I23" s="53"/>
      <c r="J23" s="62">
        <v>7000</v>
      </c>
      <c r="K23" s="54">
        <f t="shared" si="2"/>
        <v>0</v>
      </c>
      <c r="L23" s="67"/>
      <c r="M23" s="62">
        <v>5000</v>
      </c>
      <c r="N23" s="54">
        <f t="shared" si="3"/>
        <v>0</v>
      </c>
      <c r="O23" s="54">
        <f t="shared" si="4"/>
        <v>4300000</v>
      </c>
    </row>
    <row r="24" spans="1:15" x14ac:dyDescent="0.3">
      <c r="A24" s="66">
        <v>21</v>
      </c>
      <c r="B24" s="52">
        <v>45579</v>
      </c>
      <c r="C24" s="53">
        <v>2</v>
      </c>
      <c r="D24" s="62">
        <v>2500000</v>
      </c>
      <c r="E24" s="54">
        <f>D24*C24</f>
        <v>5000000</v>
      </c>
      <c r="F24" s="68">
        <v>2</v>
      </c>
      <c r="G24" s="59">
        <v>1800000</v>
      </c>
      <c r="H24" s="54">
        <f t="shared" si="1"/>
        <v>3600000</v>
      </c>
      <c r="I24" s="53"/>
      <c r="J24" s="62">
        <v>7000</v>
      </c>
      <c r="K24" s="54">
        <f t="shared" si="2"/>
        <v>0</v>
      </c>
      <c r="L24" s="67"/>
      <c r="M24" s="62">
        <v>5000</v>
      </c>
      <c r="N24" s="54">
        <f t="shared" si="3"/>
        <v>0</v>
      </c>
      <c r="O24" s="54">
        <f t="shared" si="4"/>
        <v>8600000</v>
      </c>
    </row>
    <row r="25" spans="1:15" x14ac:dyDescent="0.3">
      <c r="A25" s="66">
        <v>22</v>
      </c>
      <c r="B25" s="52">
        <v>45580</v>
      </c>
      <c r="C25" s="53">
        <v>3</v>
      </c>
      <c r="D25" s="62">
        <v>2500000</v>
      </c>
      <c r="E25" s="54">
        <f t="shared" si="0"/>
        <v>7500000</v>
      </c>
      <c r="F25" s="53">
        <v>3</v>
      </c>
      <c r="G25" s="59">
        <v>1800000</v>
      </c>
      <c r="H25" s="54">
        <f t="shared" si="1"/>
        <v>5400000</v>
      </c>
      <c r="I25" s="53"/>
      <c r="J25" s="62">
        <v>7000</v>
      </c>
      <c r="K25" s="54">
        <f t="shared" si="2"/>
        <v>0</v>
      </c>
      <c r="L25" s="67"/>
      <c r="M25" s="62">
        <v>5000</v>
      </c>
      <c r="N25" s="54">
        <f t="shared" si="3"/>
        <v>0</v>
      </c>
      <c r="O25" s="54">
        <f t="shared" si="4"/>
        <v>12900000</v>
      </c>
    </row>
    <row r="26" spans="1:15" x14ac:dyDescent="0.3">
      <c r="A26" s="66">
        <v>23</v>
      </c>
      <c r="B26" s="52">
        <v>45581</v>
      </c>
      <c r="C26" s="53">
        <v>1</v>
      </c>
      <c r="D26" s="62">
        <v>2500000</v>
      </c>
      <c r="E26" s="54">
        <f t="shared" si="0"/>
        <v>2500000</v>
      </c>
      <c r="F26" s="53">
        <v>3</v>
      </c>
      <c r="G26" s="59">
        <v>1800000</v>
      </c>
      <c r="H26" s="54">
        <f t="shared" si="1"/>
        <v>5400000</v>
      </c>
      <c r="I26" s="53"/>
      <c r="J26" s="62">
        <v>7000</v>
      </c>
      <c r="K26" s="54">
        <f t="shared" si="2"/>
        <v>0</v>
      </c>
      <c r="L26" s="67"/>
      <c r="M26" s="62">
        <v>5000</v>
      </c>
      <c r="N26" s="54">
        <f t="shared" si="3"/>
        <v>0</v>
      </c>
      <c r="O26" s="54">
        <f t="shared" si="4"/>
        <v>7900000</v>
      </c>
    </row>
    <row r="27" spans="1:15" x14ac:dyDescent="0.3">
      <c r="A27" s="66">
        <v>24</v>
      </c>
      <c r="B27" s="52">
        <v>45582</v>
      </c>
      <c r="C27" s="53">
        <v>3</v>
      </c>
      <c r="D27" s="62">
        <v>2500000</v>
      </c>
      <c r="E27" s="54">
        <f t="shared" si="0"/>
        <v>7500000</v>
      </c>
      <c r="F27" s="53">
        <v>3</v>
      </c>
      <c r="G27" s="59">
        <v>1800000</v>
      </c>
      <c r="H27" s="54">
        <f t="shared" si="1"/>
        <v>5400000</v>
      </c>
      <c r="I27" s="53"/>
      <c r="J27" s="62">
        <v>7000</v>
      </c>
      <c r="K27" s="54">
        <f t="shared" si="2"/>
        <v>0</v>
      </c>
      <c r="L27" s="67"/>
      <c r="M27" s="62">
        <v>5000</v>
      </c>
      <c r="N27" s="54">
        <f t="shared" si="3"/>
        <v>0</v>
      </c>
      <c r="O27" s="54">
        <f t="shared" si="4"/>
        <v>12900000</v>
      </c>
    </row>
    <row r="28" spans="1:15" x14ac:dyDescent="0.3">
      <c r="A28" s="66">
        <v>25</v>
      </c>
      <c r="B28" s="52">
        <v>45583</v>
      </c>
      <c r="C28" s="53">
        <v>3</v>
      </c>
      <c r="D28" s="62">
        <v>2500000</v>
      </c>
      <c r="E28" s="54">
        <f t="shared" si="0"/>
        <v>7500000</v>
      </c>
      <c r="F28" s="53">
        <v>2</v>
      </c>
      <c r="G28" s="59">
        <v>1800000</v>
      </c>
      <c r="H28" s="54">
        <f t="shared" si="1"/>
        <v>3600000</v>
      </c>
      <c r="I28" s="53"/>
      <c r="J28" s="62">
        <v>7000</v>
      </c>
      <c r="K28" s="54">
        <f t="shared" si="2"/>
        <v>0</v>
      </c>
      <c r="L28" s="67"/>
      <c r="M28" s="62">
        <v>5000</v>
      </c>
      <c r="N28" s="54">
        <f t="shared" si="3"/>
        <v>0</v>
      </c>
      <c r="O28" s="54">
        <f t="shared" si="4"/>
        <v>11100000</v>
      </c>
    </row>
    <row r="29" spans="1:15" x14ac:dyDescent="0.3">
      <c r="A29" s="66">
        <v>26</v>
      </c>
      <c r="B29" s="52">
        <v>45584</v>
      </c>
      <c r="C29" s="53">
        <v>3</v>
      </c>
      <c r="D29" s="62">
        <v>2500000</v>
      </c>
      <c r="E29" s="54">
        <f t="shared" si="0"/>
        <v>7500000</v>
      </c>
      <c r="F29" s="53">
        <v>3</v>
      </c>
      <c r="G29" s="59">
        <v>1800000</v>
      </c>
      <c r="H29" s="54">
        <f t="shared" si="1"/>
        <v>5400000</v>
      </c>
      <c r="I29" s="53"/>
      <c r="J29" s="62">
        <v>7000</v>
      </c>
      <c r="K29" s="54">
        <f t="shared" si="2"/>
        <v>0</v>
      </c>
      <c r="L29" s="67"/>
      <c r="M29" s="62">
        <v>5000</v>
      </c>
      <c r="N29" s="54">
        <f t="shared" si="3"/>
        <v>0</v>
      </c>
      <c r="O29" s="54">
        <f t="shared" si="4"/>
        <v>12900000</v>
      </c>
    </row>
    <row r="30" spans="1:15" x14ac:dyDescent="0.3">
      <c r="A30" s="66">
        <v>27</v>
      </c>
      <c r="B30" s="52">
        <v>45585</v>
      </c>
      <c r="C30" s="53">
        <v>0</v>
      </c>
      <c r="D30" s="62">
        <v>2500000</v>
      </c>
      <c r="E30" s="54">
        <f t="shared" si="0"/>
        <v>0</v>
      </c>
      <c r="F30" s="53">
        <v>0</v>
      </c>
      <c r="G30" s="59">
        <v>1800000</v>
      </c>
      <c r="H30" s="54">
        <f t="shared" si="1"/>
        <v>0</v>
      </c>
      <c r="I30" s="53"/>
      <c r="J30" s="62">
        <v>7000</v>
      </c>
      <c r="K30" s="54">
        <f t="shared" si="2"/>
        <v>0</v>
      </c>
      <c r="L30" s="67"/>
      <c r="M30" s="62">
        <v>5000</v>
      </c>
      <c r="N30" s="54">
        <f t="shared" si="3"/>
        <v>0</v>
      </c>
      <c r="O30" s="54">
        <f t="shared" si="4"/>
        <v>0</v>
      </c>
    </row>
    <row r="31" spans="1:15" x14ac:dyDescent="0.3">
      <c r="A31" s="66">
        <v>28</v>
      </c>
      <c r="B31" s="52">
        <v>45586</v>
      </c>
      <c r="C31" s="53">
        <v>2</v>
      </c>
      <c r="D31" s="62">
        <v>2500000</v>
      </c>
      <c r="E31" s="54">
        <f t="shared" si="0"/>
        <v>5000000</v>
      </c>
      <c r="F31" s="53">
        <v>2</v>
      </c>
      <c r="G31" s="59">
        <v>1800000</v>
      </c>
      <c r="H31" s="54">
        <f t="shared" si="1"/>
        <v>3600000</v>
      </c>
      <c r="I31" s="53"/>
      <c r="J31" s="62">
        <v>7000</v>
      </c>
      <c r="K31" s="54">
        <f>J31*I31</f>
        <v>0</v>
      </c>
      <c r="L31" s="67"/>
      <c r="M31" s="62">
        <v>5000</v>
      </c>
      <c r="N31" s="54">
        <f t="shared" si="3"/>
        <v>0</v>
      </c>
      <c r="O31" s="54">
        <f t="shared" si="4"/>
        <v>8600000</v>
      </c>
    </row>
    <row r="32" spans="1:15" x14ac:dyDescent="0.3">
      <c r="A32" s="66">
        <v>29</v>
      </c>
      <c r="B32" s="52">
        <v>45587</v>
      </c>
      <c r="C32" s="53">
        <v>3</v>
      </c>
      <c r="D32" s="62">
        <v>2500000</v>
      </c>
      <c r="E32" s="54">
        <f t="shared" si="0"/>
        <v>7500000</v>
      </c>
      <c r="F32" s="53">
        <v>3</v>
      </c>
      <c r="G32" s="59">
        <v>1800000</v>
      </c>
      <c r="H32" s="54">
        <f t="shared" si="1"/>
        <v>5400000</v>
      </c>
      <c r="I32" s="53"/>
      <c r="J32" s="62">
        <v>7000</v>
      </c>
      <c r="K32" s="54">
        <f>J32*I32</f>
        <v>0</v>
      </c>
      <c r="L32" s="67">
        <v>860</v>
      </c>
      <c r="M32" s="62">
        <v>5000</v>
      </c>
      <c r="N32" s="54">
        <f t="shared" si="3"/>
        <v>4300000</v>
      </c>
      <c r="O32" s="54">
        <f t="shared" si="4"/>
        <v>17200000</v>
      </c>
    </row>
    <row r="33" spans="1:15" x14ac:dyDescent="0.3">
      <c r="A33" s="66">
        <v>30</v>
      </c>
      <c r="B33" s="52">
        <v>45588</v>
      </c>
      <c r="C33" s="53">
        <v>2</v>
      </c>
      <c r="D33" s="62">
        <v>2500000</v>
      </c>
      <c r="E33" s="54">
        <f t="shared" si="0"/>
        <v>5000000</v>
      </c>
      <c r="F33" s="53">
        <v>2</v>
      </c>
      <c r="G33" s="59">
        <v>1800000</v>
      </c>
      <c r="H33" s="54">
        <f t="shared" si="1"/>
        <v>3600000</v>
      </c>
      <c r="I33" s="53"/>
      <c r="J33" s="62">
        <v>7000</v>
      </c>
      <c r="K33" s="54">
        <f>J33*I33</f>
        <v>0</v>
      </c>
      <c r="L33" s="67"/>
      <c r="M33" s="62">
        <v>5000</v>
      </c>
      <c r="N33" s="54">
        <f t="shared" si="3"/>
        <v>0</v>
      </c>
      <c r="O33" s="54">
        <f t="shared" si="4"/>
        <v>8600000</v>
      </c>
    </row>
    <row r="34" spans="1:15" x14ac:dyDescent="0.3">
      <c r="A34" s="66">
        <v>31</v>
      </c>
      <c r="B34" s="52">
        <v>45589</v>
      </c>
      <c r="C34" s="53">
        <v>3</v>
      </c>
      <c r="D34" s="62">
        <v>2500000</v>
      </c>
      <c r="E34" s="54">
        <f t="shared" si="0"/>
        <v>7500000</v>
      </c>
      <c r="F34" s="53">
        <v>3</v>
      </c>
      <c r="G34" s="59">
        <v>1800000</v>
      </c>
      <c r="H34" s="54">
        <f t="shared" si="1"/>
        <v>5400000</v>
      </c>
      <c r="I34" s="53"/>
      <c r="J34" s="62">
        <v>7000</v>
      </c>
      <c r="K34" s="54">
        <f>J34*I34</f>
        <v>0</v>
      </c>
      <c r="L34" s="67"/>
      <c r="M34" s="62">
        <v>5000</v>
      </c>
      <c r="N34" s="54">
        <f t="shared" si="3"/>
        <v>0</v>
      </c>
      <c r="O34" s="54">
        <f t="shared" si="4"/>
        <v>12900000</v>
      </c>
    </row>
    <row r="35" spans="1:15" x14ac:dyDescent="0.3">
      <c r="A35" s="166"/>
      <c r="B35" s="166"/>
      <c r="C35" s="1">
        <f>SUM(C4:C34)</f>
        <v>65</v>
      </c>
      <c r="D35" s="1"/>
      <c r="E35" s="2">
        <f>SUM(E4:E34)</f>
        <v>162500000</v>
      </c>
      <c r="F35" s="2">
        <f>SUM(F4:F34)</f>
        <v>72</v>
      </c>
      <c r="G35" s="2"/>
      <c r="H35" s="2">
        <f>SUM(H4:H34)</f>
        <v>129600000</v>
      </c>
      <c r="I35" s="2">
        <f>SUM(I4:I34)</f>
        <v>1880</v>
      </c>
      <c r="J35" s="2"/>
      <c r="K35" s="2">
        <f>SUM(K4:K34)</f>
        <v>13160000</v>
      </c>
      <c r="L35" s="2">
        <f>SUM(L4:L34)</f>
        <v>860</v>
      </c>
      <c r="M35" s="2"/>
      <c r="N35" s="2">
        <f>SUM(N4:N34)</f>
        <v>4300000</v>
      </c>
      <c r="O35" s="2">
        <f>SUM(O4:O34)</f>
        <v>309560000</v>
      </c>
    </row>
    <row r="36" spans="1:15" x14ac:dyDescent="0.3">
      <c r="A36" s="65"/>
      <c r="B36" s="164" t="s">
        <v>34</v>
      </c>
      <c r="C36" s="164"/>
      <c r="D36" s="164"/>
      <c r="E36" s="164"/>
      <c r="F36" s="34"/>
      <c r="G36" s="35"/>
      <c r="H36" s="36"/>
      <c r="I36" s="36"/>
      <c r="J36" s="36"/>
      <c r="K36" s="36"/>
      <c r="L36" s="164" t="s">
        <v>34</v>
      </c>
      <c r="M36" s="164"/>
      <c r="N36" s="164"/>
      <c r="O36" s="164"/>
    </row>
    <row r="37" spans="1:15" x14ac:dyDescent="0.3">
      <c r="B37" s="118" t="s">
        <v>37</v>
      </c>
      <c r="C37" s="118"/>
      <c r="D37" s="118"/>
      <c r="E37" s="118"/>
      <c r="F37" s="37"/>
      <c r="G37" s="56"/>
      <c r="H37" s="37"/>
      <c r="I37" s="37"/>
      <c r="J37" s="37"/>
      <c r="K37" s="37"/>
      <c r="L37" s="118" t="s">
        <v>38</v>
      </c>
      <c r="M37" s="118"/>
      <c r="N37" s="118"/>
      <c r="O37" s="118"/>
    </row>
  </sheetData>
  <mergeCells count="11">
    <mergeCell ref="A35:B35"/>
    <mergeCell ref="B36:E36"/>
    <mergeCell ref="L36:O36"/>
    <mergeCell ref="B37:E37"/>
    <mergeCell ref="L37:O37"/>
    <mergeCell ref="A3:B3"/>
    <mergeCell ref="A1:O1"/>
    <mergeCell ref="C2:E2"/>
    <mergeCell ref="F2:H2"/>
    <mergeCell ref="I2:K2"/>
    <mergeCell ref="L2:N2"/>
  </mergeCells>
  <pageMargins left="0.19" right="0.17" top="0.5" bottom="0.75" header="0.3" footer="0.3"/>
  <pageSetup paperSize="9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O37"/>
  <sheetViews>
    <sheetView view="pageBreakPreview" topLeftCell="A6" zoomScaleNormal="100" zoomScaleSheetLayoutView="100" workbookViewId="0">
      <selection activeCell="A34" sqref="A34:B34"/>
    </sheetView>
  </sheetViews>
  <sheetFormatPr defaultColWidth="9.36328125" defaultRowHeight="12" x14ac:dyDescent="0.3"/>
  <cols>
    <col min="1" max="1" width="3.36328125" style="32" customWidth="1"/>
    <col min="2" max="2" width="9.36328125" style="32" customWidth="1"/>
    <col min="3" max="3" width="6.6328125" style="32" customWidth="1"/>
    <col min="4" max="4" width="9.36328125" style="32" customWidth="1"/>
    <col min="5" max="5" width="12.36328125" style="32" customWidth="1"/>
    <col min="6" max="6" width="6.453125" style="32" customWidth="1"/>
    <col min="7" max="7" width="13.36328125" style="38" customWidth="1"/>
    <col min="8" max="8" width="12.6328125" style="32" customWidth="1"/>
    <col min="9" max="9" width="8.36328125" style="32" customWidth="1"/>
    <col min="10" max="10" width="9.36328125" style="32" customWidth="1"/>
    <col min="11" max="11" width="11.6328125" style="32" customWidth="1"/>
    <col min="12" max="12" width="7.54296875" style="32" customWidth="1"/>
    <col min="13" max="13" width="8.54296875" style="32" customWidth="1"/>
    <col min="14" max="14" width="11.54296875" style="32" customWidth="1"/>
    <col min="15" max="15" width="11.6328125" style="32" customWidth="1"/>
    <col min="16" max="16384" width="9.36328125" style="32"/>
  </cols>
  <sheetData>
    <row r="1" spans="1:15" ht="16.5" customHeight="1" x14ac:dyDescent="0.3">
      <c r="A1" s="156" t="s">
        <v>47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</row>
    <row r="2" spans="1:15" ht="24" customHeight="1" x14ac:dyDescent="0.3">
      <c r="A2" s="39" t="s">
        <v>21</v>
      </c>
      <c r="B2" s="40" t="s">
        <v>22</v>
      </c>
      <c r="C2" s="159" t="s">
        <v>23</v>
      </c>
      <c r="D2" s="159"/>
      <c r="E2" s="159"/>
      <c r="F2" s="159" t="s">
        <v>24</v>
      </c>
      <c r="G2" s="159"/>
      <c r="H2" s="159"/>
      <c r="I2" s="160" t="s">
        <v>25</v>
      </c>
      <c r="J2" s="161"/>
      <c r="K2" s="162"/>
      <c r="L2" s="159" t="s">
        <v>26</v>
      </c>
      <c r="M2" s="159"/>
      <c r="N2" s="159"/>
      <c r="O2" s="41" t="s">
        <v>27</v>
      </c>
    </row>
    <row r="3" spans="1:15" ht="33" customHeight="1" x14ac:dyDescent="0.3">
      <c r="A3" s="158" t="s">
        <v>28</v>
      </c>
      <c r="B3" s="158"/>
      <c r="C3" s="42" t="s">
        <v>29</v>
      </c>
      <c r="D3" s="43" t="s">
        <v>30</v>
      </c>
      <c r="E3" s="44" t="s">
        <v>31</v>
      </c>
      <c r="F3" s="45" t="s">
        <v>29</v>
      </c>
      <c r="G3" s="46" t="s">
        <v>30</v>
      </c>
      <c r="H3" s="44" t="s">
        <v>32</v>
      </c>
      <c r="I3" s="47" t="s">
        <v>29</v>
      </c>
      <c r="J3" s="43" t="s">
        <v>30</v>
      </c>
      <c r="K3" s="44" t="s">
        <v>32</v>
      </c>
      <c r="L3" s="47" t="s">
        <v>33</v>
      </c>
      <c r="M3" s="43" t="s">
        <v>30</v>
      </c>
      <c r="N3" s="44" t="s">
        <v>32</v>
      </c>
      <c r="O3" s="48"/>
    </row>
    <row r="4" spans="1:15" x14ac:dyDescent="0.3">
      <c r="A4" s="66">
        <v>1</v>
      </c>
      <c r="B4" s="52">
        <v>45590</v>
      </c>
      <c r="C4" s="53">
        <v>2</v>
      </c>
      <c r="D4" s="62">
        <v>2500000</v>
      </c>
      <c r="E4" s="54">
        <f t="shared" ref="E4:E34" si="0">D4*C4</f>
        <v>5000000</v>
      </c>
      <c r="F4" s="53">
        <v>3</v>
      </c>
      <c r="G4" s="59">
        <v>1800000</v>
      </c>
      <c r="H4" s="54">
        <f t="shared" ref="H4:H34" si="1">G4*F4</f>
        <v>5400000</v>
      </c>
      <c r="I4" s="53"/>
      <c r="J4" s="62">
        <v>7000</v>
      </c>
      <c r="K4" s="54">
        <f t="shared" ref="K4:K30" si="2">J4*I4</f>
        <v>0</v>
      </c>
      <c r="L4" s="67"/>
      <c r="M4" s="62">
        <v>5000</v>
      </c>
      <c r="N4" s="54">
        <f t="shared" ref="N4:N34" si="3">L4*M4</f>
        <v>0</v>
      </c>
      <c r="O4" s="54">
        <f t="shared" ref="O4:O34" si="4">E4+H4+N4+K4</f>
        <v>10400000</v>
      </c>
    </row>
    <row r="5" spans="1:15" x14ac:dyDescent="0.3">
      <c r="A5" s="66">
        <v>2</v>
      </c>
      <c r="B5" s="52">
        <v>45591</v>
      </c>
      <c r="C5" s="53">
        <v>2</v>
      </c>
      <c r="D5" s="62">
        <v>2500000</v>
      </c>
      <c r="E5" s="54">
        <f t="shared" si="0"/>
        <v>5000000</v>
      </c>
      <c r="F5" s="53">
        <v>2</v>
      </c>
      <c r="G5" s="59">
        <v>1800000</v>
      </c>
      <c r="H5" s="54">
        <f t="shared" si="1"/>
        <v>3600000</v>
      </c>
      <c r="I5" s="53"/>
      <c r="J5" s="62">
        <v>7000</v>
      </c>
      <c r="K5" s="54">
        <f t="shared" si="2"/>
        <v>0</v>
      </c>
      <c r="L5" s="67"/>
      <c r="M5" s="62">
        <v>5000</v>
      </c>
      <c r="N5" s="54">
        <f t="shared" si="3"/>
        <v>0</v>
      </c>
      <c r="O5" s="54">
        <f t="shared" si="4"/>
        <v>8600000</v>
      </c>
    </row>
    <row r="6" spans="1:15" x14ac:dyDescent="0.3">
      <c r="A6" s="66">
        <v>3</v>
      </c>
      <c r="B6" s="52">
        <v>45592</v>
      </c>
      <c r="C6" s="53">
        <v>1</v>
      </c>
      <c r="D6" s="62">
        <v>2500000</v>
      </c>
      <c r="E6" s="54">
        <f t="shared" si="0"/>
        <v>2500000</v>
      </c>
      <c r="F6" s="53">
        <v>2</v>
      </c>
      <c r="G6" s="59">
        <v>1800000</v>
      </c>
      <c r="H6" s="54">
        <f t="shared" si="1"/>
        <v>3600000</v>
      </c>
      <c r="I6" s="53"/>
      <c r="J6" s="62">
        <v>7000</v>
      </c>
      <c r="K6" s="54">
        <f t="shared" si="2"/>
        <v>0</v>
      </c>
      <c r="L6" s="67"/>
      <c r="M6" s="62">
        <v>5000</v>
      </c>
      <c r="N6" s="54">
        <f t="shared" si="3"/>
        <v>0</v>
      </c>
      <c r="O6" s="54">
        <f t="shared" si="4"/>
        <v>6100000</v>
      </c>
    </row>
    <row r="7" spans="1:15" x14ac:dyDescent="0.3">
      <c r="A7" s="66">
        <v>4</v>
      </c>
      <c r="B7" s="52">
        <v>45593</v>
      </c>
      <c r="C7" s="53">
        <v>3</v>
      </c>
      <c r="D7" s="62">
        <v>2500000</v>
      </c>
      <c r="E7" s="54">
        <f t="shared" si="0"/>
        <v>7500000</v>
      </c>
      <c r="F7" s="53">
        <v>2</v>
      </c>
      <c r="G7" s="59">
        <v>1800000</v>
      </c>
      <c r="H7" s="54">
        <f t="shared" si="1"/>
        <v>3600000</v>
      </c>
      <c r="I7" s="53"/>
      <c r="J7" s="62">
        <v>7000</v>
      </c>
      <c r="K7" s="54">
        <f t="shared" si="2"/>
        <v>0</v>
      </c>
      <c r="L7" s="67"/>
      <c r="M7" s="62">
        <v>5000</v>
      </c>
      <c r="N7" s="54">
        <f t="shared" si="3"/>
        <v>0</v>
      </c>
      <c r="O7" s="54">
        <f t="shared" si="4"/>
        <v>11100000</v>
      </c>
    </row>
    <row r="8" spans="1:15" x14ac:dyDescent="0.3">
      <c r="A8" s="66">
        <v>5</v>
      </c>
      <c r="B8" s="52">
        <v>45594</v>
      </c>
      <c r="C8" s="53">
        <v>2</v>
      </c>
      <c r="D8" s="62">
        <v>2500000</v>
      </c>
      <c r="E8" s="54">
        <f t="shared" si="0"/>
        <v>5000000</v>
      </c>
      <c r="F8" s="53">
        <v>2</v>
      </c>
      <c r="G8" s="59">
        <v>1800000</v>
      </c>
      <c r="H8" s="54">
        <f t="shared" si="1"/>
        <v>3600000</v>
      </c>
      <c r="I8" s="53"/>
      <c r="J8" s="62">
        <v>7000</v>
      </c>
      <c r="K8" s="54">
        <f t="shared" si="2"/>
        <v>0</v>
      </c>
      <c r="L8" s="67"/>
      <c r="M8" s="62">
        <v>5000</v>
      </c>
      <c r="N8" s="54">
        <f t="shared" si="3"/>
        <v>0</v>
      </c>
      <c r="O8" s="54">
        <f t="shared" si="4"/>
        <v>8600000</v>
      </c>
    </row>
    <row r="9" spans="1:15" ht="11.75" customHeight="1" x14ac:dyDescent="0.3">
      <c r="A9" s="66">
        <v>6</v>
      </c>
      <c r="B9" s="52">
        <v>45595</v>
      </c>
      <c r="C9" s="53">
        <v>2</v>
      </c>
      <c r="D9" s="62">
        <v>2500000</v>
      </c>
      <c r="E9" s="54">
        <f>D9*C9</f>
        <v>5000000</v>
      </c>
      <c r="F9" s="53">
        <v>3</v>
      </c>
      <c r="G9" s="59">
        <v>1800000</v>
      </c>
      <c r="H9" s="54">
        <f t="shared" si="1"/>
        <v>5400000</v>
      </c>
      <c r="I9" s="53"/>
      <c r="J9" s="62">
        <v>7000</v>
      </c>
      <c r="K9" s="54">
        <f t="shared" si="2"/>
        <v>0</v>
      </c>
      <c r="L9" s="67"/>
      <c r="M9" s="62">
        <v>5000</v>
      </c>
      <c r="N9" s="54">
        <f t="shared" si="3"/>
        <v>0</v>
      </c>
      <c r="O9" s="54">
        <f>E9+H9+N9+K9</f>
        <v>10400000</v>
      </c>
    </row>
    <row r="10" spans="1:15" x14ac:dyDescent="0.3">
      <c r="A10" s="66">
        <v>7</v>
      </c>
      <c r="B10" s="52">
        <v>45596</v>
      </c>
      <c r="C10" s="53">
        <v>2</v>
      </c>
      <c r="D10" s="62">
        <v>2500000</v>
      </c>
      <c r="E10" s="54">
        <f>D10*C10</f>
        <v>5000000</v>
      </c>
      <c r="F10" s="53">
        <v>2</v>
      </c>
      <c r="G10" s="59">
        <v>1800000</v>
      </c>
      <c r="H10" s="54">
        <f>G10*F10</f>
        <v>3600000</v>
      </c>
      <c r="I10" s="53"/>
      <c r="J10" s="62">
        <v>7000</v>
      </c>
      <c r="K10" s="54"/>
      <c r="L10" s="67"/>
      <c r="M10" s="62">
        <v>5000</v>
      </c>
      <c r="N10" s="54">
        <f t="shared" si="3"/>
        <v>0</v>
      </c>
      <c r="O10" s="54">
        <f t="shared" si="4"/>
        <v>8600000</v>
      </c>
    </row>
    <row r="11" spans="1:15" x14ac:dyDescent="0.3">
      <c r="A11" s="66">
        <v>8</v>
      </c>
      <c r="B11" s="52">
        <v>45597</v>
      </c>
      <c r="C11" s="53">
        <v>2</v>
      </c>
      <c r="D11" s="62">
        <v>2500000</v>
      </c>
      <c r="E11" s="54">
        <f>D11*C11</f>
        <v>5000000</v>
      </c>
      <c r="F11" s="53">
        <v>2</v>
      </c>
      <c r="G11" s="59">
        <v>1800000</v>
      </c>
      <c r="H11" s="54">
        <f t="shared" si="1"/>
        <v>3600000</v>
      </c>
      <c r="I11" s="53"/>
      <c r="J11" s="62">
        <v>7000</v>
      </c>
      <c r="K11" s="54">
        <f t="shared" si="2"/>
        <v>0</v>
      </c>
      <c r="L11" s="67"/>
      <c r="M11" s="62">
        <v>5000</v>
      </c>
      <c r="N11" s="54">
        <f t="shared" si="3"/>
        <v>0</v>
      </c>
      <c r="O11" s="54">
        <f t="shared" si="4"/>
        <v>8600000</v>
      </c>
    </row>
    <row r="12" spans="1:15" x14ac:dyDescent="0.3">
      <c r="A12" s="66">
        <v>9</v>
      </c>
      <c r="B12" s="52">
        <v>45598</v>
      </c>
      <c r="C12" s="53">
        <v>2</v>
      </c>
      <c r="D12" s="62">
        <v>2500000</v>
      </c>
      <c r="E12" s="54">
        <f>D12*C12</f>
        <v>5000000</v>
      </c>
      <c r="F12" s="53">
        <v>3</v>
      </c>
      <c r="G12" s="59">
        <v>1800000</v>
      </c>
      <c r="H12" s="54">
        <f t="shared" si="1"/>
        <v>5400000</v>
      </c>
      <c r="I12" s="53"/>
      <c r="J12" s="62">
        <v>7000</v>
      </c>
      <c r="K12" s="54">
        <f t="shared" si="2"/>
        <v>0</v>
      </c>
      <c r="L12" s="67"/>
      <c r="M12" s="62">
        <v>5000</v>
      </c>
      <c r="N12" s="54">
        <f t="shared" si="3"/>
        <v>0</v>
      </c>
      <c r="O12" s="54">
        <f t="shared" si="4"/>
        <v>10400000</v>
      </c>
    </row>
    <row r="13" spans="1:15" x14ac:dyDescent="0.3">
      <c r="A13" s="66">
        <v>10</v>
      </c>
      <c r="B13" s="52">
        <v>45599</v>
      </c>
      <c r="C13" s="53"/>
      <c r="D13" s="62">
        <v>2500000</v>
      </c>
      <c r="E13" s="54">
        <f t="shared" si="0"/>
        <v>0</v>
      </c>
      <c r="F13" s="53"/>
      <c r="G13" s="59">
        <v>1800000</v>
      </c>
      <c r="H13" s="54">
        <f t="shared" si="1"/>
        <v>0</v>
      </c>
      <c r="I13" s="53"/>
      <c r="J13" s="62">
        <v>7000</v>
      </c>
      <c r="K13" s="54">
        <f t="shared" si="2"/>
        <v>0</v>
      </c>
      <c r="L13" s="67"/>
      <c r="M13" s="62">
        <v>5000</v>
      </c>
      <c r="N13" s="54">
        <f t="shared" si="3"/>
        <v>0</v>
      </c>
      <c r="O13" s="54">
        <f t="shared" si="4"/>
        <v>0</v>
      </c>
    </row>
    <row r="14" spans="1:15" x14ac:dyDescent="0.3">
      <c r="A14" s="66">
        <v>11</v>
      </c>
      <c r="B14" s="52">
        <v>45600</v>
      </c>
      <c r="C14" s="53">
        <v>2</v>
      </c>
      <c r="D14" s="62">
        <v>2500000</v>
      </c>
      <c r="E14" s="54">
        <f t="shared" si="0"/>
        <v>5000000</v>
      </c>
      <c r="F14" s="53">
        <v>2</v>
      </c>
      <c r="G14" s="59">
        <v>1800000</v>
      </c>
      <c r="H14" s="54">
        <f t="shared" si="1"/>
        <v>3600000</v>
      </c>
      <c r="I14" s="53"/>
      <c r="J14" s="62">
        <v>7000</v>
      </c>
      <c r="K14" s="54">
        <f t="shared" si="2"/>
        <v>0</v>
      </c>
      <c r="L14" s="67"/>
      <c r="M14" s="62">
        <v>5000</v>
      </c>
      <c r="N14" s="54">
        <f t="shared" si="3"/>
        <v>0</v>
      </c>
      <c r="O14" s="54">
        <f>E14+H14+N14+K14</f>
        <v>8600000</v>
      </c>
    </row>
    <row r="15" spans="1:15" x14ac:dyDescent="0.3">
      <c r="A15" s="66">
        <v>12</v>
      </c>
      <c r="B15" s="52">
        <v>45601</v>
      </c>
      <c r="C15" s="53">
        <v>2</v>
      </c>
      <c r="D15" s="62">
        <v>2500000</v>
      </c>
      <c r="E15" s="54">
        <f t="shared" si="0"/>
        <v>5000000</v>
      </c>
      <c r="F15" s="53">
        <v>3</v>
      </c>
      <c r="G15" s="59">
        <v>1800000</v>
      </c>
      <c r="H15" s="54">
        <f t="shared" si="1"/>
        <v>5400000</v>
      </c>
      <c r="I15" s="53"/>
      <c r="J15" s="62">
        <v>7000</v>
      </c>
      <c r="K15" s="54">
        <f t="shared" si="2"/>
        <v>0</v>
      </c>
      <c r="L15" s="67"/>
      <c r="M15" s="62">
        <v>5000</v>
      </c>
      <c r="N15" s="54">
        <f t="shared" si="3"/>
        <v>0</v>
      </c>
      <c r="O15" s="54">
        <f t="shared" si="4"/>
        <v>10400000</v>
      </c>
    </row>
    <row r="16" spans="1:15" x14ac:dyDescent="0.3">
      <c r="A16" s="66">
        <v>13</v>
      </c>
      <c r="B16" s="52">
        <v>45602</v>
      </c>
      <c r="C16" s="53">
        <v>2</v>
      </c>
      <c r="D16" s="62">
        <v>2500000</v>
      </c>
      <c r="E16" s="54">
        <f t="shared" si="0"/>
        <v>5000000</v>
      </c>
      <c r="F16" s="53">
        <v>2</v>
      </c>
      <c r="G16" s="59">
        <v>1800000</v>
      </c>
      <c r="H16" s="54">
        <f t="shared" si="1"/>
        <v>3600000</v>
      </c>
      <c r="I16" s="53"/>
      <c r="J16" s="62">
        <v>7000</v>
      </c>
      <c r="K16" s="54">
        <f t="shared" si="2"/>
        <v>0</v>
      </c>
      <c r="L16" s="67"/>
      <c r="M16" s="62">
        <v>5000</v>
      </c>
      <c r="N16" s="54">
        <f t="shared" si="3"/>
        <v>0</v>
      </c>
      <c r="O16" s="54">
        <f t="shared" si="4"/>
        <v>8600000</v>
      </c>
    </row>
    <row r="17" spans="1:15" x14ac:dyDescent="0.3">
      <c r="A17" s="66">
        <v>14</v>
      </c>
      <c r="B17" s="52">
        <v>45603</v>
      </c>
      <c r="C17" s="53">
        <v>3</v>
      </c>
      <c r="D17" s="62">
        <v>2500000</v>
      </c>
      <c r="E17" s="54">
        <f t="shared" si="0"/>
        <v>7500000</v>
      </c>
      <c r="F17" s="53">
        <v>2</v>
      </c>
      <c r="G17" s="59">
        <v>1800000</v>
      </c>
      <c r="H17" s="54">
        <f t="shared" si="1"/>
        <v>3600000</v>
      </c>
      <c r="I17" s="53"/>
      <c r="J17" s="62">
        <v>7000</v>
      </c>
      <c r="K17" s="54">
        <f t="shared" si="2"/>
        <v>0</v>
      </c>
      <c r="L17" s="67">
        <v>490</v>
      </c>
      <c r="M17" s="62">
        <v>5000</v>
      </c>
      <c r="N17" s="54">
        <f t="shared" si="3"/>
        <v>2450000</v>
      </c>
      <c r="O17" s="54">
        <f t="shared" si="4"/>
        <v>13550000</v>
      </c>
    </row>
    <row r="18" spans="1:15" x14ac:dyDescent="0.3">
      <c r="A18" s="66">
        <v>15</v>
      </c>
      <c r="B18" s="52">
        <v>45604</v>
      </c>
      <c r="C18" s="53">
        <v>2</v>
      </c>
      <c r="D18" s="62">
        <v>2500000</v>
      </c>
      <c r="E18" s="54">
        <f t="shared" si="0"/>
        <v>5000000</v>
      </c>
      <c r="F18" s="53">
        <v>2</v>
      </c>
      <c r="G18" s="59">
        <v>1800000</v>
      </c>
      <c r="H18" s="54">
        <f t="shared" si="1"/>
        <v>3600000</v>
      </c>
      <c r="I18" s="53"/>
      <c r="J18" s="62">
        <v>7000</v>
      </c>
      <c r="K18" s="54">
        <f t="shared" si="2"/>
        <v>0</v>
      </c>
      <c r="L18" s="67"/>
      <c r="M18" s="62">
        <v>5000</v>
      </c>
      <c r="N18" s="54">
        <f t="shared" si="3"/>
        <v>0</v>
      </c>
      <c r="O18" s="54">
        <f t="shared" si="4"/>
        <v>8600000</v>
      </c>
    </row>
    <row r="19" spans="1:15" x14ac:dyDescent="0.3">
      <c r="A19" s="66">
        <v>16</v>
      </c>
      <c r="B19" s="52">
        <v>45605</v>
      </c>
      <c r="C19" s="53">
        <v>1</v>
      </c>
      <c r="D19" s="62">
        <v>2500000</v>
      </c>
      <c r="E19" s="54">
        <f t="shared" si="0"/>
        <v>2500000</v>
      </c>
      <c r="F19" s="53">
        <v>2</v>
      </c>
      <c r="G19" s="59">
        <v>1800000</v>
      </c>
      <c r="H19" s="54">
        <f t="shared" si="1"/>
        <v>3600000</v>
      </c>
      <c r="I19" s="53"/>
      <c r="J19" s="62">
        <v>7000</v>
      </c>
      <c r="K19" s="54">
        <f t="shared" si="2"/>
        <v>0</v>
      </c>
      <c r="L19" s="67"/>
      <c r="M19" s="62">
        <v>5000</v>
      </c>
      <c r="N19" s="54">
        <f t="shared" si="3"/>
        <v>0</v>
      </c>
      <c r="O19" s="54">
        <f t="shared" si="4"/>
        <v>6100000</v>
      </c>
    </row>
    <row r="20" spans="1:15" x14ac:dyDescent="0.3">
      <c r="A20" s="66">
        <v>17</v>
      </c>
      <c r="B20" s="52">
        <v>45606</v>
      </c>
      <c r="C20" s="53">
        <v>2</v>
      </c>
      <c r="D20" s="62">
        <v>2500000</v>
      </c>
      <c r="E20" s="54">
        <f t="shared" si="0"/>
        <v>5000000</v>
      </c>
      <c r="F20" s="53">
        <v>2</v>
      </c>
      <c r="G20" s="59">
        <v>1800000</v>
      </c>
      <c r="H20" s="54">
        <f t="shared" si="1"/>
        <v>3600000</v>
      </c>
      <c r="I20" s="53"/>
      <c r="J20" s="62">
        <v>7000</v>
      </c>
      <c r="K20" s="54">
        <f t="shared" si="2"/>
        <v>0</v>
      </c>
      <c r="L20" s="67"/>
      <c r="M20" s="62">
        <v>5000</v>
      </c>
      <c r="N20" s="54">
        <f t="shared" si="3"/>
        <v>0</v>
      </c>
      <c r="O20" s="54">
        <f t="shared" si="4"/>
        <v>8600000</v>
      </c>
    </row>
    <row r="21" spans="1:15" x14ac:dyDescent="0.3">
      <c r="A21" s="66">
        <v>18</v>
      </c>
      <c r="B21" s="52">
        <v>45607</v>
      </c>
      <c r="C21" s="53">
        <v>2</v>
      </c>
      <c r="D21" s="62">
        <v>2500000</v>
      </c>
      <c r="E21" s="54">
        <f t="shared" ref="E21:E26" si="5">D21*C21</f>
        <v>5000000</v>
      </c>
      <c r="F21" s="53">
        <v>2</v>
      </c>
      <c r="G21" s="59">
        <v>1800000</v>
      </c>
      <c r="H21" s="54">
        <f t="shared" si="1"/>
        <v>3600000</v>
      </c>
      <c r="I21" s="53"/>
      <c r="J21" s="62">
        <v>7000</v>
      </c>
      <c r="K21" s="54">
        <f t="shared" si="2"/>
        <v>0</v>
      </c>
      <c r="L21" s="67"/>
      <c r="M21" s="62">
        <v>5000</v>
      </c>
      <c r="N21" s="54">
        <f t="shared" si="3"/>
        <v>0</v>
      </c>
      <c r="O21" s="54">
        <f t="shared" si="4"/>
        <v>8600000</v>
      </c>
    </row>
    <row r="22" spans="1:15" x14ac:dyDescent="0.3">
      <c r="A22" s="66">
        <v>19</v>
      </c>
      <c r="B22" s="52">
        <v>45608</v>
      </c>
      <c r="C22" s="53">
        <v>2</v>
      </c>
      <c r="D22" s="62">
        <v>2500000</v>
      </c>
      <c r="E22" s="54">
        <f t="shared" si="5"/>
        <v>5000000</v>
      </c>
      <c r="F22" s="53">
        <v>1</v>
      </c>
      <c r="G22" s="59">
        <v>1800000</v>
      </c>
      <c r="H22" s="54">
        <f>G22*F22</f>
        <v>1800000</v>
      </c>
      <c r="I22" s="53"/>
      <c r="J22" s="62">
        <v>7000</v>
      </c>
      <c r="K22" s="54">
        <f t="shared" si="2"/>
        <v>0</v>
      </c>
      <c r="L22" s="67"/>
      <c r="M22" s="62">
        <v>5000</v>
      </c>
      <c r="N22" s="54">
        <f t="shared" si="3"/>
        <v>0</v>
      </c>
      <c r="O22" s="54">
        <f t="shared" si="4"/>
        <v>6800000</v>
      </c>
    </row>
    <row r="23" spans="1:15" x14ac:dyDescent="0.3">
      <c r="A23" s="66">
        <v>20</v>
      </c>
      <c r="B23" s="52">
        <v>45609</v>
      </c>
      <c r="C23" s="53">
        <v>2</v>
      </c>
      <c r="D23" s="62">
        <v>2500000</v>
      </c>
      <c r="E23" s="54">
        <f t="shared" si="5"/>
        <v>5000000</v>
      </c>
      <c r="F23" s="53">
        <v>2</v>
      </c>
      <c r="G23" s="59">
        <v>1800000</v>
      </c>
      <c r="H23" s="54">
        <f>G23*F23</f>
        <v>3600000</v>
      </c>
      <c r="I23" s="53"/>
      <c r="J23" s="62">
        <v>7000</v>
      </c>
      <c r="K23" s="54">
        <f t="shared" si="2"/>
        <v>0</v>
      </c>
      <c r="L23" s="67"/>
      <c r="M23" s="62">
        <v>5000</v>
      </c>
      <c r="N23" s="54">
        <f t="shared" si="3"/>
        <v>0</v>
      </c>
      <c r="O23" s="54">
        <f t="shared" si="4"/>
        <v>8600000</v>
      </c>
    </row>
    <row r="24" spans="1:15" x14ac:dyDescent="0.3">
      <c r="A24" s="66">
        <v>21</v>
      </c>
      <c r="B24" s="52">
        <v>45610</v>
      </c>
      <c r="C24" s="53">
        <v>3</v>
      </c>
      <c r="D24" s="62">
        <v>2500000</v>
      </c>
      <c r="E24" s="54">
        <f t="shared" si="5"/>
        <v>7500000</v>
      </c>
      <c r="F24" s="68">
        <v>3</v>
      </c>
      <c r="G24" s="59">
        <v>1800000</v>
      </c>
      <c r="H24" s="54">
        <f t="shared" si="1"/>
        <v>5400000</v>
      </c>
      <c r="I24" s="53"/>
      <c r="J24" s="62">
        <v>7000</v>
      </c>
      <c r="K24" s="54">
        <f t="shared" si="2"/>
        <v>0</v>
      </c>
      <c r="L24" s="67"/>
      <c r="M24" s="62">
        <v>5000</v>
      </c>
      <c r="N24" s="54">
        <f t="shared" si="3"/>
        <v>0</v>
      </c>
      <c r="O24" s="54">
        <f t="shared" si="4"/>
        <v>12900000</v>
      </c>
    </row>
    <row r="25" spans="1:15" x14ac:dyDescent="0.3">
      <c r="A25" s="66">
        <v>22</v>
      </c>
      <c r="B25" s="52">
        <v>45611</v>
      </c>
      <c r="C25" s="53">
        <v>2</v>
      </c>
      <c r="D25" s="62">
        <v>2500000</v>
      </c>
      <c r="E25" s="54">
        <f t="shared" si="5"/>
        <v>5000000</v>
      </c>
      <c r="F25" s="53">
        <v>2</v>
      </c>
      <c r="G25" s="59">
        <v>1800000</v>
      </c>
      <c r="H25" s="54">
        <f t="shared" si="1"/>
        <v>3600000</v>
      </c>
      <c r="I25" s="53"/>
      <c r="J25" s="62">
        <v>7000</v>
      </c>
      <c r="K25" s="54">
        <f t="shared" si="2"/>
        <v>0</v>
      </c>
      <c r="L25" s="67"/>
      <c r="M25" s="62">
        <v>5000</v>
      </c>
      <c r="N25" s="54">
        <f t="shared" si="3"/>
        <v>0</v>
      </c>
      <c r="O25" s="54">
        <f t="shared" si="4"/>
        <v>8600000</v>
      </c>
    </row>
    <row r="26" spans="1:15" x14ac:dyDescent="0.3">
      <c r="A26" s="66">
        <v>23</v>
      </c>
      <c r="B26" s="52">
        <v>45612</v>
      </c>
      <c r="C26" s="53">
        <v>0</v>
      </c>
      <c r="D26" s="62">
        <v>2500000</v>
      </c>
      <c r="E26" s="54">
        <f t="shared" si="5"/>
        <v>0</v>
      </c>
      <c r="F26" s="53">
        <v>0</v>
      </c>
      <c r="G26" s="59">
        <v>1800000</v>
      </c>
      <c r="H26" s="54">
        <f t="shared" si="1"/>
        <v>0</v>
      </c>
      <c r="I26" s="53"/>
      <c r="J26" s="62">
        <v>7000</v>
      </c>
      <c r="K26" s="54">
        <f t="shared" si="2"/>
        <v>0</v>
      </c>
      <c r="L26" s="67"/>
      <c r="M26" s="62">
        <v>5000</v>
      </c>
      <c r="N26" s="54">
        <f t="shared" si="3"/>
        <v>0</v>
      </c>
      <c r="O26" s="54">
        <f t="shared" si="4"/>
        <v>0</v>
      </c>
    </row>
    <row r="27" spans="1:15" x14ac:dyDescent="0.3">
      <c r="A27" s="66">
        <v>24</v>
      </c>
      <c r="B27" s="52">
        <v>45613</v>
      </c>
      <c r="C27" s="53">
        <v>0</v>
      </c>
      <c r="D27" s="62">
        <v>2500000</v>
      </c>
      <c r="E27" s="54">
        <f t="shared" si="0"/>
        <v>0</v>
      </c>
      <c r="F27" s="53">
        <v>0</v>
      </c>
      <c r="G27" s="59">
        <v>1800000</v>
      </c>
      <c r="H27" s="54">
        <f t="shared" si="1"/>
        <v>0</v>
      </c>
      <c r="I27" s="53"/>
      <c r="J27" s="62">
        <v>7000</v>
      </c>
      <c r="K27" s="54">
        <f t="shared" si="2"/>
        <v>0</v>
      </c>
      <c r="L27" s="67"/>
      <c r="M27" s="62">
        <v>5000</v>
      </c>
      <c r="N27" s="54">
        <f t="shared" si="3"/>
        <v>0</v>
      </c>
      <c r="O27" s="54">
        <f t="shared" si="4"/>
        <v>0</v>
      </c>
    </row>
    <row r="28" spans="1:15" x14ac:dyDescent="0.3">
      <c r="A28" s="66">
        <v>25</v>
      </c>
      <c r="B28" s="52">
        <v>45614</v>
      </c>
      <c r="C28" s="53">
        <v>2</v>
      </c>
      <c r="D28" s="62">
        <v>2500000</v>
      </c>
      <c r="E28" s="54">
        <f t="shared" si="0"/>
        <v>5000000</v>
      </c>
      <c r="F28" s="53">
        <v>3</v>
      </c>
      <c r="G28" s="59">
        <v>1800000</v>
      </c>
      <c r="H28" s="54">
        <f t="shared" si="1"/>
        <v>5400000</v>
      </c>
      <c r="I28" s="53"/>
      <c r="J28" s="62">
        <v>7000</v>
      </c>
      <c r="K28" s="54">
        <f t="shared" si="2"/>
        <v>0</v>
      </c>
      <c r="L28" s="67"/>
      <c r="M28" s="62">
        <v>5000</v>
      </c>
      <c r="N28" s="54">
        <f t="shared" si="3"/>
        <v>0</v>
      </c>
      <c r="O28" s="54">
        <f t="shared" si="4"/>
        <v>10400000</v>
      </c>
    </row>
    <row r="29" spans="1:15" x14ac:dyDescent="0.3">
      <c r="A29" s="66">
        <v>26</v>
      </c>
      <c r="B29" s="52">
        <v>45615</v>
      </c>
      <c r="C29" s="53">
        <v>2</v>
      </c>
      <c r="D29" s="62">
        <v>2500000</v>
      </c>
      <c r="E29" s="54">
        <f t="shared" si="0"/>
        <v>5000000</v>
      </c>
      <c r="F29" s="53">
        <v>2</v>
      </c>
      <c r="G29" s="59">
        <v>1800000</v>
      </c>
      <c r="H29" s="54">
        <f t="shared" si="1"/>
        <v>3600000</v>
      </c>
      <c r="I29" s="53"/>
      <c r="J29" s="62">
        <v>7000</v>
      </c>
      <c r="K29" s="54">
        <f t="shared" si="2"/>
        <v>0</v>
      </c>
      <c r="L29" s="67"/>
      <c r="M29" s="62">
        <v>5000</v>
      </c>
      <c r="N29" s="54">
        <f t="shared" si="3"/>
        <v>0</v>
      </c>
      <c r="O29" s="54">
        <f t="shared" si="4"/>
        <v>8600000</v>
      </c>
    </row>
    <row r="30" spans="1:15" x14ac:dyDescent="0.3">
      <c r="A30" s="66">
        <v>27</v>
      </c>
      <c r="B30" s="52">
        <v>45616</v>
      </c>
      <c r="C30" s="53">
        <v>3</v>
      </c>
      <c r="D30" s="62">
        <v>2500000</v>
      </c>
      <c r="E30" s="54">
        <f t="shared" si="0"/>
        <v>7500000</v>
      </c>
      <c r="F30" s="53">
        <v>2</v>
      </c>
      <c r="G30" s="59">
        <v>1800000</v>
      </c>
      <c r="H30" s="54">
        <f t="shared" si="1"/>
        <v>3600000</v>
      </c>
      <c r="I30" s="53"/>
      <c r="J30" s="62">
        <v>7000</v>
      </c>
      <c r="K30" s="54">
        <f t="shared" si="2"/>
        <v>0</v>
      </c>
      <c r="L30" s="67"/>
      <c r="M30" s="62">
        <v>5000</v>
      </c>
      <c r="N30" s="54">
        <f t="shared" si="3"/>
        <v>0</v>
      </c>
      <c r="O30" s="54">
        <f t="shared" si="4"/>
        <v>11100000</v>
      </c>
    </row>
    <row r="31" spans="1:15" x14ac:dyDescent="0.3">
      <c r="A31" s="66">
        <v>28</v>
      </c>
      <c r="B31" s="52">
        <v>45617</v>
      </c>
      <c r="C31" s="53">
        <v>2</v>
      </c>
      <c r="D31" s="62">
        <v>2500000</v>
      </c>
      <c r="E31" s="54">
        <f t="shared" si="0"/>
        <v>5000000</v>
      </c>
      <c r="F31" s="53">
        <v>2</v>
      </c>
      <c r="G31" s="59">
        <v>1800000</v>
      </c>
      <c r="H31" s="54">
        <f t="shared" si="1"/>
        <v>3600000</v>
      </c>
      <c r="I31" s="53"/>
      <c r="J31" s="62">
        <v>7000</v>
      </c>
      <c r="K31" s="54">
        <f>J31*I31</f>
        <v>0</v>
      </c>
      <c r="L31" s="67"/>
      <c r="M31" s="62">
        <v>5000</v>
      </c>
      <c r="N31" s="54">
        <f t="shared" si="3"/>
        <v>0</v>
      </c>
      <c r="O31" s="54">
        <f t="shared" si="4"/>
        <v>8600000</v>
      </c>
    </row>
    <row r="32" spans="1:15" x14ac:dyDescent="0.3">
      <c r="A32" s="66">
        <v>29</v>
      </c>
      <c r="B32" s="52">
        <v>45618</v>
      </c>
      <c r="C32" s="53">
        <v>2</v>
      </c>
      <c r="D32" s="62">
        <v>2500000</v>
      </c>
      <c r="E32" s="54">
        <f t="shared" si="0"/>
        <v>5000000</v>
      </c>
      <c r="F32" s="53">
        <v>2</v>
      </c>
      <c r="G32" s="59">
        <v>1800000</v>
      </c>
      <c r="H32" s="54">
        <f t="shared" si="1"/>
        <v>3600000</v>
      </c>
      <c r="I32" s="53"/>
      <c r="J32" s="62">
        <v>7000</v>
      </c>
      <c r="K32" s="54">
        <f>J32*I32</f>
        <v>0</v>
      </c>
      <c r="L32" s="67"/>
      <c r="M32" s="62">
        <v>5000</v>
      </c>
      <c r="N32" s="54">
        <f t="shared" si="3"/>
        <v>0</v>
      </c>
      <c r="O32" s="54">
        <f t="shared" si="4"/>
        <v>8600000</v>
      </c>
    </row>
    <row r="33" spans="1:15" x14ac:dyDescent="0.3">
      <c r="A33" s="66">
        <v>30</v>
      </c>
      <c r="B33" s="52">
        <v>45619</v>
      </c>
      <c r="C33" s="53">
        <v>2</v>
      </c>
      <c r="D33" s="62">
        <v>2500000</v>
      </c>
      <c r="E33" s="54">
        <f t="shared" si="0"/>
        <v>5000000</v>
      </c>
      <c r="F33" s="53">
        <v>2</v>
      </c>
      <c r="G33" s="59">
        <v>1800000</v>
      </c>
      <c r="H33" s="54">
        <f t="shared" si="1"/>
        <v>3600000</v>
      </c>
      <c r="I33" s="53">
        <v>1170</v>
      </c>
      <c r="J33" s="62">
        <v>7000</v>
      </c>
      <c r="K33" s="54">
        <f>J33*I33</f>
        <v>8190000</v>
      </c>
      <c r="L33" s="67"/>
      <c r="M33" s="62">
        <v>5000</v>
      </c>
      <c r="N33" s="54">
        <f t="shared" si="3"/>
        <v>0</v>
      </c>
      <c r="O33" s="54">
        <f t="shared" si="4"/>
        <v>16790000</v>
      </c>
    </row>
    <row r="34" spans="1:15" x14ac:dyDescent="0.3">
      <c r="A34" s="66">
        <v>31</v>
      </c>
      <c r="B34" s="52">
        <v>45620</v>
      </c>
      <c r="C34" s="53">
        <v>1</v>
      </c>
      <c r="D34" s="62">
        <v>2500000</v>
      </c>
      <c r="E34" s="54">
        <f t="shared" si="0"/>
        <v>2500000</v>
      </c>
      <c r="F34" s="53">
        <v>1</v>
      </c>
      <c r="G34" s="59">
        <v>1800000</v>
      </c>
      <c r="H34" s="54">
        <f t="shared" si="1"/>
        <v>1800000</v>
      </c>
      <c r="I34" s="53"/>
      <c r="J34" s="62">
        <v>7000</v>
      </c>
      <c r="K34" s="54">
        <f>J34*I34</f>
        <v>0</v>
      </c>
      <c r="L34" s="67"/>
      <c r="M34" s="62">
        <v>5000</v>
      </c>
      <c r="N34" s="54">
        <f t="shared" si="3"/>
        <v>0</v>
      </c>
      <c r="O34" s="54">
        <f t="shared" si="4"/>
        <v>4300000</v>
      </c>
    </row>
    <row r="35" spans="1:15" x14ac:dyDescent="0.3">
      <c r="A35" s="166"/>
      <c r="B35" s="166"/>
      <c r="C35" s="1">
        <f>SUM(C4:C34)</f>
        <v>57</v>
      </c>
      <c r="D35" s="1"/>
      <c r="E35" s="2">
        <f>SUM(E4:E34)</f>
        <v>142500000</v>
      </c>
      <c r="F35" s="2">
        <f>SUM(F4:F34)</f>
        <v>60</v>
      </c>
      <c r="G35" s="2"/>
      <c r="H35" s="2">
        <f>SUM(H4:H34)</f>
        <v>108000000</v>
      </c>
      <c r="I35" s="2">
        <f>SUM(I4:I34)</f>
        <v>1170</v>
      </c>
      <c r="J35" s="2"/>
      <c r="K35" s="2">
        <f>SUM(K4:K34)</f>
        <v>8190000</v>
      </c>
      <c r="L35" s="2">
        <f>SUM(L4:L34)</f>
        <v>490</v>
      </c>
      <c r="M35" s="2"/>
      <c r="N35" s="2">
        <f>SUM(N4:N34)</f>
        <v>2450000</v>
      </c>
      <c r="O35" s="2">
        <f>SUM(O4:O34)</f>
        <v>261140000</v>
      </c>
    </row>
    <row r="36" spans="1:15" x14ac:dyDescent="0.3">
      <c r="A36" s="65"/>
      <c r="B36" s="164" t="s">
        <v>34</v>
      </c>
      <c r="C36" s="164"/>
      <c r="D36" s="164"/>
      <c r="E36" s="164"/>
      <c r="F36" s="34"/>
      <c r="G36" s="35"/>
      <c r="H36" s="36"/>
      <c r="I36" s="36"/>
      <c r="J36" s="36"/>
      <c r="K36" s="36"/>
      <c r="L36" s="164" t="s">
        <v>34</v>
      </c>
      <c r="M36" s="164"/>
      <c r="N36" s="164"/>
      <c r="O36" s="164"/>
    </row>
    <row r="37" spans="1:15" x14ac:dyDescent="0.3">
      <c r="B37" s="118" t="s">
        <v>37</v>
      </c>
      <c r="C37" s="118"/>
      <c r="D37" s="118"/>
      <c r="E37" s="118"/>
      <c r="F37" s="37"/>
      <c r="G37" s="56"/>
      <c r="H37" s="37"/>
      <c r="I37" s="37"/>
      <c r="J37" s="37"/>
      <c r="K37" s="37"/>
      <c r="L37" s="118" t="s">
        <v>38</v>
      </c>
      <c r="M37" s="118"/>
      <c r="N37" s="118"/>
      <c r="O37" s="118"/>
    </row>
  </sheetData>
  <mergeCells count="11">
    <mergeCell ref="A3:B3"/>
    <mergeCell ref="A1:O1"/>
    <mergeCell ref="C2:E2"/>
    <mergeCell ref="F2:H2"/>
    <mergeCell ref="I2:K2"/>
    <mergeCell ref="L2:N2"/>
    <mergeCell ref="A35:B35"/>
    <mergeCell ref="B36:E36"/>
    <mergeCell ref="L36:O36"/>
    <mergeCell ref="B37:E37"/>
    <mergeCell ref="L37:O37"/>
  </mergeCells>
  <pageMargins left="0.19" right="0.17" top="0.5" bottom="0.75" header="0.3" footer="0.3"/>
  <pageSetup paperSize="9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O36"/>
  <sheetViews>
    <sheetView view="pageBreakPreview" topLeftCell="A8" zoomScaleNormal="100" zoomScaleSheetLayoutView="100" workbookViewId="0">
      <selection activeCell="A34" sqref="A34:B34"/>
    </sheetView>
  </sheetViews>
  <sheetFormatPr defaultColWidth="9.36328125" defaultRowHeight="12" x14ac:dyDescent="0.3"/>
  <cols>
    <col min="1" max="1" width="3.36328125" style="32" customWidth="1"/>
    <col min="2" max="2" width="9.36328125" style="32" customWidth="1"/>
    <col min="3" max="3" width="6.6328125" style="32" customWidth="1"/>
    <col min="4" max="4" width="9.36328125" style="32" customWidth="1"/>
    <col min="5" max="5" width="12.36328125" style="32" customWidth="1"/>
    <col min="6" max="6" width="6.453125" style="32" customWidth="1"/>
    <col min="7" max="7" width="13.36328125" style="38" customWidth="1"/>
    <col min="8" max="8" width="12.6328125" style="32" customWidth="1"/>
    <col min="9" max="9" width="8.36328125" style="32" customWidth="1"/>
    <col min="10" max="10" width="9.36328125" style="32" customWidth="1"/>
    <col min="11" max="11" width="11.6328125" style="32" customWidth="1"/>
    <col min="12" max="12" width="7.54296875" style="32" customWidth="1"/>
    <col min="13" max="13" width="8.54296875" style="32" customWidth="1"/>
    <col min="14" max="14" width="11.54296875" style="32" customWidth="1"/>
    <col min="15" max="15" width="11.6328125" style="32" customWidth="1"/>
    <col min="16" max="16384" width="9.36328125" style="32"/>
  </cols>
  <sheetData>
    <row r="1" spans="1:15" ht="16.5" customHeight="1" x14ac:dyDescent="0.3">
      <c r="A1" s="156" t="s">
        <v>48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</row>
    <row r="2" spans="1:15" ht="24" customHeight="1" x14ac:dyDescent="0.3">
      <c r="A2" s="39" t="s">
        <v>21</v>
      </c>
      <c r="B2" s="40" t="s">
        <v>22</v>
      </c>
      <c r="C2" s="159" t="s">
        <v>23</v>
      </c>
      <c r="D2" s="159"/>
      <c r="E2" s="159"/>
      <c r="F2" s="159" t="s">
        <v>24</v>
      </c>
      <c r="G2" s="159"/>
      <c r="H2" s="159"/>
      <c r="I2" s="160" t="s">
        <v>25</v>
      </c>
      <c r="J2" s="161"/>
      <c r="K2" s="162"/>
      <c r="L2" s="159" t="s">
        <v>26</v>
      </c>
      <c r="M2" s="159"/>
      <c r="N2" s="159"/>
      <c r="O2" s="41" t="s">
        <v>27</v>
      </c>
    </row>
    <row r="3" spans="1:15" ht="33" customHeight="1" x14ac:dyDescent="0.3">
      <c r="A3" s="158" t="s">
        <v>28</v>
      </c>
      <c r="B3" s="158"/>
      <c r="C3" s="42" t="s">
        <v>29</v>
      </c>
      <c r="D3" s="43" t="s">
        <v>30</v>
      </c>
      <c r="E3" s="44" t="s">
        <v>31</v>
      </c>
      <c r="F3" s="45" t="s">
        <v>29</v>
      </c>
      <c r="G3" s="46" t="s">
        <v>30</v>
      </c>
      <c r="H3" s="44" t="s">
        <v>32</v>
      </c>
      <c r="I3" s="47" t="s">
        <v>29</v>
      </c>
      <c r="J3" s="43" t="s">
        <v>30</v>
      </c>
      <c r="K3" s="44" t="s">
        <v>32</v>
      </c>
      <c r="L3" s="47" t="s">
        <v>33</v>
      </c>
      <c r="M3" s="43" t="s">
        <v>30</v>
      </c>
      <c r="N3" s="44" t="s">
        <v>32</v>
      </c>
      <c r="O3" s="48"/>
    </row>
    <row r="4" spans="1:15" x14ac:dyDescent="0.3">
      <c r="A4" s="66">
        <v>1</v>
      </c>
      <c r="B4" s="52">
        <v>45621</v>
      </c>
      <c r="C4" s="53">
        <v>2</v>
      </c>
      <c r="D4" s="62">
        <v>2500000</v>
      </c>
      <c r="E4" s="54">
        <f t="shared" ref="E4:E33" si="0">D4*C4</f>
        <v>5000000</v>
      </c>
      <c r="F4" s="53">
        <v>2</v>
      </c>
      <c r="G4" s="59">
        <v>1800000</v>
      </c>
      <c r="H4" s="54">
        <f t="shared" ref="H4:H33" si="1">G4*F4</f>
        <v>3600000</v>
      </c>
      <c r="I4" s="53"/>
      <c r="J4" s="62">
        <v>7000</v>
      </c>
      <c r="K4" s="54">
        <f t="shared" ref="K4:K30" si="2">J4*I4</f>
        <v>0</v>
      </c>
      <c r="L4" s="67"/>
      <c r="M4" s="62">
        <v>5000</v>
      </c>
      <c r="N4" s="54">
        <f t="shared" ref="N4:N33" si="3">L4*M4</f>
        <v>0</v>
      </c>
      <c r="O4" s="54">
        <f t="shared" ref="O4:O33" si="4">E4+H4+N4+K4</f>
        <v>8600000</v>
      </c>
    </row>
    <row r="5" spans="1:15" x14ac:dyDescent="0.3">
      <c r="A5" s="66">
        <v>2</v>
      </c>
      <c r="B5" s="52">
        <v>45622</v>
      </c>
      <c r="C5" s="53">
        <v>2</v>
      </c>
      <c r="D5" s="62">
        <v>2500000</v>
      </c>
      <c r="E5" s="54">
        <f t="shared" si="0"/>
        <v>5000000</v>
      </c>
      <c r="F5" s="53">
        <v>2</v>
      </c>
      <c r="G5" s="59">
        <v>1800000</v>
      </c>
      <c r="H5" s="54">
        <f t="shared" si="1"/>
        <v>3600000</v>
      </c>
      <c r="I5" s="53"/>
      <c r="J5" s="62">
        <v>7000</v>
      </c>
      <c r="K5" s="54">
        <f t="shared" si="2"/>
        <v>0</v>
      </c>
      <c r="L5" s="67"/>
      <c r="M5" s="62">
        <v>5000</v>
      </c>
      <c r="N5" s="54">
        <f t="shared" si="3"/>
        <v>0</v>
      </c>
      <c r="O5" s="54">
        <f t="shared" si="4"/>
        <v>8600000</v>
      </c>
    </row>
    <row r="6" spans="1:15" x14ac:dyDescent="0.3">
      <c r="A6" s="66">
        <v>3</v>
      </c>
      <c r="B6" s="52">
        <v>45623</v>
      </c>
      <c r="C6" s="53">
        <v>2</v>
      </c>
      <c r="D6" s="62">
        <v>2500000</v>
      </c>
      <c r="E6" s="54">
        <f t="shared" si="0"/>
        <v>5000000</v>
      </c>
      <c r="F6" s="53">
        <v>3</v>
      </c>
      <c r="G6" s="59">
        <v>1800000</v>
      </c>
      <c r="H6" s="54">
        <f t="shared" si="1"/>
        <v>5400000</v>
      </c>
      <c r="I6" s="53"/>
      <c r="J6" s="62">
        <v>7000</v>
      </c>
      <c r="K6" s="54">
        <f t="shared" si="2"/>
        <v>0</v>
      </c>
      <c r="L6" s="67"/>
      <c r="M6" s="62">
        <v>5000</v>
      </c>
      <c r="N6" s="54">
        <f t="shared" si="3"/>
        <v>0</v>
      </c>
      <c r="O6" s="54">
        <f t="shared" si="4"/>
        <v>10400000</v>
      </c>
    </row>
    <row r="7" spans="1:15" x14ac:dyDescent="0.3">
      <c r="A7" s="66">
        <v>4</v>
      </c>
      <c r="B7" s="52">
        <v>45624</v>
      </c>
      <c r="C7" s="53">
        <v>2</v>
      </c>
      <c r="D7" s="62">
        <v>2500000</v>
      </c>
      <c r="E7" s="54">
        <f t="shared" si="0"/>
        <v>5000000</v>
      </c>
      <c r="F7" s="53">
        <v>2</v>
      </c>
      <c r="G7" s="59">
        <v>1800000</v>
      </c>
      <c r="H7" s="54">
        <f t="shared" si="1"/>
        <v>3600000</v>
      </c>
      <c r="I7" s="53"/>
      <c r="J7" s="62">
        <v>7000</v>
      </c>
      <c r="K7" s="54">
        <f t="shared" si="2"/>
        <v>0</v>
      </c>
      <c r="L7" s="67"/>
      <c r="M7" s="62">
        <v>5000</v>
      </c>
      <c r="N7" s="54">
        <f t="shared" si="3"/>
        <v>0</v>
      </c>
      <c r="O7" s="54">
        <f t="shared" si="4"/>
        <v>8600000</v>
      </c>
    </row>
    <row r="8" spans="1:15" x14ac:dyDescent="0.3">
      <c r="A8" s="66">
        <v>5</v>
      </c>
      <c r="B8" s="52">
        <v>45625</v>
      </c>
      <c r="C8" s="53">
        <v>1</v>
      </c>
      <c r="D8" s="62">
        <v>2500000</v>
      </c>
      <c r="E8" s="54">
        <f t="shared" si="0"/>
        <v>2500000</v>
      </c>
      <c r="F8" s="53">
        <v>2</v>
      </c>
      <c r="G8" s="59">
        <v>1800000</v>
      </c>
      <c r="H8" s="54">
        <f t="shared" si="1"/>
        <v>3600000</v>
      </c>
      <c r="I8" s="53"/>
      <c r="J8" s="62">
        <v>7000</v>
      </c>
      <c r="K8" s="54">
        <f t="shared" si="2"/>
        <v>0</v>
      </c>
      <c r="L8" s="67"/>
      <c r="M8" s="62">
        <v>5000</v>
      </c>
      <c r="N8" s="54">
        <f t="shared" si="3"/>
        <v>0</v>
      </c>
      <c r="O8" s="54">
        <f t="shared" si="4"/>
        <v>6100000</v>
      </c>
    </row>
    <row r="9" spans="1:15" ht="11.75" customHeight="1" x14ac:dyDescent="0.3">
      <c r="A9" s="66">
        <v>6</v>
      </c>
      <c r="B9" s="52">
        <v>45626</v>
      </c>
      <c r="C9" s="53">
        <v>1</v>
      </c>
      <c r="D9" s="62">
        <v>2500000</v>
      </c>
      <c r="E9" s="54">
        <f>D9*C9</f>
        <v>2500000</v>
      </c>
      <c r="F9" s="53">
        <v>3</v>
      </c>
      <c r="G9" s="59">
        <v>1800000</v>
      </c>
      <c r="H9" s="54">
        <f t="shared" si="1"/>
        <v>5400000</v>
      </c>
      <c r="I9" s="53"/>
      <c r="J9" s="62">
        <v>7000</v>
      </c>
      <c r="K9" s="54">
        <f t="shared" si="2"/>
        <v>0</v>
      </c>
      <c r="L9" s="67"/>
      <c r="M9" s="62">
        <v>5000</v>
      </c>
      <c r="N9" s="54">
        <f t="shared" si="3"/>
        <v>0</v>
      </c>
      <c r="O9" s="54">
        <f>E9+H9+N9+K9</f>
        <v>7900000</v>
      </c>
    </row>
    <row r="10" spans="1:15" x14ac:dyDescent="0.3">
      <c r="A10" s="66">
        <v>7</v>
      </c>
      <c r="B10" s="52">
        <v>45627</v>
      </c>
      <c r="C10" s="53"/>
      <c r="D10" s="62">
        <v>2500000</v>
      </c>
      <c r="E10" s="54">
        <f>D10*C10</f>
        <v>0</v>
      </c>
      <c r="F10" s="53"/>
      <c r="G10" s="59">
        <v>1800000</v>
      </c>
      <c r="H10" s="54">
        <f>G10*F10</f>
        <v>0</v>
      </c>
      <c r="I10" s="53"/>
      <c r="J10" s="62">
        <v>7000</v>
      </c>
      <c r="K10" s="54"/>
      <c r="L10" s="67"/>
      <c r="M10" s="62">
        <v>5000</v>
      </c>
      <c r="N10" s="54">
        <f t="shared" si="3"/>
        <v>0</v>
      </c>
      <c r="O10" s="54">
        <f t="shared" si="4"/>
        <v>0</v>
      </c>
    </row>
    <row r="11" spans="1:15" x14ac:dyDescent="0.3">
      <c r="A11" s="66">
        <v>8</v>
      </c>
      <c r="B11" s="52">
        <v>45628</v>
      </c>
      <c r="C11" s="53">
        <v>2</v>
      </c>
      <c r="D11" s="62">
        <v>2500000</v>
      </c>
      <c r="E11" s="54">
        <f>D11*C11</f>
        <v>5000000</v>
      </c>
      <c r="F11" s="53">
        <v>2</v>
      </c>
      <c r="G11" s="59">
        <v>1800000</v>
      </c>
      <c r="H11" s="54">
        <f t="shared" si="1"/>
        <v>3600000</v>
      </c>
      <c r="I11" s="53"/>
      <c r="J11" s="62">
        <v>7000</v>
      </c>
      <c r="K11" s="54">
        <f t="shared" si="2"/>
        <v>0</v>
      </c>
      <c r="L11" s="67"/>
      <c r="M11" s="62">
        <v>5000</v>
      </c>
      <c r="N11" s="54">
        <f t="shared" si="3"/>
        <v>0</v>
      </c>
      <c r="O11" s="54">
        <f t="shared" si="4"/>
        <v>8600000</v>
      </c>
    </row>
    <row r="12" spans="1:15" x14ac:dyDescent="0.3">
      <c r="A12" s="66">
        <v>9</v>
      </c>
      <c r="B12" s="52">
        <v>45629</v>
      </c>
      <c r="C12" s="53">
        <v>2</v>
      </c>
      <c r="D12" s="62">
        <v>2500000</v>
      </c>
      <c r="E12" s="54">
        <f>D12*C12</f>
        <v>5000000</v>
      </c>
      <c r="F12" s="53">
        <v>2</v>
      </c>
      <c r="G12" s="59">
        <v>1800000</v>
      </c>
      <c r="H12" s="54">
        <f t="shared" si="1"/>
        <v>3600000</v>
      </c>
      <c r="I12" s="53"/>
      <c r="J12" s="62">
        <v>7000</v>
      </c>
      <c r="K12" s="54">
        <f t="shared" si="2"/>
        <v>0</v>
      </c>
      <c r="L12" s="67"/>
      <c r="M12" s="62">
        <v>5000</v>
      </c>
      <c r="N12" s="54">
        <f t="shared" si="3"/>
        <v>0</v>
      </c>
      <c r="O12" s="54">
        <f t="shared" si="4"/>
        <v>8600000</v>
      </c>
    </row>
    <row r="13" spans="1:15" x14ac:dyDescent="0.3">
      <c r="A13" s="66">
        <v>10</v>
      </c>
      <c r="B13" s="52">
        <v>45630</v>
      </c>
      <c r="C13" s="53">
        <v>2</v>
      </c>
      <c r="D13" s="62">
        <v>2500000</v>
      </c>
      <c r="E13" s="54">
        <f t="shared" si="0"/>
        <v>5000000</v>
      </c>
      <c r="F13" s="53">
        <v>2</v>
      </c>
      <c r="G13" s="59">
        <v>1800000</v>
      </c>
      <c r="H13" s="54">
        <f t="shared" si="1"/>
        <v>3600000</v>
      </c>
      <c r="I13" s="53"/>
      <c r="J13" s="62">
        <v>7000</v>
      </c>
      <c r="K13" s="54">
        <f t="shared" si="2"/>
        <v>0</v>
      </c>
      <c r="L13" s="67">
        <v>2550</v>
      </c>
      <c r="M13" s="62">
        <v>5000</v>
      </c>
      <c r="N13" s="54">
        <f t="shared" si="3"/>
        <v>12750000</v>
      </c>
      <c r="O13" s="54">
        <f t="shared" si="4"/>
        <v>21350000</v>
      </c>
    </row>
    <row r="14" spans="1:15" x14ac:dyDescent="0.3">
      <c r="A14" s="66">
        <v>11</v>
      </c>
      <c r="B14" s="52">
        <v>45631</v>
      </c>
      <c r="C14" s="53">
        <v>2</v>
      </c>
      <c r="D14" s="62">
        <v>2500000</v>
      </c>
      <c r="E14" s="54">
        <f t="shared" si="0"/>
        <v>5000000</v>
      </c>
      <c r="F14" s="53">
        <v>3</v>
      </c>
      <c r="G14" s="59">
        <v>1800000</v>
      </c>
      <c r="H14" s="54">
        <f t="shared" si="1"/>
        <v>5400000</v>
      </c>
      <c r="I14" s="53"/>
      <c r="J14" s="62">
        <v>7000</v>
      </c>
      <c r="K14" s="54">
        <f t="shared" si="2"/>
        <v>0</v>
      </c>
      <c r="L14" s="67">
        <v>1170</v>
      </c>
      <c r="M14" s="62">
        <v>5000</v>
      </c>
      <c r="N14" s="54">
        <f t="shared" si="3"/>
        <v>5850000</v>
      </c>
      <c r="O14" s="54">
        <f>E14+H14+N14+K14</f>
        <v>16250000</v>
      </c>
    </row>
    <row r="15" spans="1:15" x14ac:dyDescent="0.3">
      <c r="A15" s="66">
        <v>12</v>
      </c>
      <c r="B15" s="52">
        <v>45632</v>
      </c>
      <c r="C15" s="53">
        <v>1</v>
      </c>
      <c r="D15" s="62">
        <v>2500000</v>
      </c>
      <c r="E15" s="54">
        <f t="shared" si="0"/>
        <v>2500000</v>
      </c>
      <c r="F15" s="53">
        <v>2</v>
      </c>
      <c r="G15" s="59">
        <v>1800000</v>
      </c>
      <c r="H15" s="54">
        <f t="shared" si="1"/>
        <v>3600000</v>
      </c>
      <c r="I15" s="53"/>
      <c r="J15" s="62">
        <v>7000</v>
      </c>
      <c r="K15" s="54">
        <f t="shared" si="2"/>
        <v>0</v>
      </c>
      <c r="L15" s="67">
        <v>3260</v>
      </c>
      <c r="M15" s="62">
        <v>5000</v>
      </c>
      <c r="N15" s="54">
        <f t="shared" si="3"/>
        <v>16300000</v>
      </c>
      <c r="O15" s="54">
        <f t="shared" si="4"/>
        <v>22400000</v>
      </c>
    </row>
    <row r="16" spans="1:15" x14ac:dyDescent="0.3">
      <c r="A16" s="66">
        <v>13</v>
      </c>
      <c r="B16" s="52">
        <v>45633</v>
      </c>
      <c r="C16" s="53">
        <v>1</v>
      </c>
      <c r="D16" s="62">
        <v>2500000</v>
      </c>
      <c r="E16" s="54">
        <f t="shared" si="0"/>
        <v>2500000</v>
      </c>
      <c r="F16" s="53">
        <v>2</v>
      </c>
      <c r="G16" s="59">
        <v>1800000</v>
      </c>
      <c r="H16" s="54">
        <f t="shared" si="1"/>
        <v>3600000</v>
      </c>
      <c r="I16" s="53"/>
      <c r="J16" s="62">
        <v>7000</v>
      </c>
      <c r="K16" s="54">
        <f t="shared" si="2"/>
        <v>0</v>
      </c>
      <c r="L16" s="67"/>
      <c r="M16" s="62">
        <v>5000</v>
      </c>
      <c r="N16" s="54">
        <f t="shared" si="3"/>
        <v>0</v>
      </c>
      <c r="O16" s="54">
        <f t="shared" si="4"/>
        <v>6100000</v>
      </c>
    </row>
    <row r="17" spans="1:15" s="77" customFormat="1" x14ac:dyDescent="0.3">
      <c r="A17" s="70">
        <v>14</v>
      </c>
      <c r="B17" s="71">
        <v>45634</v>
      </c>
      <c r="C17" s="72"/>
      <c r="D17" s="73">
        <v>2500000</v>
      </c>
      <c r="E17" s="74">
        <f t="shared" si="0"/>
        <v>0</v>
      </c>
      <c r="F17" s="72"/>
      <c r="G17" s="75">
        <v>1800000</v>
      </c>
      <c r="H17" s="74">
        <f t="shared" si="1"/>
        <v>0</v>
      </c>
      <c r="I17" s="72"/>
      <c r="J17" s="73">
        <v>7000</v>
      </c>
      <c r="K17" s="74">
        <f t="shared" si="2"/>
        <v>0</v>
      </c>
      <c r="L17" s="76"/>
      <c r="M17" s="73">
        <v>5000</v>
      </c>
      <c r="N17" s="74">
        <f t="shared" si="3"/>
        <v>0</v>
      </c>
      <c r="O17" s="74">
        <f t="shared" si="4"/>
        <v>0</v>
      </c>
    </row>
    <row r="18" spans="1:15" x14ac:dyDescent="0.3">
      <c r="A18" s="66">
        <v>15</v>
      </c>
      <c r="B18" s="52">
        <v>45635</v>
      </c>
      <c r="C18" s="53">
        <v>1</v>
      </c>
      <c r="D18" s="62">
        <v>2500000</v>
      </c>
      <c r="E18" s="54">
        <f t="shared" si="0"/>
        <v>2500000</v>
      </c>
      <c r="F18" s="53">
        <v>2</v>
      </c>
      <c r="G18" s="59">
        <v>1800000</v>
      </c>
      <c r="H18" s="54">
        <f t="shared" si="1"/>
        <v>3600000</v>
      </c>
      <c r="I18" s="53"/>
      <c r="J18" s="62">
        <v>7000</v>
      </c>
      <c r="K18" s="54">
        <f t="shared" si="2"/>
        <v>0</v>
      </c>
      <c r="L18" s="67"/>
      <c r="M18" s="62">
        <v>5000</v>
      </c>
      <c r="N18" s="54">
        <f t="shared" si="3"/>
        <v>0</v>
      </c>
      <c r="O18" s="54">
        <f t="shared" si="4"/>
        <v>6100000</v>
      </c>
    </row>
    <row r="19" spans="1:15" x14ac:dyDescent="0.3">
      <c r="A19" s="66">
        <v>16</v>
      </c>
      <c r="B19" s="52">
        <v>45636</v>
      </c>
      <c r="C19" s="53">
        <v>2</v>
      </c>
      <c r="D19" s="62">
        <v>2500000</v>
      </c>
      <c r="E19" s="54">
        <f t="shared" si="0"/>
        <v>5000000</v>
      </c>
      <c r="F19" s="53">
        <v>2</v>
      </c>
      <c r="G19" s="59">
        <v>1800000</v>
      </c>
      <c r="H19" s="54">
        <f t="shared" si="1"/>
        <v>3600000</v>
      </c>
      <c r="I19" s="53"/>
      <c r="J19" s="62">
        <v>7000</v>
      </c>
      <c r="K19" s="54">
        <f t="shared" si="2"/>
        <v>0</v>
      </c>
      <c r="L19" s="67"/>
      <c r="M19" s="62">
        <v>5000</v>
      </c>
      <c r="N19" s="54">
        <f t="shared" si="3"/>
        <v>0</v>
      </c>
      <c r="O19" s="54">
        <f t="shared" si="4"/>
        <v>8600000</v>
      </c>
    </row>
    <row r="20" spans="1:15" x14ac:dyDescent="0.3">
      <c r="A20" s="66">
        <v>17</v>
      </c>
      <c r="B20" s="52">
        <v>45637</v>
      </c>
      <c r="C20" s="53">
        <v>2</v>
      </c>
      <c r="D20" s="62">
        <v>2500000</v>
      </c>
      <c r="E20" s="54">
        <f t="shared" si="0"/>
        <v>5000000</v>
      </c>
      <c r="F20" s="53">
        <v>3</v>
      </c>
      <c r="G20" s="59">
        <v>1800000</v>
      </c>
      <c r="H20" s="54">
        <f t="shared" si="1"/>
        <v>5400000</v>
      </c>
      <c r="I20" s="53"/>
      <c r="J20" s="62">
        <v>7000</v>
      </c>
      <c r="K20" s="54">
        <f t="shared" si="2"/>
        <v>0</v>
      </c>
      <c r="L20" s="67"/>
      <c r="M20" s="62">
        <v>5000</v>
      </c>
      <c r="N20" s="54">
        <f t="shared" si="3"/>
        <v>0</v>
      </c>
      <c r="O20" s="54">
        <f t="shared" si="4"/>
        <v>10400000</v>
      </c>
    </row>
    <row r="21" spans="1:15" x14ac:dyDescent="0.3">
      <c r="A21" s="66">
        <v>18</v>
      </c>
      <c r="B21" s="52">
        <v>45638</v>
      </c>
      <c r="C21" s="53">
        <v>2</v>
      </c>
      <c r="D21" s="62">
        <v>2500000</v>
      </c>
      <c r="E21" s="54">
        <f t="shared" si="0"/>
        <v>5000000</v>
      </c>
      <c r="F21" s="53">
        <v>2</v>
      </c>
      <c r="G21" s="59">
        <v>1800000</v>
      </c>
      <c r="H21" s="54">
        <f t="shared" si="1"/>
        <v>3600000</v>
      </c>
      <c r="I21" s="53"/>
      <c r="J21" s="62">
        <v>7000</v>
      </c>
      <c r="K21" s="54">
        <f t="shared" si="2"/>
        <v>0</v>
      </c>
      <c r="L21" s="67"/>
      <c r="M21" s="62">
        <v>5000</v>
      </c>
      <c r="N21" s="54">
        <f t="shared" si="3"/>
        <v>0</v>
      </c>
      <c r="O21" s="54">
        <f t="shared" si="4"/>
        <v>8600000</v>
      </c>
    </row>
    <row r="22" spans="1:15" x14ac:dyDescent="0.3">
      <c r="A22" s="66">
        <v>19</v>
      </c>
      <c r="B22" s="52">
        <v>45639</v>
      </c>
      <c r="C22" s="53">
        <v>1</v>
      </c>
      <c r="D22" s="62">
        <v>2500000</v>
      </c>
      <c r="E22" s="54">
        <f t="shared" si="0"/>
        <v>2500000</v>
      </c>
      <c r="F22" s="53">
        <v>2</v>
      </c>
      <c r="G22" s="59">
        <v>1800000</v>
      </c>
      <c r="H22" s="54">
        <f>G22*F22</f>
        <v>3600000</v>
      </c>
      <c r="I22" s="53"/>
      <c r="J22" s="62">
        <v>7000</v>
      </c>
      <c r="K22" s="54">
        <f t="shared" si="2"/>
        <v>0</v>
      </c>
      <c r="L22" s="67"/>
      <c r="M22" s="62">
        <v>5000</v>
      </c>
      <c r="N22" s="54">
        <f t="shared" si="3"/>
        <v>0</v>
      </c>
      <c r="O22" s="54">
        <f t="shared" si="4"/>
        <v>6100000</v>
      </c>
    </row>
    <row r="23" spans="1:15" x14ac:dyDescent="0.3">
      <c r="A23" s="66">
        <v>20</v>
      </c>
      <c r="B23" s="52">
        <v>45640</v>
      </c>
      <c r="C23" s="53">
        <v>3</v>
      </c>
      <c r="D23" s="62">
        <v>2500000</v>
      </c>
      <c r="E23" s="54">
        <f t="shared" si="0"/>
        <v>7500000</v>
      </c>
      <c r="F23" s="53">
        <v>3</v>
      </c>
      <c r="G23" s="59">
        <v>1800000</v>
      </c>
      <c r="H23" s="54">
        <f>G23*F23</f>
        <v>5400000</v>
      </c>
      <c r="I23" s="53"/>
      <c r="J23" s="62">
        <v>7000</v>
      </c>
      <c r="K23" s="54">
        <f t="shared" si="2"/>
        <v>0</v>
      </c>
      <c r="L23" s="67"/>
      <c r="M23" s="62">
        <v>5000</v>
      </c>
      <c r="N23" s="54">
        <f t="shared" si="3"/>
        <v>0</v>
      </c>
      <c r="O23" s="54">
        <f t="shared" si="4"/>
        <v>12900000</v>
      </c>
    </row>
    <row r="24" spans="1:15" s="77" customFormat="1" x14ac:dyDescent="0.3">
      <c r="A24" s="70">
        <v>21</v>
      </c>
      <c r="B24" s="71">
        <v>45641</v>
      </c>
      <c r="C24" s="72"/>
      <c r="D24" s="73">
        <v>2500000</v>
      </c>
      <c r="E24" s="74">
        <f t="shared" si="0"/>
        <v>0</v>
      </c>
      <c r="F24" s="78"/>
      <c r="G24" s="75">
        <v>1800000</v>
      </c>
      <c r="H24" s="74">
        <f t="shared" si="1"/>
        <v>0</v>
      </c>
      <c r="I24" s="72"/>
      <c r="J24" s="73">
        <v>7000</v>
      </c>
      <c r="K24" s="74">
        <f t="shared" si="2"/>
        <v>0</v>
      </c>
      <c r="L24" s="76"/>
      <c r="M24" s="73">
        <v>5000</v>
      </c>
      <c r="N24" s="74">
        <f t="shared" si="3"/>
        <v>0</v>
      </c>
      <c r="O24" s="74">
        <f t="shared" si="4"/>
        <v>0</v>
      </c>
    </row>
    <row r="25" spans="1:15" x14ac:dyDescent="0.3">
      <c r="A25" s="66">
        <v>22</v>
      </c>
      <c r="B25" s="52">
        <v>45642</v>
      </c>
      <c r="C25" s="53">
        <v>1</v>
      </c>
      <c r="D25" s="62">
        <v>2500000</v>
      </c>
      <c r="E25" s="54">
        <f t="shared" si="0"/>
        <v>2500000</v>
      </c>
      <c r="F25" s="53">
        <v>2</v>
      </c>
      <c r="G25" s="59">
        <v>1800000</v>
      </c>
      <c r="H25" s="54">
        <f t="shared" si="1"/>
        <v>3600000</v>
      </c>
      <c r="I25" s="53"/>
      <c r="J25" s="62">
        <v>7000</v>
      </c>
      <c r="K25" s="54">
        <f t="shared" si="2"/>
        <v>0</v>
      </c>
      <c r="L25" s="67"/>
      <c r="M25" s="62">
        <v>5000</v>
      </c>
      <c r="N25" s="54">
        <f t="shared" si="3"/>
        <v>0</v>
      </c>
      <c r="O25" s="54">
        <f t="shared" si="4"/>
        <v>6100000</v>
      </c>
    </row>
    <row r="26" spans="1:15" x14ac:dyDescent="0.3">
      <c r="A26" s="66">
        <v>23</v>
      </c>
      <c r="B26" s="52">
        <v>45643</v>
      </c>
      <c r="C26" s="53">
        <v>1</v>
      </c>
      <c r="D26" s="62">
        <v>2500000</v>
      </c>
      <c r="E26" s="54">
        <f t="shared" si="0"/>
        <v>2500000</v>
      </c>
      <c r="F26" s="53">
        <v>2</v>
      </c>
      <c r="G26" s="59">
        <v>1800000</v>
      </c>
      <c r="H26" s="54">
        <f t="shared" si="1"/>
        <v>3600000</v>
      </c>
      <c r="I26" s="53"/>
      <c r="J26" s="62">
        <v>7000</v>
      </c>
      <c r="K26" s="54">
        <f t="shared" si="2"/>
        <v>0</v>
      </c>
      <c r="L26" s="67"/>
      <c r="M26" s="62">
        <v>5000</v>
      </c>
      <c r="N26" s="54">
        <f t="shared" si="3"/>
        <v>0</v>
      </c>
      <c r="O26" s="54">
        <f t="shared" si="4"/>
        <v>6100000</v>
      </c>
    </row>
    <row r="27" spans="1:15" x14ac:dyDescent="0.3">
      <c r="A27" s="66">
        <v>24</v>
      </c>
      <c r="B27" s="52">
        <v>45644</v>
      </c>
      <c r="C27" s="53">
        <v>2</v>
      </c>
      <c r="D27" s="62">
        <v>2500000</v>
      </c>
      <c r="E27" s="54">
        <f t="shared" si="0"/>
        <v>5000000</v>
      </c>
      <c r="F27" s="53">
        <v>2</v>
      </c>
      <c r="G27" s="59">
        <v>1800000</v>
      </c>
      <c r="H27" s="54">
        <f t="shared" si="1"/>
        <v>3600000</v>
      </c>
      <c r="I27" s="53"/>
      <c r="J27" s="62">
        <v>7000</v>
      </c>
      <c r="K27" s="54">
        <f t="shared" si="2"/>
        <v>0</v>
      </c>
      <c r="L27" s="67"/>
      <c r="M27" s="62">
        <v>5000</v>
      </c>
      <c r="N27" s="54">
        <f t="shared" si="3"/>
        <v>0</v>
      </c>
      <c r="O27" s="54">
        <f t="shared" si="4"/>
        <v>8600000</v>
      </c>
    </row>
    <row r="28" spans="1:15" x14ac:dyDescent="0.3">
      <c r="A28" s="66">
        <v>25</v>
      </c>
      <c r="B28" s="52">
        <v>45645</v>
      </c>
      <c r="C28" s="53">
        <v>2</v>
      </c>
      <c r="D28" s="62">
        <v>2500000</v>
      </c>
      <c r="E28" s="54">
        <f t="shared" si="0"/>
        <v>5000000</v>
      </c>
      <c r="F28" s="53">
        <v>2</v>
      </c>
      <c r="G28" s="59">
        <v>1800000</v>
      </c>
      <c r="H28" s="54">
        <f t="shared" si="1"/>
        <v>3600000</v>
      </c>
      <c r="I28" s="53"/>
      <c r="J28" s="62">
        <v>7000</v>
      </c>
      <c r="K28" s="54">
        <f t="shared" si="2"/>
        <v>0</v>
      </c>
      <c r="L28" s="67"/>
      <c r="M28" s="62">
        <v>5000</v>
      </c>
      <c r="N28" s="54">
        <f t="shared" si="3"/>
        <v>0</v>
      </c>
      <c r="O28" s="54">
        <f t="shared" si="4"/>
        <v>8600000</v>
      </c>
    </row>
    <row r="29" spans="1:15" x14ac:dyDescent="0.3">
      <c r="A29" s="66">
        <v>26</v>
      </c>
      <c r="B29" s="52">
        <v>45646</v>
      </c>
      <c r="C29" s="53">
        <v>1</v>
      </c>
      <c r="D29" s="62">
        <v>2500000</v>
      </c>
      <c r="E29" s="54">
        <f t="shared" si="0"/>
        <v>2500000</v>
      </c>
      <c r="F29" s="53">
        <v>2</v>
      </c>
      <c r="G29" s="59">
        <v>1800000</v>
      </c>
      <c r="H29" s="54">
        <f t="shared" si="1"/>
        <v>3600000</v>
      </c>
      <c r="I29" s="53"/>
      <c r="J29" s="62">
        <v>7000</v>
      </c>
      <c r="K29" s="54">
        <f t="shared" si="2"/>
        <v>0</v>
      </c>
      <c r="L29" s="67"/>
      <c r="M29" s="62">
        <v>5000</v>
      </c>
      <c r="N29" s="54">
        <f t="shared" si="3"/>
        <v>0</v>
      </c>
      <c r="O29" s="54">
        <f t="shared" si="4"/>
        <v>6100000</v>
      </c>
    </row>
    <row r="30" spans="1:15" x14ac:dyDescent="0.3">
      <c r="A30" s="66">
        <v>27</v>
      </c>
      <c r="B30" s="52">
        <v>45647</v>
      </c>
      <c r="C30" s="53">
        <v>2</v>
      </c>
      <c r="D30" s="62">
        <v>2500000</v>
      </c>
      <c r="E30" s="54">
        <f t="shared" si="0"/>
        <v>5000000</v>
      </c>
      <c r="F30" s="53">
        <v>2</v>
      </c>
      <c r="G30" s="59">
        <v>1800000</v>
      </c>
      <c r="H30" s="54">
        <f t="shared" si="1"/>
        <v>3600000</v>
      </c>
      <c r="I30" s="53"/>
      <c r="J30" s="62">
        <v>7000</v>
      </c>
      <c r="K30" s="54">
        <f t="shared" si="2"/>
        <v>0</v>
      </c>
      <c r="L30" s="67"/>
      <c r="M30" s="62">
        <v>5000</v>
      </c>
      <c r="N30" s="54">
        <f t="shared" si="3"/>
        <v>0</v>
      </c>
      <c r="O30" s="54">
        <f t="shared" si="4"/>
        <v>8600000</v>
      </c>
    </row>
    <row r="31" spans="1:15" x14ac:dyDescent="0.3">
      <c r="A31" s="66">
        <v>28</v>
      </c>
      <c r="B31" s="52">
        <v>45648</v>
      </c>
      <c r="C31" s="53">
        <v>1</v>
      </c>
      <c r="D31" s="62">
        <v>2500000</v>
      </c>
      <c r="E31" s="54">
        <f t="shared" si="0"/>
        <v>2500000</v>
      </c>
      <c r="F31" s="53">
        <v>2</v>
      </c>
      <c r="G31" s="59">
        <v>1800000</v>
      </c>
      <c r="H31" s="54">
        <f t="shared" si="1"/>
        <v>3600000</v>
      </c>
      <c r="I31" s="53"/>
      <c r="J31" s="62">
        <v>7000</v>
      </c>
      <c r="K31" s="54">
        <f>J31*I31</f>
        <v>0</v>
      </c>
      <c r="L31" s="67"/>
      <c r="M31" s="62">
        <v>5000</v>
      </c>
      <c r="N31" s="54">
        <f t="shared" si="3"/>
        <v>0</v>
      </c>
      <c r="O31" s="54">
        <f t="shared" si="4"/>
        <v>6100000</v>
      </c>
    </row>
    <row r="32" spans="1:15" x14ac:dyDescent="0.3">
      <c r="A32" s="66">
        <v>29</v>
      </c>
      <c r="B32" s="52">
        <v>45649</v>
      </c>
      <c r="C32" s="53">
        <v>2</v>
      </c>
      <c r="D32" s="62">
        <v>2500000</v>
      </c>
      <c r="E32" s="54">
        <f t="shared" si="0"/>
        <v>5000000</v>
      </c>
      <c r="F32" s="53">
        <v>2</v>
      </c>
      <c r="G32" s="59">
        <v>1800000</v>
      </c>
      <c r="H32" s="54">
        <f t="shared" si="1"/>
        <v>3600000</v>
      </c>
      <c r="I32" s="53"/>
      <c r="J32" s="62">
        <v>7000</v>
      </c>
      <c r="K32" s="54">
        <f>J32*I32</f>
        <v>0</v>
      </c>
      <c r="L32" s="67"/>
      <c r="M32" s="62">
        <v>5000</v>
      </c>
      <c r="N32" s="54">
        <f t="shared" si="3"/>
        <v>0</v>
      </c>
      <c r="O32" s="54">
        <f t="shared" si="4"/>
        <v>8600000</v>
      </c>
    </row>
    <row r="33" spans="1:15" x14ac:dyDescent="0.3">
      <c r="A33" s="66">
        <v>30</v>
      </c>
      <c r="B33" s="52">
        <v>45650</v>
      </c>
      <c r="C33" s="53">
        <v>1</v>
      </c>
      <c r="D33" s="62">
        <v>2500000</v>
      </c>
      <c r="E33" s="54">
        <f t="shared" si="0"/>
        <v>2500000</v>
      </c>
      <c r="F33" s="53">
        <v>2</v>
      </c>
      <c r="G33" s="59">
        <v>1800000</v>
      </c>
      <c r="H33" s="54">
        <f t="shared" si="1"/>
        <v>3600000</v>
      </c>
      <c r="I33" s="53"/>
      <c r="J33" s="62">
        <v>7000</v>
      </c>
      <c r="K33" s="54">
        <f>J33*I33</f>
        <v>0</v>
      </c>
      <c r="L33" s="67"/>
      <c r="M33" s="62">
        <v>5000</v>
      </c>
      <c r="N33" s="54">
        <f t="shared" si="3"/>
        <v>0</v>
      </c>
      <c r="O33" s="54">
        <f t="shared" si="4"/>
        <v>6100000</v>
      </c>
    </row>
    <row r="34" spans="1:15" x14ac:dyDescent="0.3">
      <c r="A34" s="166"/>
      <c r="B34" s="166"/>
      <c r="C34" s="1">
        <f>SUM(C4:C33)</f>
        <v>44</v>
      </c>
      <c r="D34" s="1"/>
      <c r="E34" s="2">
        <f>SUM(E4:E33)</f>
        <v>110000000</v>
      </c>
      <c r="F34" s="2">
        <f>SUM(F4:F33)</f>
        <v>59</v>
      </c>
      <c r="G34" s="2"/>
      <c r="H34" s="2">
        <f>SUM(H4:H33)</f>
        <v>106200000</v>
      </c>
      <c r="I34" s="2">
        <f>SUM(I4:I33)</f>
        <v>0</v>
      </c>
      <c r="J34" s="2"/>
      <c r="K34" s="2">
        <f>SUM(K4:K33)</f>
        <v>0</v>
      </c>
      <c r="L34" s="2">
        <f>SUM(L4:L33)</f>
        <v>6980</v>
      </c>
      <c r="M34" s="2"/>
      <c r="N34" s="2">
        <f>SUM(N4:N33)</f>
        <v>34900000</v>
      </c>
      <c r="O34" s="2">
        <f>SUM(O4:O33)</f>
        <v>251100000</v>
      </c>
    </row>
    <row r="35" spans="1:15" x14ac:dyDescent="0.3">
      <c r="A35" s="65"/>
      <c r="B35" s="164" t="s">
        <v>34</v>
      </c>
      <c r="C35" s="164"/>
      <c r="D35" s="164"/>
      <c r="E35" s="164"/>
      <c r="F35" s="34"/>
      <c r="G35" s="35"/>
      <c r="H35" s="36"/>
      <c r="I35" s="36"/>
      <c r="J35" s="36"/>
      <c r="K35" s="36"/>
      <c r="L35" s="164" t="s">
        <v>34</v>
      </c>
      <c r="M35" s="164"/>
      <c r="N35" s="164"/>
      <c r="O35" s="164"/>
    </row>
    <row r="36" spans="1:15" x14ac:dyDescent="0.3">
      <c r="B36" s="118" t="s">
        <v>37</v>
      </c>
      <c r="C36" s="118"/>
      <c r="D36" s="118"/>
      <c r="E36" s="118"/>
      <c r="F36" s="37"/>
      <c r="G36" s="56"/>
      <c r="H36" s="37"/>
      <c r="I36" s="37"/>
      <c r="J36" s="37"/>
      <c r="K36" s="37"/>
      <c r="L36" s="118" t="s">
        <v>38</v>
      </c>
      <c r="M36" s="118"/>
      <c r="N36" s="118"/>
      <c r="O36" s="118"/>
    </row>
  </sheetData>
  <mergeCells count="11">
    <mergeCell ref="A3:B3"/>
    <mergeCell ref="A1:O1"/>
    <mergeCell ref="C2:E2"/>
    <mergeCell ref="F2:H2"/>
    <mergeCell ref="I2:K2"/>
    <mergeCell ref="L2:N2"/>
    <mergeCell ref="A34:B34"/>
    <mergeCell ref="B35:E35"/>
    <mergeCell ref="L35:O35"/>
    <mergeCell ref="B36:E36"/>
    <mergeCell ref="L36:O36"/>
  </mergeCells>
  <pageMargins left="0.19" right="0.17" top="0.5" bottom="0.75" header="0.3" footer="0.3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tion xmlns="329a25e9-1705-4637-a518-f1249ed4c130" xsi:nil="true"/>
    <Doc_x002e_Status xmlns="329a25e9-1705-4637-a518-f1249ed4c130" xsi:nil="true"/>
    <lcf76f155ced4ddcb4097134ff3c332f xmlns="329a25e9-1705-4637-a518-f1249ed4c130">
      <Terms xmlns="http://schemas.microsoft.com/office/infopath/2007/PartnerControls"/>
    </lcf76f155ced4ddcb4097134ff3c332f>
    <Year xmlns="329a25e9-1705-4637-a518-f1249ed4c130" xsi:nil="true"/>
    <Doc_x002e_Type xmlns="329a25e9-1705-4637-a518-f1249ed4c130" xsi:nil="true"/>
    <TaxCatchAll xmlns="8e6f99d7-7587-4b8f-b7d1-74511520459b" xsi:nil="true"/>
    <Category xmlns="329a25e9-1705-4637-a518-f1249ed4c130" xsi:nil="true"/>
    <Language xmlns="329a25e9-1705-4637-a518-f1249ed4c130" xsi:nil="true"/>
    <Retention xmlns="329a25e9-1705-4637-a518-f1249ed4c130">false</Retention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D08AF1EC57F441B26AA9445629A4E4" ma:contentTypeVersion="26" ma:contentTypeDescription="Create a new document." ma:contentTypeScope="" ma:versionID="d3efab3c2aa873f61b0d81e58ce1dc6d">
  <xsd:schema xmlns:xsd="http://www.w3.org/2001/XMLSchema" xmlns:xs="http://www.w3.org/2001/XMLSchema" xmlns:p="http://schemas.microsoft.com/office/2006/metadata/properties" xmlns:ns2="329a25e9-1705-4637-a518-f1249ed4c130" xmlns:ns3="8e6f99d7-7587-4b8f-b7d1-74511520459b" targetNamespace="http://schemas.microsoft.com/office/2006/metadata/properties" ma:root="true" ma:fieldsID="0f8b0c115d683f65396cb327cf995129" ns2:_="" ns3:_="">
    <xsd:import namespace="329a25e9-1705-4637-a518-f1249ed4c130"/>
    <xsd:import namespace="8e6f99d7-7587-4b8f-b7d1-74511520459b"/>
    <xsd:element name="properties">
      <xsd:complexType>
        <xsd:sequence>
          <xsd:element name="documentManagement">
            <xsd:complexType>
              <xsd:all>
                <xsd:element ref="ns2:Doc_x002e_Type" minOccurs="0"/>
                <xsd:element ref="ns2:Doc_x002e_Status" minOccurs="0"/>
                <xsd:element ref="ns2:Category" minOccurs="0"/>
                <xsd:element ref="ns2:Year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anguag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Descrip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Reten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9a25e9-1705-4637-a518-f1249ed4c130" elementFormDefault="qualified">
    <xsd:import namespace="http://schemas.microsoft.com/office/2006/documentManagement/types"/>
    <xsd:import namespace="http://schemas.microsoft.com/office/infopath/2007/PartnerControls"/>
    <xsd:element name="Doc_x002e_Type" ma:index="8" nillable="true" ma:displayName="Doc. Type" ma:format="Dropdown" ma:internalName="Doc_x002e_Type">
      <xsd:simpleType>
        <xsd:restriction base="dms:Choice">
          <xsd:enumeration value="Official Letter"/>
          <xsd:enumeration value="Policy, procedure"/>
          <xsd:enumeration value="HSE Manual"/>
          <xsd:enumeration value="HSE Event Photos"/>
          <xsd:enumeration value="Factory layout"/>
          <xsd:enumeration value="Internal Report"/>
          <xsd:enumeration value="External Report"/>
          <xsd:enumeration value="Incident Report"/>
          <xsd:enumeration value="Accident Report"/>
          <xsd:enumeration value="Contract"/>
        </xsd:restriction>
      </xsd:simpleType>
    </xsd:element>
    <xsd:element name="Doc_x002e_Status" ma:index="9" nillable="true" ma:displayName="Doc. Status" ma:format="Dropdown" ma:internalName="Doc_x002e_Status">
      <xsd:simpleType>
        <xsd:restriction base="dms:Choice">
          <xsd:enumeration value="Approved"/>
          <xsd:enumeration value="For Reference Only"/>
        </xsd:restriction>
      </xsd:simpleType>
    </xsd:element>
    <xsd:element name="Category" ma:index="10" nillable="true" ma:displayName="Category" ma:format="Dropdown" ma:internalName="Category">
      <xsd:simpleType>
        <xsd:restriction base="dms:Choice">
          <xsd:enumeration value="Customer Audit"/>
          <xsd:enumeration value="Government Audit"/>
          <xsd:enumeration value="Internal Audit"/>
          <xsd:enumeration value="Internal Training"/>
          <xsd:enumeration value="External Training"/>
        </xsd:restriction>
      </xsd:simpleType>
    </xsd:element>
    <xsd:element name="Year" ma:index="11" nillable="true" ma:displayName="Year" ma:format="Dropdown" ma:internalName="Year">
      <xsd:simpleType>
        <xsd:union memberTypes="dms:Text">
          <xsd:simpleType>
            <xsd:restriction base="dms:Choice">
              <xsd:enumeration value="2023"/>
              <xsd:enumeration value="2022"/>
              <xsd:enumeration value="2024"/>
            </xsd:restriction>
          </xsd:simpleType>
        </xsd:union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anguage" ma:index="15" nillable="true" ma:displayName="Language" ma:format="Dropdown" ma:internalName="Language">
      <xsd:simpleType>
        <xsd:restriction base="dms:Choice">
          <xsd:enumeration value="Vietnamese"/>
          <xsd:enumeration value="English"/>
          <xsd:enumeration value="Lựa chọn 3"/>
        </xsd:restriction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42997-4aa2-4ea7-9542-edab702aa68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Description" ma:index="22" nillable="true" ma:displayName="Description" ma:format="Dropdown" ma:internalName="Description">
      <xsd:simpleType>
        <xsd:restriction base="dms:Text">
          <xsd:maxLength value="255"/>
        </xsd:restriction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6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  <xsd:element name="Retention" ma:index="30" nillable="true" ma:displayName="Retention" ma:default="0" ma:format="Dropdown" ma:internalName="Retention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6f99d7-7587-4b8f-b7d1-74511520459b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c2be5ab-ec5f-4815-bdd7-22f825ba5ef0}" ma:internalName="TaxCatchAll" ma:showField="CatchAllData" ma:web="8e6f99d7-7587-4b8f-b7d1-7451152045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17B5858-85AF-4934-AADA-C851F38177E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D84AD80-4571-4484-92F9-C2DC5ED5611F}">
  <ds:schemaRefs>
    <ds:schemaRef ds:uri="8e6f99d7-7587-4b8f-b7d1-74511520459b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www.w3.org/XML/1998/namespace"/>
    <ds:schemaRef ds:uri="http://purl.org/dc/terms/"/>
    <ds:schemaRef ds:uri="http://schemas.openxmlformats.org/package/2006/metadata/core-properties"/>
    <ds:schemaRef ds:uri="329a25e9-1705-4637-a518-f1249ed4c130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36E7151-1C63-4741-AB66-143E84B58C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29a25e9-1705-4637-a518-f1249ed4c130"/>
    <ds:schemaRef ds:uri="8e6f99d7-7587-4b8f-b7d1-7451152045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Phuy xúc rửa</vt:lpstr>
      <vt:lpstr>Jan</vt:lpstr>
      <vt:lpstr>Feb, </vt:lpstr>
      <vt:lpstr>Mar.</vt:lpstr>
      <vt:lpstr>Apr.</vt:lpstr>
      <vt:lpstr>May.</vt:lpstr>
      <vt:lpstr>June.)</vt:lpstr>
      <vt:lpstr>July,</vt:lpstr>
      <vt:lpstr>Aug,</vt:lpstr>
      <vt:lpstr>Feb</vt:lpstr>
      <vt:lpstr>Mar</vt:lpstr>
      <vt:lpstr>Apr</vt:lpstr>
      <vt:lpstr>May</vt:lpstr>
      <vt:lpstr>June</vt:lpstr>
      <vt:lpstr>July</vt:lpstr>
      <vt:lpstr>Aug</vt:lpstr>
      <vt:lpstr>Sep</vt:lpstr>
      <vt:lpstr>OCt</vt:lpstr>
      <vt:lpstr>Nov</vt:lpstr>
      <vt:lpstr>Dec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2026-08-25T01:34:14Z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0x010100B1D08AF1EC57F441B26AA9445629A4E4</vt:lpwstr>
  </property>
  <property fmtid="{D5CDD505-2E9C-101B-9397-08002B2CF9AE}" pid="3" name="MediaServiceImageTags">
    <vt:lpwstr/>
  </property>
</Properties>
</file>