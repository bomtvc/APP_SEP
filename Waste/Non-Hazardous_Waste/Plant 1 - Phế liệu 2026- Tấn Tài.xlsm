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ochdalespearsco.sharepoint.com/sites/BusinessSupportServices/HSE/Policy - Procedure/01. Environment/01. Quản lý rác thải/2. Khong nguy hai_ Phe lieu/P1 (Sao Nam)/2026/"/>
    </mc:Choice>
  </mc:AlternateContent>
  <xr:revisionPtr revIDLastSave="0" documentId="8_{84EBA011-D055-4526-BBCF-87FC5CC7FAC7}" xr6:coauthVersionLast="47" xr6:coauthVersionMax="47" xr10:uidLastSave="{00000000-0000-0000-0000-000000000000}"/>
  <bookViews>
    <workbookView xWindow="28680" yWindow="-120" windowWidth="29040" windowHeight="15720" firstSheet="1" activeTab="1" xr2:uid="{3B3B17DF-C449-4CA4-865F-5D6B0A5AA243}"/>
  </bookViews>
  <sheets>
    <sheet name="May" sheetId="11" state="hidden" r:id="rId1"/>
    <sheet name="Sep" sheetId="16" r:id="rId2"/>
    <sheet name="Aug" sheetId="15" r:id="rId3"/>
    <sheet name="Jul" sheetId="14" r:id="rId4"/>
    <sheet name="Jun" sheetId="13" r:id="rId5"/>
    <sheet name="May." sheetId="12" r:id="rId6"/>
    <sheet name="Apr" sheetId="10" r:id="rId7"/>
    <sheet name="Mar" sheetId="9" r:id="rId8"/>
    <sheet name="Feb" sheetId="4" r:id="rId9"/>
    <sheet name="Feb (update)" sheetId="8" r:id="rId10"/>
    <sheet name="Sheet2" sheetId="7" r:id="rId11"/>
    <sheet name="Sheet1" sheetId="6" r:id="rId12"/>
    <sheet name="Jan-TT" sheetId="3" r:id="rId13"/>
    <sheet name="Jan-TL" sheetId="2" r:id="rId14"/>
    <sheet name="Jan" sheetId="1" r:id="rId15"/>
  </sheets>
  <definedNames>
    <definedName name="_xlnm.Print_Titles" localSheetId="6">Apr!$3:$4</definedName>
    <definedName name="_xlnm.Print_Titles" localSheetId="2">Aug!$3:$4</definedName>
    <definedName name="_xlnm.Print_Titles" localSheetId="8">Feb!$3:$4</definedName>
    <definedName name="_xlnm.Print_Titles" localSheetId="9">'Feb (update)'!$3:$4</definedName>
    <definedName name="_xlnm.Print_Titles" localSheetId="14">Jan!$3:$4</definedName>
    <definedName name="_xlnm.Print_Titles" localSheetId="13">'Jan-TL'!$3:$4</definedName>
    <definedName name="_xlnm.Print_Titles" localSheetId="12">'Jan-TT'!$3:$4</definedName>
    <definedName name="_xlnm.Print_Titles" localSheetId="3">Jul!$3:$4</definedName>
    <definedName name="_xlnm.Print_Titles" localSheetId="4">Jun!$3:$4</definedName>
    <definedName name="_xlnm.Print_Titles" localSheetId="7">Mar!$3:$4</definedName>
    <definedName name="_xlnm.Print_Titles" localSheetId="0">May!$3:$4</definedName>
    <definedName name="_xlnm.Print_Titles" localSheetId="5">May.!$3:$4</definedName>
    <definedName name="_xlnm.Print_Titles" localSheetId="1">Sep!$3:$4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15" l="1"/>
  <c r="K7" i="15"/>
  <c r="K8" i="15"/>
  <c r="K9" i="15"/>
  <c r="K10" i="15"/>
  <c r="L10" i="15" s="1"/>
  <c r="W10" i="15" s="1"/>
  <c r="K11" i="15"/>
  <c r="K12" i="15"/>
  <c r="K13" i="15"/>
  <c r="K14" i="15"/>
  <c r="K15" i="15"/>
  <c r="K16" i="15"/>
  <c r="K17" i="15"/>
  <c r="K18" i="15"/>
  <c r="L18" i="15" s="1"/>
  <c r="W18" i="15" s="1"/>
  <c r="K19" i="15"/>
  <c r="L19" i="15" s="1"/>
  <c r="W19" i="15" s="1"/>
  <c r="K20" i="15"/>
  <c r="J6" i="15"/>
  <c r="J7" i="15"/>
  <c r="J8" i="15"/>
  <c r="J9" i="15"/>
  <c r="J10" i="15"/>
  <c r="J11" i="15"/>
  <c r="J12" i="15"/>
  <c r="K6" i="16"/>
  <c r="K7" i="16"/>
  <c r="K8" i="16"/>
  <c r="K9" i="16"/>
  <c r="K10" i="16"/>
  <c r="K11" i="16"/>
  <c r="L11" i="16" s="1"/>
  <c r="W11" i="16" s="1"/>
  <c r="K12" i="16"/>
  <c r="K13" i="16"/>
  <c r="K14" i="16"/>
  <c r="K15" i="16"/>
  <c r="K16" i="16"/>
  <c r="K18" i="16"/>
  <c r="K19" i="16"/>
  <c r="L19" i="16" s="1"/>
  <c r="W19" i="16" s="1"/>
  <c r="K20" i="16"/>
  <c r="K21" i="16"/>
  <c r="K22" i="16"/>
  <c r="K23" i="16"/>
  <c r="K24" i="16"/>
  <c r="K25" i="16"/>
  <c r="K26" i="16"/>
  <c r="K27" i="16"/>
  <c r="L27" i="16" s="1"/>
  <c r="W27" i="16" s="1"/>
  <c r="K28" i="16"/>
  <c r="K29" i="16"/>
  <c r="K30" i="16"/>
  <c r="K31" i="16"/>
  <c r="K32" i="16"/>
  <c r="K33" i="16"/>
  <c r="K34" i="16"/>
  <c r="K35" i="16"/>
  <c r="L35" i="16" s="1"/>
  <c r="W35" i="16" s="1"/>
  <c r="K36" i="16"/>
  <c r="O42" i="1"/>
  <c r="N42" i="1"/>
  <c r="L42" i="1"/>
  <c r="K42" i="1"/>
  <c r="I42" i="1"/>
  <c r="H42" i="1"/>
  <c r="F42" i="1"/>
  <c r="E42" i="1"/>
  <c r="C42" i="1"/>
  <c r="O41" i="1"/>
  <c r="N41" i="1"/>
  <c r="K41" i="1"/>
  <c r="H41" i="1"/>
  <c r="E41" i="1"/>
  <c r="O40" i="1"/>
  <c r="N40" i="1"/>
  <c r="K40" i="1"/>
  <c r="H40" i="1"/>
  <c r="E40" i="1"/>
  <c r="O39" i="1"/>
  <c r="N39" i="1"/>
  <c r="K39" i="1"/>
  <c r="H39" i="1"/>
  <c r="E39" i="1"/>
  <c r="O38" i="1"/>
  <c r="N38" i="1"/>
  <c r="K38" i="1"/>
  <c r="H38" i="1"/>
  <c r="E38" i="1"/>
  <c r="O37" i="1"/>
  <c r="N37" i="1"/>
  <c r="K37" i="1"/>
  <c r="H37" i="1"/>
  <c r="E37" i="1"/>
  <c r="O36" i="1"/>
  <c r="N36" i="1"/>
  <c r="K36" i="1"/>
  <c r="H36" i="1"/>
  <c r="E36" i="1"/>
  <c r="O35" i="1"/>
  <c r="N35" i="1"/>
  <c r="K35" i="1"/>
  <c r="H35" i="1"/>
  <c r="E35" i="1"/>
  <c r="O34" i="1"/>
  <c r="N34" i="1"/>
  <c r="K34" i="1"/>
  <c r="H34" i="1"/>
  <c r="E34" i="1"/>
  <c r="O33" i="1"/>
  <c r="N33" i="1"/>
  <c r="K33" i="1"/>
  <c r="H33" i="1"/>
  <c r="E33" i="1"/>
  <c r="O32" i="1"/>
  <c r="N32" i="1"/>
  <c r="K32" i="1"/>
  <c r="H32" i="1"/>
  <c r="E32" i="1"/>
  <c r="O31" i="1"/>
  <c r="N31" i="1"/>
  <c r="K31" i="1"/>
  <c r="H31" i="1"/>
  <c r="E31" i="1"/>
  <c r="O30" i="1"/>
  <c r="N30" i="1"/>
  <c r="K30" i="1"/>
  <c r="H30" i="1"/>
  <c r="E30" i="1"/>
  <c r="O29" i="1"/>
  <c r="N29" i="1"/>
  <c r="K29" i="1"/>
  <c r="H29" i="1"/>
  <c r="E29" i="1"/>
  <c r="O28" i="1"/>
  <c r="N28" i="1"/>
  <c r="K28" i="1"/>
  <c r="H28" i="1"/>
  <c r="E28" i="1"/>
  <c r="O27" i="1"/>
  <c r="N27" i="1"/>
  <c r="K27" i="1"/>
  <c r="H27" i="1"/>
  <c r="E27" i="1"/>
  <c r="O26" i="1"/>
  <c r="N26" i="1"/>
  <c r="K26" i="1"/>
  <c r="H26" i="1"/>
  <c r="E26" i="1"/>
  <c r="O25" i="1"/>
  <c r="N25" i="1"/>
  <c r="K25" i="1"/>
  <c r="H25" i="1"/>
  <c r="E25" i="1"/>
  <c r="O24" i="1"/>
  <c r="N24" i="1"/>
  <c r="K24" i="1"/>
  <c r="H24" i="1"/>
  <c r="E24" i="1"/>
  <c r="O23" i="1"/>
  <c r="N23" i="1"/>
  <c r="K23" i="1"/>
  <c r="H23" i="1"/>
  <c r="E23" i="1"/>
  <c r="O22" i="1"/>
  <c r="N22" i="1"/>
  <c r="K22" i="1"/>
  <c r="H22" i="1"/>
  <c r="E22" i="1"/>
  <c r="O21" i="1"/>
  <c r="N21" i="1"/>
  <c r="K21" i="1"/>
  <c r="H21" i="1"/>
  <c r="E21" i="1"/>
  <c r="O20" i="1"/>
  <c r="N20" i="1"/>
  <c r="K20" i="1"/>
  <c r="H20" i="1"/>
  <c r="E20" i="1"/>
  <c r="O19" i="1"/>
  <c r="N19" i="1"/>
  <c r="K19" i="1"/>
  <c r="H19" i="1"/>
  <c r="E19" i="1"/>
  <c r="O18" i="1"/>
  <c r="N18" i="1"/>
  <c r="K18" i="1"/>
  <c r="H18" i="1"/>
  <c r="E18" i="1"/>
  <c r="O17" i="1"/>
  <c r="N17" i="1"/>
  <c r="K17" i="1"/>
  <c r="H17" i="1"/>
  <c r="E17" i="1"/>
  <c r="O16" i="1"/>
  <c r="N16" i="1"/>
  <c r="K16" i="1"/>
  <c r="H16" i="1"/>
  <c r="E16" i="1"/>
  <c r="O15" i="1"/>
  <c r="N15" i="1"/>
  <c r="K15" i="1"/>
  <c r="H15" i="1"/>
  <c r="E15" i="1"/>
  <c r="O14" i="1"/>
  <c r="N14" i="1"/>
  <c r="K14" i="1"/>
  <c r="H14" i="1"/>
  <c r="E14" i="1"/>
  <c r="O13" i="1"/>
  <c r="N13" i="1"/>
  <c r="K13" i="1"/>
  <c r="H13" i="1"/>
  <c r="E13" i="1"/>
  <c r="O12" i="1"/>
  <c r="N12" i="1"/>
  <c r="K12" i="1"/>
  <c r="H12" i="1"/>
  <c r="E12" i="1"/>
  <c r="O11" i="1"/>
  <c r="N11" i="1"/>
  <c r="K11" i="1"/>
  <c r="H11" i="1"/>
  <c r="E11" i="1"/>
  <c r="O10" i="1"/>
  <c r="N10" i="1"/>
  <c r="K10" i="1"/>
  <c r="H10" i="1"/>
  <c r="E10" i="1"/>
  <c r="O9" i="1"/>
  <c r="N9" i="1"/>
  <c r="K9" i="1"/>
  <c r="H9" i="1"/>
  <c r="E9" i="1"/>
  <c r="O8" i="1"/>
  <c r="N8" i="1"/>
  <c r="K8" i="1"/>
  <c r="H8" i="1"/>
  <c r="E8" i="1"/>
  <c r="O7" i="1"/>
  <c r="N7" i="1"/>
  <c r="K7" i="1"/>
  <c r="H7" i="1"/>
  <c r="E7" i="1"/>
  <c r="O6" i="1"/>
  <c r="N6" i="1"/>
  <c r="K6" i="1"/>
  <c r="H6" i="1"/>
  <c r="E6" i="1"/>
  <c r="O5" i="1"/>
  <c r="N5" i="1"/>
  <c r="K5" i="1"/>
  <c r="H5" i="1"/>
  <c r="E5" i="1"/>
  <c r="O17" i="2"/>
  <c r="N17" i="2"/>
  <c r="L17" i="2"/>
  <c r="K17" i="2"/>
  <c r="I17" i="2"/>
  <c r="H17" i="2"/>
  <c r="F17" i="2"/>
  <c r="E17" i="2"/>
  <c r="C17" i="2"/>
  <c r="O16" i="2"/>
  <c r="N16" i="2"/>
  <c r="K16" i="2"/>
  <c r="H16" i="2"/>
  <c r="E16" i="2"/>
  <c r="O15" i="2"/>
  <c r="N15" i="2"/>
  <c r="K15" i="2"/>
  <c r="H15" i="2"/>
  <c r="E15" i="2"/>
  <c r="O14" i="2"/>
  <c r="N14" i="2"/>
  <c r="K14" i="2"/>
  <c r="H14" i="2"/>
  <c r="E14" i="2"/>
  <c r="O13" i="2"/>
  <c r="N13" i="2"/>
  <c r="K13" i="2"/>
  <c r="H13" i="2"/>
  <c r="E13" i="2"/>
  <c r="O12" i="2"/>
  <c r="N12" i="2"/>
  <c r="K12" i="2"/>
  <c r="H12" i="2"/>
  <c r="E12" i="2"/>
  <c r="O11" i="2"/>
  <c r="N11" i="2"/>
  <c r="K11" i="2"/>
  <c r="H11" i="2"/>
  <c r="E11" i="2"/>
  <c r="O10" i="2"/>
  <c r="N10" i="2"/>
  <c r="K10" i="2"/>
  <c r="H10" i="2"/>
  <c r="E10" i="2"/>
  <c r="O9" i="2"/>
  <c r="N9" i="2"/>
  <c r="K9" i="2"/>
  <c r="H9" i="2"/>
  <c r="E9" i="2"/>
  <c r="O8" i="2"/>
  <c r="N8" i="2"/>
  <c r="K8" i="2"/>
  <c r="H8" i="2"/>
  <c r="E8" i="2"/>
  <c r="O7" i="2"/>
  <c r="N7" i="2"/>
  <c r="K7" i="2"/>
  <c r="H7" i="2"/>
  <c r="E7" i="2"/>
  <c r="O6" i="2"/>
  <c r="N6" i="2"/>
  <c r="K6" i="2"/>
  <c r="H6" i="2"/>
  <c r="E6" i="2"/>
  <c r="O5" i="2"/>
  <c r="N5" i="2"/>
  <c r="K5" i="2"/>
  <c r="H5" i="2"/>
  <c r="E5" i="2"/>
  <c r="O30" i="3"/>
  <c r="N30" i="3"/>
  <c r="L30" i="3"/>
  <c r="K30" i="3"/>
  <c r="I30" i="3"/>
  <c r="H30" i="3"/>
  <c r="F30" i="3"/>
  <c r="E30" i="3"/>
  <c r="C30" i="3"/>
  <c r="O29" i="3"/>
  <c r="N29" i="3"/>
  <c r="K29" i="3"/>
  <c r="H29" i="3"/>
  <c r="E29" i="3"/>
  <c r="O28" i="3"/>
  <c r="N28" i="3"/>
  <c r="K28" i="3"/>
  <c r="H28" i="3"/>
  <c r="E28" i="3"/>
  <c r="O27" i="3"/>
  <c r="N27" i="3"/>
  <c r="K27" i="3"/>
  <c r="H27" i="3"/>
  <c r="E27" i="3"/>
  <c r="O26" i="3"/>
  <c r="N26" i="3"/>
  <c r="K26" i="3"/>
  <c r="H26" i="3"/>
  <c r="E26" i="3"/>
  <c r="O25" i="3"/>
  <c r="N25" i="3"/>
  <c r="K25" i="3"/>
  <c r="H25" i="3"/>
  <c r="E25" i="3"/>
  <c r="O24" i="3"/>
  <c r="N24" i="3"/>
  <c r="K24" i="3"/>
  <c r="H24" i="3"/>
  <c r="E24" i="3"/>
  <c r="O23" i="3"/>
  <c r="N23" i="3"/>
  <c r="K23" i="3"/>
  <c r="H23" i="3"/>
  <c r="E23" i="3"/>
  <c r="O22" i="3"/>
  <c r="N22" i="3"/>
  <c r="K22" i="3"/>
  <c r="H22" i="3"/>
  <c r="E22" i="3"/>
  <c r="O21" i="3"/>
  <c r="N21" i="3"/>
  <c r="K21" i="3"/>
  <c r="H21" i="3"/>
  <c r="E21" i="3"/>
  <c r="O20" i="3"/>
  <c r="N20" i="3"/>
  <c r="K20" i="3"/>
  <c r="H20" i="3"/>
  <c r="E20" i="3"/>
  <c r="O19" i="3"/>
  <c r="N19" i="3"/>
  <c r="K19" i="3"/>
  <c r="H19" i="3"/>
  <c r="E19" i="3"/>
  <c r="O18" i="3"/>
  <c r="N18" i="3"/>
  <c r="K18" i="3"/>
  <c r="H18" i="3"/>
  <c r="E18" i="3"/>
  <c r="O17" i="3"/>
  <c r="N17" i="3"/>
  <c r="K17" i="3"/>
  <c r="H17" i="3"/>
  <c r="E17" i="3"/>
  <c r="O16" i="3"/>
  <c r="N16" i="3"/>
  <c r="K16" i="3"/>
  <c r="H16" i="3"/>
  <c r="E16" i="3"/>
  <c r="O15" i="3"/>
  <c r="N15" i="3"/>
  <c r="K15" i="3"/>
  <c r="H15" i="3"/>
  <c r="E15" i="3"/>
  <c r="O14" i="3"/>
  <c r="N14" i="3"/>
  <c r="K14" i="3"/>
  <c r="H14" i="3"/>
  <c r="E14" i="3"/>
  <c r="O13" i="3"/>
  <c r="N13" i="3"/>
  <c r="K13" i="3"/>
  <c r="H13" i="3"/>
  <c r="E13" i="3"/>
  <c r="O12" i="3"/>
  <c r="N12" i="3"/>
  <c r="K12" i="3"/>
  <c r="H12" i="3"/>
  <c r="E12" i="3"/>
  <c r="O11" i="3"/>
  <c r="N11" i="3"/>
  <c r="K11" i="3"/>
  <c r="H11" i="3"/>
  <c r="E11" i="3"/>
  <c r="O10" i="3"/>
  <c r="N10" i="3"/>
  <c r="K10" i="3"/>
  <c r="H10" i="3"/>
  <c r="E10" i="3"/>
  <c r="O9" i="3"/>
  <c r="N9" i="3"/>
  <c r="K9" i="3"/>
  <c r="H9" i="3"/>
  <c r="E9" i="3"/>
  <c r="O8" i="3"/>
  <c r="N8" i="3"/>
  <c r="K8" i="3"/>
  <c r="H8" i="3"/>
  <c r="E8" i="3"/>
  <c r="O7" i="3"/>
  <c r="N7" i="3"/>
  <c r="K7" i="3"/>
  <c r="H7" i="3"/>
  <c r="E7" i="3"/>
  <c r="O6" i="3"/>
  <c r="N6" i="3"/>
  <c r="K6" i="3"/>
  <c r="H6" i="3"/>
  <c r="E6" i="3"/>
  <c r="O5" i="3"/>
  <c r="N5" i="3"/>
  <c r="K5" i="3"/>
  <c r="H5" i="3"/>
  <c r="E5" i="3"/>
  <c r="G9" i="6"/>
  <c r="H8" i="6"/>
  <c r="G8" i="6"/>
  <c r="F6" i="6"/>
  <c r="F5" i="6"/>
  <c r="L22" i="8"/>
  <c r="W21" i="8"/>
  <c r="V21" i="8"/>
  <c r="T21" i="8"/>
  <c r="R21" i="8"/>
  <c r="Q21" i="8"/>
  <c r="O21" i="8"/>
  <c r="M21" i="8"/>
  <c r="L21" i="8"/>
  <c r="J21" i="8"/>
  <c r="H21" i="8"/>
  <c r="G21" i="8"/>
  <c r="F21" i="8"/>
  <c r="C21" i="8"/>
  <c r="W20" i="8"/>
  <c r="V20" i="8"/>
  <c r="U20" i="8"/>
  <c r="T20" i="8"/>
  <c r="Q20" i="8"/>
  <c r="P20" i="8"/>
  <c r="O20" i="8"/>
  <c r="L20" i="8"/>
  <c r="K20" i="8"/>
  <c r="J20" i="8"/>
  <c r="G20" i="8"/>
  <c r="F20" i="8"/>
  <c r="E20" i="8"/>
  <c r="W19" i="8"/>
  <c r="V19" i="8"/>
  <c r="U19" i="8"/>
  <c r="T19" i="8"/>
  <c r="Q19" i="8"/>
  <c r="P19" i="8"/>
  <c r="O19" i="8"/>
  <c r="L19" i="8"/>
  <c r="K19" i="8"/>
  <c r="J19" i="8"/>
  <c r="G19" i="8"/>
  <c r="F19" i="8"/>
  <c r="E19" i="8"/>
  <c r="W18" i="8"/>
  <c r="V18" i="8"/>
  <c r="U18" i="8"/>
  <c r="T18" i="8"/>
  <c r="Q18" i="8"/>
  <c r="P18" i="8"/>
  <c r="O18" i="8"/>
  <c r="L18" i="8"/>
  <c r="G18" i="8"/>
  <c r="W17" i="8"/>
  <c r="V17" i="8"/>
  <c r="U17" i="8"/>
  <c r="T17" i="8"/>
  <c r="Q17" i="8"/>
  <c r="P17" i="8"/>
  <c r="O17" i="8"/>
  <c r="L17" i="8"/>
  <c r="K17" i="8"/>
  <c r="J17" i="8"/>
  <c r="G17" i="8"/>
  <c r="F17" i="8"/>
  <c r="E17" i="8"/>
  <c r="W16" i="8"/>
  <c r="V16" i="8"/>
  <c r="U16" i="8"/>
  <c r="T16" i="8"/>
  <c r="Q16" i="8"/>
  <c r="P16" i="8"/>
  <c r="O16" i="8"/>
  <c r="L16" i="8"/>
  <c r="G16" i="8"/>
  <c r="F16" i="8"/>
  <c r="E16" i="8"/>
  <c r="W15" i="8"/>
  <c r="V15" i="8"/>
  <c r="U15" i="8"/>
  <c r="T15" i="8"/>
  <c r="Q15" i="8"/>
  <c r="P15" i="8"/>
  <c r="O15" i="8"/>
  <c r="L15" i="8"/>
  <c r="G15" i="8"/>
  <c r="F15" i="8"/>
  <c r="E15" i="8"/>
  <c r="W14" i="8"/>
  <c r="V14" i="8"/>
  <c r="U14" i="8"/>
  <c r="T14" i="8"/>
  <c r="Q14" i="8"/>
  <c r="P14" i="8"/>
  <c r="O14" i="8"/>
  <c r="L14" i="8"/>
  <c r="K14" i="8"/>
  <c r="J14" i="8"/>
  <c r="G14" i="8"/>
  <c r="F14" i="8"/>
  <c r="E14" i="8"/>
  <c r="W13" i="8"/>
  <c r="V13" i="8"/>
  <c r="U13" i="8"/>
  <c r="T13" i="8"/>
  <c r="Q13" i="8"/>
  <c r="P13" i="8"/>
  <c r="O13" i="8"/>
  <c r="L13" i="8"/>
  <c r="K13" i="8"/>
  <c r="J13" i="8"/>
  <c r="G13" i="8"/>
  <c r="F13" i="8"/>
  <c r="E13" i="8"/>
  <c r="W12" i="8"/>
  <c r="V12" i="8"/>
  <c r="U12" i="8"/>
  <c r="T12" i="8"/>
  <c r="Q12" i="8"/>
  <c r="P12" i="8"/>
  <c r="O12" i="8"/>
  <c r="L12" i="8"/>
  <c r="K12" i="8"/>
  <c r="J12" i="8"/>
  <c r="G12" i="8"/>
  <c r="F12" i="8"/>
  <c r="E12" i="8"/>
  <c r="W11" i="8"/>
  <c r="V11" i="8"/>
  <c r="U11" i="8"/>
  <c r="T11" i="8"/>
  <c r="Q11" i="8"/>
  <c r="P11" i="8"/>
  <c r="O11" i="8"/>
  <c r="L11" i="8"/>
  <c r="G11" i="8"/>
  <c r="W10" i="8"/>
  <c r="V10" i="8"/>
  <c r="U10" i="8"/>
  <c r="T10" i="8"/>
  <c r="Q10" i="8"/>
  <c r="P10" i="8"/>
  <c r="O10" i="8"/>
  <c r="L10" i="8"/>
  <c r="K10" i="8"/>
  <c r="J10" i="8"/>
  <c r="G10" i="8"/>
  <c r="F10" i="8"/>
  <c r="E10" i="8"/>
  <c r="W9" i="8"/>
  <c r="V9" i="8"/>
  <c r="U9" i="8"/>
  <c r="T9" i="8"/>
  <c r="Q9" i="8"/>
  <c r="P9" i="8"/>
  <c r="O9" i="8"/>
  <c r="L9" i="8"/>
  <c r="G9" i="8"/>
  <c r="F9" i="8"/>
  <c r="E9" i="8"/>
  <c r="W8" i="8"/>
  <c r="V8" i="8"/>
  <c r="U8" i="8"/>
  <c r="T8" i="8"/>
  <c r="Q8" i="8"/>
  <c r="P8" i="8"/>
  <c r="O8" i="8"/>
  <c r="L8" i="8"/>
  <c r="G8" i="8"/>
  <c r="F8" i="8"/>
  <c r="E8" i="8"/>
  <c r="W7" i="8"/>
  <c r="V7" i="8"/>
  <c r="U7" i="8"/>
  <c r="T7" i="8"/>
  <c r="Q7" i="8"/>
  <c r="P7" i="8"/>
  <c r="O7" i="8"/>
  <c r="L7" i="8"/>
  <c r="K7" i="8"/>
  <c r="J7" i="8"/>
  <c r="G7" i="8"/>
  <c r="F7" i="8"/>
  <c r="E7" i="8"/>
  <c r="W6" i="8"/>
  <c r="V6" i="8"/>
  <c r="U6" i="8"/>
  <c r="T6" i="8"/>
  <c r="Q6" i="8"/>
  <c r="P6" i="8"/>
  <c r="O6" i="8"/>
  <c r="L6" i="8"/>
  <c r="K6" i="8"/>
  <c r="G6" i="8"/>
  <c r="F6" i="8"/>
  <c r="E6" i="8"/>
  <c r="W5" i="8"/>
  <c r="V5" i="8"/>
  <c r="U5" i="8"/>
  <c r="T5" i="8"/>
  <c r="Q5" i="8"/>
  <c r="P5" i="8"/>
  <c r="O5" i="8"/>
  <c r="L5" i="8"/>
  <c r="K5" i="8"/>
  <c r="J5" i="8"/>
  <c r="G5" i="8"/>
  <c r="F5" i="8"/>
  <c r="E5" i="8"/>
  <c r="L22" i="4"/>
  <c r="S21" i="4"/>
  <c r="R21" i="4"/>
  <c r="P21" i="4"/>
  <c r="O21" i="4"/>
  <c r="M21" i="4"/>
  <c r="L21" i="4"/>
  <c r="J21" i="4"/>
  <c r="H21" i="4"/>
  <c r="G21" i="4"/>
  <c r="F21" i="4"/>
  <c r="C21" i="4"/>
  <c r="S20" i="4"/>
  <c r="R20" i="4"/>
  <c r="O20" i="4"/>
  <c r="L20" i="4"/>
  <c r="J20" i="4"/>
  <c r="G20" i="4"/>
  <c r="F20" i="4"/>
  <c r="S19" i="4"/>
  <c r="R19" i="4"/>
  <c r="O19" i="4"/>
  <c r="L19" i="4"/>
  <c r="J19" i="4"/>
  <c r="G19" i="4"/>
  <c r="F19" i="4"/>
  <c r="S18" i="4"/>
  <c r="R18" i="4"/>
  <c r="O18" i="4"/>
  <c r="L18" i="4"/>
  <c r="J18" i="4"/>
  <c r="G18" i="4"/>
  <c r="F18" i="4"/>
  <c r="S17" i="4"/>
  <c r="R17" i="4"/>
  <c r="O17" i="4"/>
  <c r="L17" i="4"/>
  <c r="J17" i="4"/>
  <c r="G17" i="4"/>
  <c r="F17" i="4"/>
  <c r="S16" i="4"/>
  <c r="R16" i="4"/>
  <c r="O16" i="4"/>
  <c r="L16" i="4"/>
  <c r="J16" i="4"/>
  <c r="G16" i="4"/>
  <c r="F16" i="4"/>
  <c r="S15" i="4"/>
  <c r="R15" i="4"/>
  <c r="O15" i="4"/>
  <c r="L15" i="4"/>
  <c r="J15" i="4"/>
  <c r="G15" i="4"/>
  <c r="F15" i="4"/>
  <c r="S14" i="4"/>
  <c r="R14" i="4"/>
  <c r="O14" i="4"/>
  <c r="L14" i="4"/>
  <c r="J14" i="4"/>
  <c r="G14" i="4"/>
  <c r="F14" i="4"/>
  <c r="S13" i="4"/>
  <c r="R13" i="4"/>
  <c r="O13" i="4"/>
  <c r="L13" i="4"/>
  <c r="J13" i="4"/>
  <c r="G13" i="4"/>
  <c r="F13" i="4"/>
  <c r="S12" i="4"/>
  <c r="R12" i="4"/>
  <c r="O12" i="4"/>
  <c r="L12" i="4"/>
  <c r="J12" i="4"/>
  <c r="G12" i="4"/>
  <c r="F12" i="4"/>
  <c r="S11" i="4"/>
  <c r="R11" i="4"/>
  <c r="O11" i="4"/>
  <c r="L11" i="4"/>
  <c r="J11" i="4"/>
  <c r="G11" i="4"/>
  <c r="F11" i="4"/>
  <c r="S10" i="4"/>
  <c r="R10" i="4"/>
  <c r="O10" i="4"/>
  <c r="L10" i="4"/>
  <c r="J10" i="4"/>
  <c r="G10" i="4"/>
  <c r="F10" i="4"/>
  <c r="S9" i="4"/>
  <c r="R9" i="4"/>
  <c r="O9" i="4"/>
  <c r="L9" i="4"/>
  <c r="J9" i="4"/>
  <c r="G9" i="4"/>
  <c r="F9" i="4"/>
  <c r="S8" i="4"/>
  <c r="R8" i="4"/>
  <c r="O8" i="4"/>
  <c r="L8" i="4"/>
  <c r="J8" i="4"/>
  <c r="G8" i="4"/>
  <c r="F8" i="4"/>
  <c r="S7" i="4"/>
  <c r="R7" i="4"/>
  <c r="O7" i="4"/>
  <c r="L7" i="4"/>
  <c r="J7" i="4"/>
  <c r="G7" i="4"/>
  <c r="F7" i="4"/>
  <c r="S6" i="4"/>
  <c r="R6" i="4"/>
  <c r="O6" i="4"/>
  <c r="L6" i="4"/>
  <c r="J6" i="4"/>
  <c r="G6" i="4"/>
  <c r="F6" i="4"/>
  <c r="S5" i="4"/>
  <c r="R5" i="4"/>
  <c r="O5" i="4"/>
  <c r="L5" i="4"/>
  <c r="J5" i="4"/>
  <c r="G5" i="4"/>
  <c r="F5" i="4"/>
  <c r="W27" i="9"/>
  <c r="V27" i="9"/>
  <c r="U27" i="9"/>
  <c r="T27" i="9"/>
  <c r="R27" i="9"/>
  <c r="Q27" i="9"/>
  <c r="P27" i="9"/>
  <c r="O27" i="9"/>
  <c r="M27" i="9"/>
  <c r="L27" i="9"/>
  <c r="K27" i="9"/>
  <c r="J27" i="9"/>
  <c r="G27" i="9"/>
  <c r="F27" i="9"/>
  <c r="E27" i="9"/>
  <c r="W26" i="9"/>
  <c r="V26" i="9"/>
  <c r="U26" i="9"/>
  <c r="T26" i="9"/>
  <c r="Q26" i="9"/>
  <c r="P26" i="9"/>
  <c r="O26" i="9"/>
  <c r="L26" i="9"/>
  <c r="K26" i="9"/>
  <c r="J26" i="9"/>
  <c r="G26" i="9"/>
  <c r="F26" i="9"/>
  <c r="E26" i="9"/>
  <c r="W25" i="9"/>
  <c r="V25" i="9"/>
  <c r="U25" i="9"/>
  <c r="T25" i="9"/>
  <c r="Q25" i="9"/>
  <c r="P25" i="9"/>
  <c r="O25" i="9"/>
  <c r="L25" i="9"/>
  <c r="K25" i="9"/>
  <c r="J25" i="9"/>
  <c r="G25" i="9"/>
  <c r="F25" i="9"/>
  <c r="E25" i="9"/>
  <c r="W24" i="9"/>
  <c r="V24" i="9"/>
  <c r="U24" i="9"/>
  <c r="T24" i="9"/>
  <c r="Q24" i="9"/>
  <c r="P24" i="9"/>
  <c r="O24" i="9"/>
  <c r="L24" i="9"/>
  <c r="K24" i="9"/>
  <c r="J24" i="9"/>
  <c r="G24" i="9"/>
  <c r="F24" i="9"/>
  <c r="E24" i="9"/>
  <c r="W23" i="9"/>
  <c r="V23" i="9"/>
  <c r="U23" i="9"/>
  <c r="T23" i="9"/>
  <c r="Q23" i="9"/>
  <c r="P23" i="9"/>
  <c r="O23" i="9"/>
  <c r="L23" i="9"/>
  <c r="K23" i="9"/>
  <c r="J23" i="9"/>
  <c r="G23" i="9"/>
  <c r="F23" i="9"/>
  <c r="E23" i="9"/>
  <c r="W22" i="9"/>
  <c r="V22" i="9"/>
  <c r="U22" i="9"/>
  <c r="T22" i="9"/>
  <c r="Q22" i="9"/>
  <c r="P22" i="9"/>
  <c r="O22" i="9"/>
  <c r="L22" i="9"/>
  <c r="K22" i="9"/>
  <c r="J22" i="9"/>
  <c r="G22" i="9"/>
  <c r="F22" i="9"/>
  <c r="E22" i="9"/>
  <c r="W21" i="9"/>
  <c r="V21" i="9"/>
  <c r="U21" i="9"/>
  <c r="T21" i="9"/>
  <c r="Q21" i="9"/>
  <c r="P21" i="9"/>
  <c r="O21" i="9"/>
  <c r="L21" i="9"/>
  <c r="K21" i="9"/>
  <c r="J21" i="9"/>
  <c r="G21" i="9"/>
  <c r="F21" i="9"/>
  <c r="E21" i="9"/>
  <c r="W20" i="9"/>
  <c r="V20" i="9"/>
  <c r="U20" i="9"/>
  <c r="T20" i="9"/>
  <c r="Q20" i="9"/>
  <c r="P20" i="9"/>
  <c r="O20" i="9"/>
  <c r="L20" i="9"/>
  <c r="K20" i="9"/>
  <c r="J20" i="9"/>
  <c r="G20" i="9"/>
  <c r="F20" i="9"/>
  <c r="E20" i="9"/>
  <c r="W19" i="9"/>
  <c r="V19" i="9"/>
  <c r="U19" i="9"/>
  <c r="T19" i="9"/>
  <c r="Q19" i="9"/>
  <c r="P19" i="9"/>
  <c r="O19" i="9"/>
  <c r="L19" i="9"/>
  <c r="K19" i="9"/>
  <c r="J19" i="9"/>
  <c r="G19" i="9"/>
  <c r="F19" i="9"/>
  <c r="E19" i="9"/>
  <c r="W18" i="9"/>
  <c r="V18" i="9"/>
  <c r="U18" i="9"/>
  <c r="T18" i="9"/>
  <c r="Q18" i="9"/>
  <c r="P18" i="9"/>
  <c r="O18" i="9"/>
  <c r="L18" i="9"/>
  <c r="K18" i="9"/>
  <c r="J18" i="9"/>
  <c r="G18" i="9"/>
  <c r="F18" i="9"/>
  <c r="E18" i="9"/>
  <c r="W17" i="9"/>
  <c r="V17" i="9"/>
  <c r="U17" i="9"/>
  <c r="T17" i="9"/>
  <c r="Q17" i="9"/>
  <c r="P17" i="9"/>
  <c r="O17" i="9"/>
  <c r="L17" i="9"/>
  <c r="K17" i="9"/>
  <c r="J17" i="9"/>
  <c r="G17" i="9"/>
  <c r="F17" i="9"/>
  <c r="E17" i="9"/>
  <c r="W16" i="9"/>
  <c r="V16" i="9"/>
  <c r="U16" i="9"/>
  <c r="T16" i="9"/>
  <c r="Q16" i="9"/>
  <c r="P16" i="9"/>
  <c r="O16" i="9"/>
  <c r="L16" i="9"/>
  <c r="K16" i="9"/>
  <c r="J16" i="9"/>
  <c r="G16" i="9"/>
  <c r="F16" i="9"/>
  <c r="E16" i="9"/>
  <c r="W15" i="9"/>
  <c r="V15" i="9"/>
  <c r="U15" i="9"/>
  <c r="T15" i="9"/>
  <c r="Q15" i="9"/>
  <c r="P15" i="9"/>
  <c r="O15" i="9"/>
  <c r="L15" i="9"/>
  <c r="K15" i="9"/>
  <c r="J15" i="9"/>
  <c r="G15" i="9"/>
  <c r="F15" i="9"/>
  <c r="E15" i="9"/>
  <c r="W14" i="9"/>
  <c r="V14" i="9"/>
  <c r="U14" i="9"/>
  <c r="T14" i="9"/>
  <c r="Q14" i="9"/>
  <c r="P14" i="9"/>
  <c r="O14" i="9"/>
  <c r="L14" i="9"/>
  <c r="K14" i="9"/>
  <c r="J14" i="9"/>
  <c r="G14" i="9"/>
  <c r="F14" i="9"/>
  <c r="E14" i="9"/>
  <c r="W13" i="9"/>
  <c r="V13" i="9"/>
  <c r="U13" i="9"/>
  <c r="T13" i="9"/>
  <c r="Q13" i="9"/>
  <c r="P13" i="9"/>
  <c r="O13" i="9"/>
  <c r="L13" i="9"/>
  <c r="K13" i="9"/>
  <c r="J13" i="9"/>
  <c r="G13" i="9"/>
  <c r="F13" i="9"/>
  <c r="E13" i="9"/>
  <c r="W12" i="9"/>
  <c r="V12" i="9"/>
  <c r="U12" i="9"/>
  <c r="T12" i="9"/>
  <c r="Q12" i="9"/>
  <c r="P12" i="9"/>
  <c r="O12" i="9"/>
  <c r="L12" i="9"/>
  <c r="K12" i="9"/>
  <c r="J12" i="9"/>
  <c r="G12" i="9"/>
  <c r="F12" i="9"/>
  <c r="E12" i="9"/>
  <c r="W11" i="9"/>
  <c r="V11" i="9"/>
  <c r="U11" i="9"/>
  <c r="T11" i="9"/>
  <c r="Q11" i="9"/>
  <c r="P11" i="9"/>
  <c r="O11" i="9"/>
  <c r="L11" i="9"/>
  <c r="K11" i="9"/>
  <c r="J11" i="9"/>
  <c r="G11" i="9"/>
  <c r="F11" i="9"/>
  <c r="E11" i="9"/>
  <c r="W10" i="9"/>
  <c r="V10" i="9"/>
  <c r="U10" i="9"/>
  <c r="T10" i="9"/>
  <c r="Q10" i="9"/>
  <c r="P10" i="9"/>
  <c r="O10" i="9"/>
  <c r="L10" i="9"/>
  <c r="K10" i="9"/>
  <c r="J10" i="9"/>
  <c r="G10" i="9"/>
  <c r="F10" i="9"/>
  <c r="E10" i="9"/>
  <c r="W9" i="9"/>
  <c r="V9" i="9"/>
  <c r="U9" i="9"/>
  <c r="T9" i="9"/>
  <c r="Q9" i="9"/>
  <c r="P9" i="9"/>
  <c r="O9" i="9"/>
  <c r="L9" i="9"/>
  <c r="K9" i="9"/>
  <c r="J9" i="9"/>
  <c r="G9" i="9"/>
  <c r="F9" i="9"/>
  <c r="E9" i="9"/>
  <c r="W8" i="9"/>
  <c r="V8" i="9"/>
  <c r="U8" i="9"/>
  <c r="T8" i="9"/>
  <c r="Q8" i="9"/>
  <c r="P8" i="9"/>
  <c r="O8" i="9"/>
  <c r="L8" i="9"/>
  <c r="K8" i="9"/>
  <c r="J8" i="9"/>
  <c r="G8" i="9"/>
  <c r="F8" i="9"/>
  <c r="E8" i="9"/>
  <c r="W7" i="9"/>
  <c r="V7" i="9"/>
  <c r="U7" i="9"/>
  <c r="T7" i="9"/>
  <c r="Q7" i="9"/>
  <c r="P7" i="9"/>
  <c r="O7" i="9"/>
  <c r="L7" i="9"/>
  <c r="K7" i="9"/>
  <c r="J7" i="9"/>
  <c r="G7" i="9"/>
  <c r="F7" i="9"/>
  <c r="E7" i="9"/>
  <c r="W6" i="9"/>
  <c r="V6" i="9"/>
  <c r="U6" i="9"/>
  <c r="T6" i="9"/>
  <c r="Q6" i="9"/>
  <c r="P6" i="9"/>
  <c r="O6" i="9"/>
  <c r="L6" i="9"/>
  <c r="K6" i="9"/>
  <c r="J6" i="9"/>
  <c r="G6" i="9"/>
  <c r="F6" i="9"/>
  <c r="E6" i="9"/>
  <c r="W5" i="9"/>
  <c r="V5" i="9"/>
  <c r="U5" i="9"/>
  <c r="T5" i="9"/>
  <c r="Q5" i="9"/>
  <c r="P5" i="9"/>
  <c r="O5" i="9"/>
  <c r="L5" i="9"/>
  <c r="K5" i="9"/>
  <c r="J5" i="9"/>
  <c r="G5" i="9"/>
  <c r="F5" i="9"/>
  <c r="E5" i="9"/>
  <c r="W35" i="10"/>
  <c r="V35" i="10"/>
  <c r="U35" i="10"/>
  <c r="T35" i="10"/>
  <c r="R35" i="10"/>
  <c r="Q35" i="10"/>
  <c r="P35" i="10"/>
  <c r="O35" i="10"/>
  <c r="M35" i="10"/>
  <c r="L35" i="10"/>
  <c r="K35" i="10"/>
  <c r="J35" i="10"/>
  <c r="G35" i="10"/>
  <c r="F35" i="10"/>
  <c r="E35" i="10"/>
  <c r="W34" i="10"/>
  <c r="V34" i="10"/>
  <c r="U34" i="10"/>
  <c r="T34" i="10"/>
  <c r="Q34" i="10"/>
  <c r="P34" i="10"/>
  <c r="O34" i="10"/>
  <c r="L34" i="10"/>
  <c r="K34" i="10"/>
  <c r="J34" i="10"/>
  <c r="G34" i="10"/>
  <c r="F34" i="10"/>
  <c r="E34" i="10"/>
  <c r="W33" i="10"/>
  <c r="V33" i="10"/>
  <c r="U33" i="10"/>
  <c r="T33" i="10"/>
  <c r="Q33" i="10"/>
  <c r="P33" i="10"/>
  <c r="O33" i="10"/>
  <c r="L33" i="10"/>
  <c r="K33" i="10"/>
  <c r="J33" i="10"/>
  <c r="G33" i="10"/>
  <c r="F33" i="10"/>
  <c r="E33" i="10"/>
  <c r="W32" i="10"/>
  <c r="V32" i="10"/>
  <c r="U32" i="10"/>
  <c r="T32" i="10"/>
  <c r="Q32" i="10"/>
  <c r="P32" i="10"/>
  <c r="O32" i="10"/>
  <c r="L32" i="10"/>
  <c r="K32" i="10"/>
  <c r="J32" i="10"/>
  <c r="G32" i="10"/>
  <c r="F32" i="10"/>
  <c r="E32" i="10"/>
  <c r="W31" i="10"/>
  <c r="V31" i="10"/>
  <c r="U31" i="10"/>
  <c r="T31" i="10"/>
  <c r="Q31" i="10"/>
  <c r="P31" i="10"/>
  <c r="O31" i="10"/>
  <c r="L31" i="10"/>
  <c r="K31" i="10"/>
  <c r="J31" i="10"/>
  <c r="G31" i="10"/>
  <c r="F31" i="10"/>
  <c r="E31" i="10"/>
  <c r="W30" i="10"/>
  <c r="V30" i="10"/>
  <c r="U30" i="10"/>
  <c r="T30" i="10"/>
  <c r="Q30" i="10"/>
  <c r="P30" i="10"/>
  <c r="O30" i="10"/>
  <c r="L30" i="10"/>
  <c r="K30" i="10"/>
  <c r="J30" i="10"/>
  <c r="G30" i="10"/>
  <c r="F30" i="10"/>
  <c r="E30" i="10"/>
  <c r="W29" i="10"/>
  <c r="V29" i="10"/>
  <c r="U29" i="10"/>
  <c r="T29" i="10"/>
  <c r="Q29" i="10"/>
  <c r="P29" i="10"/>
  <c r="O29" i="10"/>
  <c r="L29" i="10"/>
  <c r="K29" i="10"/>
  <c r="J29" i="10"/>
  <c r="G29" i="10"/>
  <c r="F29" i="10"/>
  <c r="E29" i="10"/>
  <c r="W28" i="10"/>
  <c r="V28" i="10"/>
  <c r="U28" i="10"/>
  <c r="T28" i="10"/>
  <c r="Q28" i="10"/>
  <c r="P28" i="10"/>
  <c r="O28" i="10"/>
  <c r="L28" i="10"/>
  <c r="K28" i="10"/>
  <c r="J28" i="10"/>
  <c r="G28" i="10"/>
  <c r="F28" i="10"/>
  <c r="E28" i="10"/>
  <c r="W27" i="10"/>
  <c r="V27" i="10"/>
  <c r="U27" i="10"/>
  <c r="T27" i="10"/>
  <c r="Q27" i="10"/>
  <c r="P27" i="10"/>
  <c r="O27" i="10"/>
  <c r="L27" i="10"/>
  <c r="K27" i="10"/>
  <c r="J27" i="10"/>
  <c r="G27" i="10"/>
  <c r="F27" i="10"/>
  <c r="E27" i="10"/>
  <c r="W26" i="10"/>
  <c r="V26" i="10"/>
  <c r="U26" i="10"/>
  <c r="T26" i="10"/>
  <c r="Q26" i="10"/>
  <c r="P26" i="10"/>
  <c r="O26" i="10"/>
  <c r="L26" i="10"/>
  <c r="K26" i="10"/>
  <c r="J26" i="10"/>
  <c r="G26" i="10"/>
  <c r="F26" i="10"/>
  <c r="E26" i="10"/>
  <c r="W25" i="10"/>
  <c r="V25" i="10"/>
  <c r="U25" i="10"/>
  <c r="T25" i="10"/>
  <c r="Q25" i="10"/>
  <c r="P25" i="10"/>
  <c r="O25" i="10"/>
  <c r="L25" i="10"/>
  <c r="K25" i="10"/>
  <c r="J25" i="10"/>
  <c r="G25" i="10"/>
  <c r="F25" i="10"/>
  <c r="E25" i="10"/>
  <c r="W24" i="10"/>
  <c r="V24" i="10"/>
  <c r="U24" i="10"/>
  <c r="T24" i="10"/>
  <c r="Q24" i="10"/>
  <c r="P24" i="10"/>
  <c r="O24" i="10"/>
  <c r="L24" i="10"/>
  <c r="K24" i="10"/>
  <c r="J24" i="10"/>
  <c r="G24" i="10"/>
  <c r="F24" i="10"/>
  <c r="E24" i="10"/>
  <c r="W23" i="10"/>
  <c r="V23" i="10"/>
  <c r="U23" i="10"/>
  <c r="T23" i="10"/>
  <c r="Q23" i="10"/>
  <c r="P23" i="10"/>
  <c r="O23" i="10"/>
  <c r="L23" i="10"/>
  <c r="K23" i="10"/>
  <c r="J23" i="10"/>
  <c r="G23" i="10"/>
  <c r="F23" i="10"/>
  <c r="E23" i="10"/>
  <c r="W22" i="10"/>
  <c r="V22" i="10"/>
  <c r="U22" i="10"/>
  <c r="T22" i="10"/>
  <c r="Q22" i="10"/>
  <c r="P22" i="10"/>
  <c r="O22" i="10"/>
  <c r="L22" i="10"/>
  <c r="K22" i="10"/>
  <c r="J22" i="10"/>
  <c r="G22" i="10"/>
  <c r="F22" i="10"/>
  <c r="E22" i="10"/>
  <c r="W21" i="10"/>
  <c r="V21" i="10"/>
  <c r="U21" i="10"/>
  <c r="T21" i="10"/>
  <c r="Q21" i="10"/>
  <c r="P21" i="10"/>
  <c r="O21" i="10"/>
  <c r="L21" i="10"/>
  <c r="K21" i="10"/>
  <c r="J21" i="10"/>
  <c r="G21" i="10"/>
  <c r="F21" i="10"/>
  <c r="E21" i="10"/>
  <c r="W20" i="10"/>
  <c r="V20" i="10"/>
  <c r="U20" i="10"/>
  <c r="T20" i="10"/>
  <c r="Q20" i="10"/>
  <c r="P20" i="10"/>
  <c r="O20" i="10"/>
  <c r="L20" i="10"/>
  <c r="K20" i="10"/>
  <c r="J20" i="10"/>
  <c r="G20" i="10"/>
  <c r="F20" i="10"/>
  <c r="E20" i="10"/>
  <c r="W19" i="10"/>
  <c r="V19" i="10"/>
  <c r="U19" i="10"/>
  <c r="T19" i="10"/>
  <c r="Q19" i="10"/>
  <c r="P19" i="10"/>
  <c r="O19" i="10"/>
  <c r="L19" i="10"/>
  <c r="K19" i="10"/>
  <c r="J19" i="10"/>
  <c r="G19" i="10"/>
  <c r="F19" i="10"/>
  <c r="E19" i="10"/>
  <c r="W18" i="10"/>
  <c r="V18" i="10"/>
  <c r="U18" i="10"/>
  <c r="T18" i="10"/>
  <c r="Q18" i="10"/>
  <c r="P18" i="10"/>
  <c r="O18" i="10"/>
  <c r="L18" i="10"/>
  <c r="K18" i="10"/>
  <c r="J18" i="10"/>
  <c r="G18" i="10"/>
  <c r="F18" i="10"/>
  <c r="E18" i="10"/>
  <c r="W17" i="10"/>
  <c r="V17" i="10"/>
  <c r="U17" i="10"/>
  <c r="T17" i="10"/>
  <c r="Q17" i="10"/>
  <c r="P17" i="10"/>
  <c r="O17" i="10"/>
  <c r="L17" i="10"/>
  <c r="K17" i="10"/>
  <c r="J17" i="10"/>
  <c r="G17" i="10"/>
  <c r="F17" i="10"/>
  <c r="E17" i="10"/>
  <c r="W16" i="10"/>
  <c r="V16" i="10"/>
  <c r="U16" i="10"/>
  <c r="T16" i="10"/>
  <c r="Q16" i="10"/>
  <c r="P16" i="10"/>
  <c r="O16" i="10"/>
  <c r="L16" i="10"/>
  <c r="K16" i="10"/>
  <c r="J16" i="10"/>
  <c r="G16" i="10"/>
  <c r="F16" i="10"/>
  <c r="E16" i="10"/>
  <c r="W15" i="10"/>
  <c r="V15" i="10"/>
  <c r="U15" i="10"/>
  <c r="T15" i="10"/>
  <c r="Q15" i="10"/>
  <c r="P15" i="10"/>
  <c r="O15" i="10"/>
  <c r="L15" i="10"/>
  <c r="K15" i="10"/>
  <c r="J15" i="10"/>
  <c r="G15" i="10"/>
  <c r="F15" i="10"/>
  <c r="E15" i="10"/>
  <c r="W14" i="10"/>
  <c r="V14" i="10"/>
  <c r="U14" i="10"/>
  <c r="T14" i="10"/>
  <c r="Q14" i="10"/>
  <c r="P14" i="10"/>
  <c r="O14" i="10"/>
  <c r="L14" i="10"/>
  <c r="K14" i="10"/>
  <c r="J14" i="10"/>
  <c r="G14" i="10"/>
  <c r="F14" i="10"/>
  <c r="E14" i="10"/>
  <c r="W13" i="10"/>
  <c r="V13" i="10"/>
  <c r="U13" i="10"/>
  <c r="T13" i="10"/>
  <c r="Q13" i="10"/>
  <c r="P13" i="10"/>
  <c r="O13" i="10"/>
  <c r="L13" i="10"/>
  <c r="K13" i="10"/>
  <c r="J13" i="10"/>
  <c r="G13" i="10"/>
  <c r="F13" i="10"/>
  <c r="E13" i="10"/>
  <c r="W12" i="10"/>
  <c r="V12" i="10"/>
  <c r="U12" i="10"/>
  <c r="T12" i="10"/>
  <c r="Q12" i="10"/>
  <c r="P12" i="10"/>
  <c r="O12" i="10"/>
  <c r="L12" i="10"/>
  <c r="K12" i="10"/>
  <c r="J12" i="10"/>
  <c r="G12" i="10"/>
  <c r="F12" i="10"/>
  <c r="E12" i="10"/>
  <c r="W11" i="10"/>
  <c r="V11" i="10"/>
  <c r="U11" i="10"/>
  <c r="T11" i="10"/>
  <c r="Q11" i="10"/>
  <c r="P11" i="10"/>
  <c r="O11" i="10"/>
  <c r="L11" i="10"/>
  <c r="K11" i="10"/>
  <c r="J11" i="10"/>
  <c r="G11" i="10"/>
  <c r="F11" i="10"/>
  <c r="E11" i="10"/>
  <c r="W10" i="10"/>
  <c r="V10" i="10"/>
  <c r="U10" i="10"/>
  <c r="T10" i="10"/>
  <c r="Q10" i="10"/>
  <c r="P10" i="10"/>
  <c r="O10" i="10"/>
  <c r="L10" i="10"/>
  <c r="K10" i="10"/>
  <c r="J10" i="10"/>
  <c r="G10" i="10"/>
  <c r="F10" i="10"/>
  <c r="E10" i="10"/>
  <c r="W9" i="10"/>
  <c r="V9" i="10"/>
  <c r="U9" i="10"/>
  <c r="T9" i="10"/>
  <c r="Q9" i="10"/>
  <c r="P9" i="10"/>
  <c r="O9" i="10"/>
  <c r="L9" i="10"/>
  <c r="K9" i="10"/>
  <c r="J9" i="10"/>
  <c r="G9" i="10"/>
  <c r="F9" i="10"/>
  <c r="E9" i="10"/>
  <c r="W8" i="10"/>
  <c r="V8" i="10"/>
  <c r="U8" i="10"/>
  <c r="T8" i="10"/>
  <c r="Q8" i="10"/>
  <c r="P8" i="10"/>
  <c r="O8" i="10"/>
  <c r="L8" i="10"/>
  <c r="K8" i="10"/>
  <c r="J8" i="10"/>
  <c r="G8" i="10"/>
  <c r="F8" i="10"/>
  <c r="E8" i="10"/>
  <c r="W7" i="10"/>
  <c r="V7" i="10"/>
  <c r="U7" i="10"/>
  <c r="T7" i="10"/>
  <c r="Q7" i="10"/>
  <c r="P7" i="10"/>
  <c r="O7" i="10"/>
  <c r="L7" i="10"/>
  <c r="K7" i="10"/>
  <c r="J7" i="10"/>
  <c r="G7" i="10"/>
  <c r="F7" i="10"/>
  <c r="E7" i="10"/>
  <c r="W6" i="10"/>
  <c r="V6" i="10"/>
  <c r="U6" i="10"/>
  <c r="T6" i="10"/>
  <c r="Q6" i="10"/>
  <c r="P6" i="10"/>
  <c r="O6" i="10"/>
  <c r="L6" i="10"/>
  <c r="K6" i="10"/>
  <c r="J6" i="10"/>
  <c r="G6" i="10"/>
  <c r="F6" i="10"/>
  <c r="E6" i="10"/>
  <c r="W5" i="10"/>
  <c r="V5" i="10"/>
  <c r="U5" i="10"/>
  <c r="T5" i="10"/>
  <c r="Q5" i="10"/>
  <c r="P5" i="10"/>
  <c r="O5" i="10"/>
  <c r="L5" i="10"/>
  <c r="K5" i="10"/>
  <c r="J5" i="10"/>
  <c r="G5" i="10"/>
  <c r="F5" i="10"/>
  <c r="E5" i="10"/>
  <c r="W37" i="12"/>
  <c r="V37" i="12"/>
  <c r="U37" i="12"/>
  <c r="T37" i="12"/>
  <c r="R37" i="12"/>
  <c r="Q37" i="12"/>
  <c r="P37" i="12"/>
  <c r="O37" i="12"/>
  <c r="M37" i="12"/>
  <c r="L37" i="12"/>
  <c r="K37" i="12"/>
  <c r="J37" i="12"/>
  <c r="G37" i="12"/>
  <c r="F37" i="12"/>
  <c r="E37" i="12"/>
  <c r="W36" i="12"/>
  <c r="V36" i="12"/>
  <c r="U36" i="12"/>
  <c r="T36" i="12"/>
  <c r="Q36" i="12"/>
  <c r="P36" i="12"/>
  <c r="O36" i="12"/>
  <c r="L36" i="12"/>
  <c r="K36" i="12"/>
  <c r="J36" i="12"/>
  <c r="G36" i="12"/>
  <c r="F36" i="12"/>
  <c r="E36" i="12"/>
  <c r="W35" i="12"/>
  <c r="V35" i="12"/>
  <c r="U35" i="12"/>
  <c r="T35" i="12"/>
  <c r="Q35" i="12"/>
  <c r="P35" i="12"/>
  <c r="O35" i="12"/>
  <c r="L35" i="12"/>
  <c r="K35" i="12"/>
  <c r="J35" i="12"/>
  <c r="G35" i="12"/>
  <c r="F35" i="12"/>
  <c r="E35" i="12"/>
  <c r="W34" i="12"/>
  <c r="V34" i="12"/>
  <c r="U34" i="12"/>
  <c r="T34" i="12"/>
  <c r="Q34" i="12"/>
  <c r="P34" i="12"/>
  <c r="O34" i="12"/>
  <c r="L34" i="12"/>
  <c r="K34" i="12"/>
  <c r="J34" i="12"/>
  <c r="G34" i="12"/>
  <c r="F34" i="12"/>
  <c r="E34" i="12"/>
  <c r="W33" i="12"/>
  <c r="V33" i="12"/>
  <c r="U33" i="12"/>
  <c r="T33" i="12"/>
  <c r="Q33" i="12"/>
  <c r="P33" i="12"/>
  <c r="O33" i="12"/>
  <c r="L33" i="12"/>
  <c r="K33" i="12"/>
  <c r="J33" i="12"/>
  <c r="G33" i="12"/>
  <c r="F33" i="12"/>
  <c r="E33" i="12"/>
  <c r="W32" i="12"/>
  <c r="V32" i="12"/>
  <c r="U32" i="12"/>
  <c r="T32" i="12"/>
  <c r="Q32" i="12"/>
  <c r="P32" i="12"/>
  <c r="O32" i="12"/>
  <c r="L32" i="12"/>
  <c r="K32" i="12"/>
  <c r="J32" i="12"/>
  <c r="G32" i="12"/>
  <c r="F32" i="12"/>
  <c r="E32" i="12"/>
  <c r="W31" i="12"/>
  <c r="V31" i="12"/>
  <c r="U31" i="12"/>
  <c r="T31" i="12"/>
  <c r="Q31" i="12"/>
  <c r="P31" i="12"/>
  <c r="O31" i="12"/>
  <c r="L31" i="12"/>
  <c r="K31" i="12"/>
  <c r="J31" i="12"/>
  <c r="G31" i="12"/>
  <c r="F31" i="12"/>
  <c r="E31" i="12"/>
  <c r="W30" i="12"/>
  <c r="V30" i="12"/>
  <c r="U30" i="12"/>
  <c r="T30" i="12"/>
  <c r="Q30" i="12"/>
  <c r="P30" i="12"/>
  <c r="O30" i="12"/>
  <c r="L30" i="12"/>
  <c r="K30" i="12"/>
  <c r="J30" i="12"/>
  <c r="G30" i="12"/>
  <c r="F30" i="12"/>
  <c r="E30" i="12"/>
  <c r="W29" i="12"/>
  <c r="V29" i="12"/>
  <c r="U29" i="12"/>
  <c r="T29" i="12"/>
  <c r="Q29" i="12"/>
  <c r="P29" i="12"/>
  <c r="O29" i="12"/>
  <c r="L29" i="12"/>
  <c r="K29" i="12"/>
  <c r="J29" i="12"/>
  <c r="G29" i="12"/>
  <c r="F29" i="12"/>
  <c r="E29" i="12"/>
  <c r="W28" i="12"/>
  <c r="V28" i="12"/>
  <c r="U28" i="12"/>
  <c r="T28" i="12"/>
  <c r="Q28" i="12"/>
  <c r="P28" i="12"/>
  <c r="O28" i="12"/>
  <c r="L28" i="12"/>
  <c r="K28" i="12"/>
  <c r="J28" i="12"/>
  <c r="G28" i="12"/>
  <c r="F28" i="12"/>
  <c r="E28" i="12"/>
  <c r="W27" i="12"/>
  <c r="V27" i="12"/>
  <c r="U27" i="12"/>
  <c r="T27" i="12"/>
  <c r="Q27" i="12"/>
  <c r="P27" i="12"/>
  <c r="O27" i="12"/>
  <c r="L27" i="12"/>
  <c r="K27" i="12"/>
  <c r="J27" i="12"/>
  <c r="G27" i="12"/>
  <c r="F27" i="12"/>
  <c r="E27" i="12"/>
  <c r="W26" i="12"/>
  <c r="V26" i="12"/>
  <c r="U26" i="12"/>
  <c r="T26" i="12"/>
  <c r="Q26" i="12"/>
  <c r="P26" i="12"/>
  <c r="O26" i="12"/>
  <c r="L26" i="12"/>
  <c r="K26" i="12"/>
  <c r="J26" i="12"/>
  <c r="G26" i="12"/>
  <c r="F26" i="12"/>
  <c r="E26" i="12"/>
  <c r="W25" i="12"/>
  <c r="V25" i="12"/>
  <c r="U25" i="12"/>
  <c r="T25" i="12"/>
  <c r="Q25" i="12"/>
  <c r="P25" i="12"/>
  <c r="O25" i="12"/>
  <c r="L25" i="12"/>
  <c r="K25" i="12"/>
  <c r="J25" i="12"/>
  <c r="G25" i="12"/>
  <c r="F25" i="12"/>
  <c r="E25" i="12"/>
  <c r="W24" i="12"/>
  <c r="V24" i="12"/>
  <c r="U24" i="12"/>
  <c r="T24" i="12"/>
  <c r="Q24" i="12"/>
  <c r="P24" i="12"/>
  <c r="O24" i="12"/>
  <c r="L24" i="12"/>
  <c r="K24" i="12"/>
  <c r="J24" i="12"/>
  <c r="G24" i="12"/>
  <c r="F24" i="12"/>
  <c r="E24" i="12"/>
  <c r="W23" i="12"/>
  <c r="V23" i="12"/>
  <c r="U23" i="12"/>
  <c r="T23" i="12"/>
  <c r="Q23" i="12"/>
  <c r="P23" i="12"/>
  <c r="O23" i="12"/>
  <c r="L23" i="12"/>
  <c r="K23" i="12"/>
  <c r="J23" i="12"/>
  <c r="G23" i="12"/>
  <c r="F23" i="12"/>
  <c r="E23" i="12"/>
  <c r="W22" i="12"/>
  <c r="V22" i="12"/>
  <c r="U22" i="12"/>
  <c r="T22" i="12"/>
  <c r="Q22" i="12"/>
  <c r="P22" i="12"/>
  <c r="O22" i="12"/>
  <c r="L22" i="12"/>
  <c r="K22" i="12"/>
  <c r="J22" i="12"/>
  <c r="G22" i="12"/>
  <c r="F22" i="12"/>
  <c r="E22" i="12"/>
  <c r="W21" i="12"/>
  <c r="V21" i="12"/>
  <c r="U21" i="12"/>
  <c r="T21" i="12"/>
  <c r="Q21" i="12"/>
  <c r="P21" i="12"/>
  <c r="O21" i="12"/>
  <c r="L21" i="12"/>
  <c r="K21" i="12"/>
  <c r="J21" i="12"/>
  <c r="G21" i="12"/>
  <c r="F21" i="12"/>
  <c r="E21" i="12"/>
  <c r="W20" i="12"/>
  <c r="V20" i="12"/>
  <c r="U20" i="12"/>
  <c r="T20" i="12"/>
  <c r="Q20" i="12"/>
  <c r="P20" i="12"/>
  <c r="O20" i="12"/>
  <c r="L20" i="12"/>
  <c r="K20" i="12"/>
  <c r="J20" i="12"/>
  <c r="G20" i="12"/>
  <c r="F20" i="12"/>
  <c r="E20" i="12"/>
  <c r="W19" i="12"/>
  <c r="V19" i="12"/>
  <c r="U19" i="12"/>
  <c r="T19" i="12"/>
  <c r="Q19" i="12"/>
  <c r="P19" i="12"/>
  <c r="O19" i="12"/>
  <c r="L19" i="12"/>
  <c r="K19" i="12"/>
  <c r="J19" i="12"/>
  <c r="G19" i="12"/>
  <c r="F19" i="12"/>
  <c r="E19" i="12"/>
  <c r="W18" i="12"/>
  <c r="V18" i="12"/>
  <c r="U18" i="12"/>
  <c r="T18" i="12"/>
  <c r="Q18" i="12"/>
  <c r="P18" i="12"/>
  <c r="O18" i="12"/>
  <c r="L18" i="12"/>
  <c r="K18" i="12"/>
  <c r="J18" i="12"/>
  <c r="G18" i="12"/>
  <c r="F18" i="12"/>
  <c r="E18" i="12"/>
  <c r="W17" i="12"/>
  <c r="V17" i="12"/>
  <c r="U17" i="12"/>
  <c r="T17" i="12"/>
  <c r="Q17" i="12"/>
  <c r="P17" i="12"/>
  <c r="O17" i="12"/>
  <c r="L17" i="12"/>
  <c r="K17" i="12"/>
  <c r="J17" i="12"/>
  <c r="G17" i="12"/>
  <c r="F17" i="12"/>
  <c r="E17" i="12"/>
  <c r="W16" i="12"/>
  <c r="V16" i="12"/>
  <c r="U16" i="12"/>
  <c r="T16" i="12"/>
  <c r="Q16" i="12"/>
  <c r="P16" i="12"/>
  <c r="O16" i="12"/>
  <c r="L16" i="12"/>
  <c r="K16" i="12"/>
  <c r="J16" i="12"/>
  <c r="G16" i="12"/>
  <c r="F16" i="12"/>
  <c r="E16" i="12"/>
  <c r="W15" i="12"/>
  <c r="V15" i="12"/>
  <c r="U15" i="12"/>
  <c r="T15" i="12"/>
  <c r="Q15" i="12"/>
  <c r="P15" i="12"/>
  <c r="O15" i="12"/>
  <c r="L15" i="12"/>
  <c r="K15" i="12"/>
  <c r="J15" i="12"/>
  <c r="G15" i="12"/>
  <c r="F15" i="12"/>
  <c r="E15" i="12"/>
  <c r="W14" i="12"/>
  <c r="V14" i="12"/>
  <c r="U14" i="12"/>
  <c r="T14" i="12"/>
  <c r="Q14" i="12"/>
  <c r="P14" i="12"/>
  <c r="O14" i="12"/>
  <c r="L14" i="12"/>
  <c r="K14" i="12"/>
  <c r="J14" i="12"/>
  <c r="G14" i="12"/>
  <c r="F14" i="12"/>
  <c r="E14" i="12"/>
  <c r="W13" i="12"/>
  <c r="V13" i="12"/>
  <c r="U13" i="12"/>
  <c r="T13" i="12"/>
  <c r="Q13" i="12"/>
  <c r="P13" i="12"/>
  <c r="O13" i="12"/>
  <c r="L13" i="12"/>
  <c r="K13" i="12"/>
  <c r="J13" i="12"/>
  <c r="G13" i="12"/>
  <c r="F13" i="12"/>
  <c r="E13" i="12"/>
  <c r="W12" i="12"/>
  <c r="V12" i="12"/>
  <c r="U12" i="12"/>
  <c r="T12" i="12"/>
  <c r="Q12" i="12"/>
  <c r="P12" i="12"/>
  <c r="O12" i="12"/>
  <c r="L12" i="12"/>
  <c r="K12" i="12"/>
  <c r="J12" i="12"/>
  <c r="G12" i="12"/>
  <c r="F12" i="12"/>
  <c r="E12" i="12"/>
  <c r="W11" i="12"/>
  <c r="V11" i="12"/>
  <c r="U11" i="12"/>
  <c r="T11" i="12"/>
  <c r="Q11" i="12"/>
  <c r="P11" i="12"/>
  <c r="O11" i="12"/>
  <c r="L11" i="12"/>
  <c r="K11" i="12"/>
  <c r="J11" i="12"/>
  <c r="G11" i="12"/>
  <c r="F11" i="12"/>
  <c r="E11" i="12"/>
  <c r="W10" i="12"/>
  <c r="V10" i="12"/>
  <c r="U10" i="12"/>
  <c r="T10" i="12"/>
  <c r="Q10" i="12"/>
  <c r="P10" i="12"/>
  <c r="O10" i="12"/>
  <c r="L10" i="12"/>
  <c r="K10" i="12"/>
  <c r="J10" i="12"/>
  <c r="G10" i="12"/>
  <c r="F10" i="12"/>
  <c r="E10" i="12"/>
  <c r="W9" i="12"/>
  <c r="V9" i="12"/>
  <c r="U9" i="12"/>
  <c r="T9" i="12"/>
  <c r="Q9" i="12"/>
  <c r="P9" i="12"/>
  <c r="O9" i="12"/>
  <c r="L9" i="12"/>
  <c r="K9" i="12"/>
  <c r="J9" i="12"/>
  <c r="G9" i="12"/>
  <c r="F9" i="12"/>
  <c r="E9" i="12"/>
  <c r="W8" i="12"/>
  <c r="V8" i="12"/>
  <c r="U8" i="12"/>
  <c r="T8" i="12"/>
  <c r="Q8" i="12"/>
  <c r="P8" i="12"/>
  <c r="O8" i="12"/>
  <c r="L8" i="12"/>
  <c r="K8" i="12"/>
  <c r="J8" i="12"/>
  <c r="G8" i="12"/>
  <c r="F8" i="12"/>
  <c r="E8" i="12"/>
  <c r="W7" i="12"/>
  <c r="V7" i="12"/>
  <c r="U7" i="12"/>
  <c r="T7" i="12"/>
  <c r="Q7" i="12"/>
  <c r="P7" i="12"/>
  <c r="O7" i="12"/>
  <c r="L7" i="12"/>
  <c r="K7" i="12"/>
  <c r="J7" i="12"/>
  <c r="G7" i="12"/>
  <c r="F7" i="12"/>
  <c r="E7" i="12"/>
  <c r="W6" i="12"/>
  <c r="V6" i="12"/>
  <c r="U6" i="12"/>
  <c r="T6" i="12"/>
  <c r="Q6" i="12"/>
  <c r="P6" i="12"/>
  <c r="O6" i="12"/>
  <c r="L6" i="12"/>
  <c r="K6" i="12"/>
  <c r="J6" i="12"/>
  <c r="G6" i="12"/>
  <c r="F6" i="12"/>
  <c r="E6" i="12"/>
  <c r="W5" i="12"/>
  <c r="V5" i="12"/>
  <c r="U5" i="12"/>
  <c r="T5" i="12"/>
  <c r="Q5" i="12"/>
  <c r="P5" i="12"/>
  <c r="O5" i="12"/>
  <c r="L5" i="12"/>
  <c r="K5" i="12"/>
  <c r="J5" i="12"/>
  <c r="G5" i="12"/>
  <c r="F5" i="12"/>
  <c r="E5" i="12"/>
  <c r="W36" i="13"/>
  <c r="V36" i="13"/>
  <c r="U36" i="13"/>
  <c r="T36" i="13"/>
  <c r="R36" i="13"/>
  <c r="Q36" i="13"/>
  <c r="P36" i="13"/>
  <c r="O36" i="13"/>
  <c r="M36" i="13"/>
  <c r="L36" i="13"/>
  <c r="K36" i="13"/>
  <c r="J36" i="13"/>
  <c r="G36" i="13"/>
  <c r="F36" i="13"/>
  <c r="E36" i="13"/>
  <c r="W35" i="13"/>
  <c r="V35" i="13"/>
  <c r="U35" i="13"/>
  <c r="T35" i="13"/>
  <c r="Q35" i="13"/>
  <c r="P35" i="13"/>
  <c r="O35" i="13"/>
  <c r="L35" i="13"/>
  <c r="K35" i="13"/>
  <c r="J35" i="13"/>
  <c r="G35" i="13"/>
  <c r="F35" i="13"/>
  <c r="E35" i="13"/>
  <c r="W34" i="13"/>
  <c r="V34" i="13"/>
  <c r="U34" i="13"/>
  <c r="T34" i="13"/>
  <c r="Q34" i="13"/>
  <c r="P34" i="13"/>
  <c r="O34" i="13"/>
  <c r="L34" i="13"/>
  <c r="K34" i="13"/>
  <c r="J34" i="13"/>
  <c r="G34" i="13"/>
  <c r="F34" i="13"/>
  <c r="E34" i="13"/>
  <c r="W33" i="13"/>
  <c r="V33" i="13"/>
  <c r="U33" i="13"/>
  <c r="T33" i="13"/>
  <c r="Q33" i="13"/>
  <c r="P33" i="13"/>
  <c r="O33" i="13"/>
  <c r="L33" i="13"/>
  <c r="K33" i="13"/>
  <c r="J33" i="13"/>
  <c r="G33" i="13"/>
  <c r="F33" i="13"/>
  <c r="E33" i="13"/>
  <c r="W32" i="13"/>
  <c r="V32" i="13"/>
  <c r="U32" i="13"/>
  <c r="T32" i="13"/>
  <c r="Q32" i="13"/>
  <c r="P32" i="13"/>
  <c r="O32" i="13"/>
  <c r="L32" i="13"/>
  <c r="K32" i="13"/>
  <c r="J32" i="13"/>
  <c r="G32" i="13"/>
  <c r="F32" i="13"/>
  <c r="E32" i="13"/>
  <c r="W31" i="13"/>
  <c r="V31" i="13"/>
  <c r="U31" i="13"/>
  <c r="T31" i="13"/>
  <c r="Q31" i="13"/>
  <c r="P31" i="13"/>
  <c r="O31" i="13"/>
  <c r="L31" i="13"/>
  <c r="K31" i="13"/>
  <c r="J31" i="13"/>
  <c r="G31" i="13"/>
  <c r="F31" i="13"/>
  <c r="E31" i="13"/>
  <c r="W30" i="13"/>
  <c r="V30" i="13"/>
  <c r="U30" i="13"/>
  <c r="T30" i="13"/>
  <c r="Q30" i="13"/>
  <c r="P30" i="13"/>
  <c r="O30" i="13"/>
  <c r="L30" i="13"/>
  <c r="K30" i="13"/>
  <c r="J30" i="13"/>
  <c r="G30" i="13"/>
  <c r="F30" i="13"/>
  <c r="E30" i="13"/>
  <c r="W29" i="13"/>
  <c r="V29" i="13"/>
  <c r="U29" i="13"/>
  <c r="T29" i="13"/>
  <c r="Q29" i="13"/>
  <c r="P29" i="13"/>
  <c r="O29" i="13"/>
  <c r="L29" i="13"/>
  <c r="K29" i="13"/>
  <c r="J29" i="13"/>
  <c r="G29" i="13"/>
  <c r="F29" i="13"/>
  <c r="E29" i="13"/>
  <c r="W28" i="13"/>
  <c r="V28" i="13"/>
  <c r="U28" i="13"/>
  <c r="T28" i="13"/>
  <c r="Q28" i="13"/>
  <c r="P28" i="13"/>
  <c r="O28" i="13"/>
  <c r="L28" i="13"/>
  <c r="K28" i="13"/>
  <c r="J28" i="13"/>
  <c r="G28" i="13"/>
  <c r="F28" i="13"/>
  <c r="E28" i="13"/>
  <c r="W27" i="13"/>
  <c r="V27" i="13"/>
  <c r="U27" i="13"/>
  <c r="T27" i="13"/>
  <c r="Q27" i="13"/>
  <c r="P27" i="13"/>
  <c r="O27" i="13"/>
  <c r="L27" i="13"/>
  <c r="K27" i="13"/>
  <c r="J27" i="13"/>
  <c r="G27" i="13"/>
  <c r="F27" i="13"/>
  <c r="E27" i="13"/>
  <c r="W26" i="13"/>
  <c r="V26" i="13"/>
  <c r="U26" i="13"/>
  <c r="T26" i="13"/>
  <c r="Q26" i="13"/>
  <c r="P26" i="13"/>
  <c r="O26" i="13"/>
  <c r="L26" i="13"/>
  <c r="K26" i="13"/>
  <c r="J26" i="13"/>
  <c r="G26" i="13"/>
  <c r="F26" i="13"/>
  <c r="E26" i="13"/>
  <c r="W25" i="13"/>
  <c r="V25" i="13"/>
  <c r="U25" i="13"/>
  <c r="T25" i="13"/>
  <c r="Q25" i="13"/>
  <c r="P25" i="13"/>
  <c r="O25" i="13"/>
  <c r="L25" i="13"/>
  <c r="K25" i="13"/>
  <c r="J25" i="13"/>
  <c r="G25" i="13"/>
  <c r="F25" i="13"/>
  <c r="E25" i="13"/>
  <c r="W24" i="13"/>
  <c r="V24" i="13"/>
  <c r="U24" i="13"/>
  <c r="T24" i="13"/>
  <c r="Q24" i="13"/>
  <c r="P24" i="13"/>
  <c r="O24" i="13"/>
  <c r="L24" i="13"/>
  <c r="K24" i="13"/>
  <c r="J24" i="13"/>
  <c r="G24" i="13"/>
  <c r="F24" i="13"/>
  <c r="E24" i="13"/>
  <c r="W23" i="13"/>
  <c r="V23" i="13"/>
  <c r="U23" i="13"/>
  <c r="T23" i="13"/>
  <c r="Q23" i="13"/>
  <c r="P23" i="13"/>
  <c r="O23" i="13"/>
  <c r="L23" i="13"/>
  <c r="K23" i="13"/>
  <c r="J23" i="13"/>
  <c r="G23" i="13"/>
  <c r="F23" i="13"/>
  <c r="E23" i="13"/>
  <c r="W22" i="13"/>
  <c r="V22" i="13"/>
  <c r="U22" i="13"/>
  <c r="T22" i="13"/>
  <c r="Q22" i="13"/>
  <c r="P22" i="13"/>
  <c r="O22" i="13"/>
  <c r="L22" i="13"/>
  <c r="K22" i="13"/>
  <c r="J22" i="13"/>
  <c r="G22" i="13"/>
  <c r="F22" i="13"/>
  <c r="E22" i="13"/>
  <c r="W21" i="13"/>
  <c r="V21" i="13"/>
  <c r="U21" i="13"/>
  <c r="T21" i="13"/>
  <c r="Q21" i="13"/>
  <c r="P21" i="13"/>
  <c r="O21" i="13"/>
  <c r="L21" i="13"/>
  <c r="K21" i="13"/>
  <c r="J21" i="13"/>
  <c r="G21" i="13"/>
  <c r="F21" i="13"/>
  <c r="E21" i="13"/>
  <c r="W20" i="13"/>
  <c r="V20" i="13"/>
  <c r="U20" i="13"/>
  <c r="T20" i="13"/>
  <c r="Q20" i="13"/>
  <c r="P20" i="13"/>
  <c r="O20" i="13"/>
  <c r="L20" i="13"/>
  <c r="K20" i="13"/>
  <c r="J20" i="13"/>
  <c r="G20" i="13"/>
  <c r="F20" i="13"/>
  <c r="E20" i="13"/>
  <c r="W19" i="13"/>
  <c r="V19" i="13"/>
  <c r="U19" i="13"/>
  <c r="T19" i="13"/>
  <c r="Q19" i="13"/>
  <c r="P19" i="13"/>
  <c r="O19" i="13"/>
  <c r="L19" i="13"/>
  <c r="K19" i="13"/>
  <c r="J19" i="13"/>
  <c r="G19" i="13"/>
  <c r="F19" i="13"/>
  <c r="E19" i="13"/>
  <c r="W18" i="13"/>
  <c r="V18" i="13"/>
  <c r="U18" i="13"/>
  <c r="T18" i="13"/>
  <c r="Q18" i="13"/>
  <c r="P18" i="13"/>
  <c r="O18" i="13"/>
  <c r="L18" i="13"/>
  <c r="K18" i="13"/>
  <c r="J18" i="13"/>
  <c r="G18" i="13"/>
  <c r="F18" i="13"/>
  <c r="E18" i="13"/>
  <c r="W17" i="13"/>
  <c r="V17" i="13"/>
  <c r="U17" i="13"/>
  <c r="T17" i="13"/>
  <c r="Q17" i="13"/>
  <c r="P17" i="13"/>
  <c r="O17" i="13"/>
  <c r="L17" i="13"/>
  <c r="K17" i="13"/>
  <c r="J17" i="13"/>
  <c r="G17" i="13"/>
  <c r="F17" i="13"/>
  <c r="E17" i="13"/>
  <c r="W16" i="13"/>
  <c r="V16" i="13"/>
  <c r="U16" i="13"/>
  <c r="T16" i="13"/>
  <c r="Q16" i="13"/>
  <c r="P16" i="13"/>
  <c r="O16" i="13"/>
  <c r="L16" i="13"/>
  <c r="K16" i="13"/>
  <c r="J16" i="13"/>
  <c r="G16" i="13"/>
  <c r="F16" i="13"/>
  <c r="E16" i="13"/>
  <c r="W15" i="13"/>
  <c r="V15" i="13"/>
  <c r="U15" i="13"/>
  <c r="T15" i="13"/>
  <c r="Q15" i="13"/>
  <c r="P15" i="13"/>
  <c r="O15" i="13"/>
  <c r="L15" i="13"/>
  <c r="K15" i="13"/>
  <c r="J15" i="13"/>
  <c r="G15" i="13"/>
  <c r="F15" i="13"/>
  <c r="E15" i="13"/>
  <c r="W14" i="13"/>
  <c r="V14" i="13"/>
  <c r="U14" i="13"/>
  <c r="T14" i="13"/>
  <c r="Q14" i="13"/>
  <c r="P14" i="13"/>
  <c r="O14" i="13"/>
  <c r="L14" i="13"/>
  <c r="K14" i="13"/>
  <c r="J14" i="13"/>
  <c r="G14" i="13"/>
  <c r="F14" i="13"/>
  <c r="E14" i="13"/>
  <c r="W13" i="13"/>
  <c r="V13" i="13"/>
  <c r="U13" i="13"/>
  <c r="T13" i="13"/>
  <c r="Q13" i="13"/>
  <c r="P13" i="13"/>
  <c r="O13" i="13"/>
  <c r="L13" i="13"/>
  <c r="K13" i="13"/>
  <c r="J13" i="13"/>
  <c r="G13" i="13"/>
  <c r="F13" i="13"/>
  <c r="E13" i="13"/>
  <c r="W12" i="13"/>
  <c r="V12" i="13"/>
  <c r="U12" i="13"/>
  <c r="T12" i="13"/>
  <c r="Q12" i="13"/>
  <c r="P12" i="13"/>
  <c r="O12" i="13"/>
  <c r="L12" i="13"/>
  <c r="K12" i="13"/>
  <c r="J12" i="13"/>
  <c r="G12" i="13"/>
  <c r="F12" i="13"/>
  <c r="E12" i="13"/>
  <c r="W11" i="13"/>
  <c r="V11" i="13"/>
  <c r="U11" i="13"/>
  <c r="T11" i="13"/>
  <c r="Q11" i="13"/>
  <c r="P11" i="13"/>
  <c r="O11" i="13"/>
  <c r="L11" i="13"/>
  <c r="K11" i="13"/>
  <c r="J11" i="13"/>
  <c r="G11" i="13"/>
  <c r="F11" i="13"/>
  <c r="E11" i="13"/>
  <c r="W10" i="13"/>
  <c r="V10" i="13"/>
  <c r="U10" i="13"/>
  <c r="T10" i="13"/>
  <c r="Q10" i="13"/>
  <c r="P10" i="13"/>
  <c r="O10" i="13"/>
  <c r="L10" i="13"/>
  <c r="K10" i="13"/>
  <c r="J10" i="13"/>
  <c r="G10" i="13"/>
  <c r="F10" i="13"/>
  <c r="E10" i="13"/>
  <c r="W9" i="13"/>
  <c r="V9" i="13"/>
  <c r="U9" i="13"/>
  <c r="T9" i="13"/>
  <c r="Q9" i="13"/>
  <c r="P9" i="13"/>
  <c r="O9" i="13"/>
  <c r="L9" i="13"/>
  <c r="K9" i="13"/>
  <c r="J9" i="13"/>
  <c r="G9" i="13"/>
  <c r="F9" i="13"/>
  <c r="E9" i="13"/>
  <c r="W8" i="13"/>
  <c r="V8" i="13"/>
  <c r="U8" i="13"/>
  <c r="T8" i="13"/>
  <c r="Q8" i="13"/>
  <c r="P8" i="13"/>
  <c r="O8" i="13"/>
  <c r="L8" i="13"/>
  <c r="K8" i="13"/>
  <c r="J8" i="13"/>
  <c r="G8" i="13"/>
  <c r="F8" i="13"/>
  <c r="E8" i="13"/>
  <c r="W7" i="13"/>
  <c r="V7" i="13"/>
  <c r="U7" i="13"/>
  <c r="T7" i="13"/>
  <c r="Q7" i="13"/>
  <c r="P7" i="13"/>
  <c r="O7" i="13"/>
  <c r="L7" i="13"/>
  <c r="K7" i="13"/>
  <c r="J7" i="13"/>
  <c r="G7" i="13"/>
  <c r="F7" i="13"/>
  <c r="E7" i="13"/>
  <c r="W6" i="13"/>
  <c r="V6" i="13"/>
  <c r="U6" i="13"/>
  <c r="T6" i="13"/>
  <c r="Q6" i="13"/>
  <c r="P6" i="13"/>
  <c r="O6" i="13"/>
  <c r="L6" i="13"/>
  <c r="K6" i="13"/>
  <c r="J6" i="13"/>
  <c r="G6" i="13"/>
  <c r="F6" i="13"/>
  <c r="E6" i="13"/>
  <c r="W5" i="13"/>
  <c r="V5" i="13"/>
  <c r="U5" i="13"/>
  <c r="T5" i="13"/>
  <c r="Q5" i="13"/>
  <c r="P5" i="13"/>
  <c r="O5" i="13"/>
  <c r="L5" i="13"/>
  <c r="K5" i="13"/>
  <c r="J5" i="13"/>
  <c r="G5" i="13"/>
  <c r="F5" i="13"/>
  <c r="E5" i="13"/>
  <c r="W35" i="14"/>
  <c r="V35" i="14"/>
  <c r="U35" i="14"/>
  <c r="T35" i="14"/>
  <c r="R35" i="14"/>
  <c r="Q35" i="14"/>
  <c r="P35" i="14"/>
  <c r="O35" i="14"/>
  <c r="M35" i="14"/>
  <c r="L35" i="14"/>
  <c r="K35" i="14"/>
  <c r="J35" i="14"/>
  <c r="G35" i="14"/>
  <c r="F35" i="14"/>
  <c r="E35" i="14"/>
  <c r="W34" i="14"/>
  <c r="V34" i="14"/>
  <c r="U34" i="14"/>
  <c r="T34" i="14"/>
  <c r="Q34" i="14"/>
  <c r="P34" i="14"/>
  <c r="O34" i="14"/>
  <c r="L34" i="14"/>
  <c r="K34" i="14"/>
  <c r="J34" i="14"/>
  <c r="G34" i="14"/>
  <c r="F34" i="14"/>
  <c r="E34" i="14"/>
  <c r="W33" i="14"/>
  <c r="V33" i="14"/>
  <c r="U33" i="14"/>
  <c r="T33" i="14"/>
  <c r="Q33" i="14"/>
  <c r="P33" i="14"/>
  <c r="O33" i="14"/>
  <c r="L33" i="14"/>
  <c r="K33" i="14"/>
  <c r="J33" i="14"/>
  <c r="G33" i="14"/>
  <c r="F33" i="14"/>
  <c r="E33" i="14"/>
  <c r="W32" i="14"/>
  <c r="V32" i="14"/>
  <c r="U32" i="14"/>
  <c r="T32" i="14"/>
  <c r="Q32" i="14"/>
  <c r="P32" i="14"/>
  <c r="O32" i="14"/>
  <c r="L32" i="14"/>
  <c r="K32" i="14"/>
  <c r="J32" i="14"/>
  <c r="G32" i="14"/>
  <c r="F32" i="14"/>
  <c r="E32" i="14"/>
  <c r="W31" i="14"/>
  <c r="V31" i="14"/>
  <c r="U31" i="14"/>
  <c r="T31" i="14"/>
  <c r="Q31" i="14"/>
  <c r="P31" i="14"/>
  <c r="O31" i="14"/>
  <c r="L31" i="14"/>
  <c r="K31" i="14"/>
  <c r="J31" i="14"/>
  <c r="G31" i="14"/>
  <c r="F31" i="14"/>
  <c r="E31" i="14"/>
  <c r="W30" i="14"/>
  <c r="V30" i="14"/>
  <c r="U30" i="14"/>
  <c r="T30" i="14"/>
  <c r="Q30" i="14"/>
  <c r="P30" i="14"/>
  <c r="O30" i="14"/>
  <c r="L30" i="14"/>
  <c r="K30" i="14"/>
  <c r="J30" i="14"/>
  <c r="G30" i="14"/>
  <c r="F30" i="14"/>
  <c r="E30" i="14"/>
  <c r="W29" i="14"/>
  <c r="V29" i="14"/>
  <c r="U29" i="14"/>
  <c r="T29" i="14"/>
  <c r="Q29" i="14"/>
  <c r="P29" i="14"/>
  <c r="O29" i="14"/>
  <c r="L29" i="14"/>
  <c r="K29" i="14"/>
  <c r="J29" i="14"/>
  <c r="G29" i="14"/>
  <c r="F29" i="14"/>
  <c r="E29" i="14"/>
  <c r="W28" i="14"/>
  <c r="V28" i="14"/>
  <c r="U28" i="14"/>
  <c r="T28" i="14"/>
  <c r="Q28" i="14"/>
  <c r="P28" i="14"/>
  <c r="O28" i="14"/>
  <c r="L28" i="14"/>
  <c r="K28" i="14"/>
  <c r="J28" i="14"/>
  <c r="G28" i="14"/>
  <c r="F28" i="14"/>
  <c r="E28" i="14"/>
  <c r="W27" i="14"/>
  <c r="V27" i="14"/>
  <c r="U27" i="14"/>
  <c r="T27" i="14"/>
  <c r="Q27" i="14"/>
  <c r="P27" i="14"/>
  <c r="O27" i="14"/>
  <c r="L27" i="14"/>
  <c r="K27" i="14"/>
  <c r="J27" i="14"/>
  <c r="G27" i="14"/>
  <c r="F27" i="14"/>
  <c r="E27" i="14"/>
  <c r="W26" i="14"/>
  <c r="V26" i="14"/>
  <c r="U26" i="14"/>
  <c r="T26" i="14"/>
  <c r="Q26" i="14"/>
  <c r="P26" i="14"/>
  <c r="O26" i="14"/>
  <c r="L26" i="14"/>
  <c r="K26" i="14"/>
  <c r="J26" i="14"/>
  <c r="G26" i="14"/>
  <c r="F26" i="14"/>
  <c r="E26" i="14"/>
  <c r="W25" i="14"/>
  <c r="V25" i="14"/>
  <c r="U25" i="14"/>
  <c r="T25" i="14"/>
  <c r="Q25" i="14"/>
  <c r="P25" i="14"/>
  <c r="O25" i="14"/>
  <c r="L25" i="14"/>
  <c r="K25" i="14"/>
  <c r="J25" i="14"/>
  <c r="G25" i="14"/>
  <c r="F25" i="14"/>
  <c r="E25" i="14"/>
  <c r="W24" i="14"/>
  <c r="V24" i="14"/>
  <c r="U24" i="14"/>
  <c r="T24" i="14"/>
  <c r="Q24" i="14"/>
  <c r="P24" i="14"/>
  <c r="O24" i="14"/>
  <c r="L24" i="14"/>
  <c r="K24" i="14"/>
  <c r="J24" i="14"/>
  <c r="G24" i="14"/>
  <c r="F24" i="14"/>
  <c r="E24" i="14"/>
  <c r="W23" i="14"/>
  <c r="V23" i="14"/>
  <c r="U23" i="14"/>
  <c r="T23" i="14"/>
  <c r="Q23" i="14"/>
  <c r="P23" i="14"/>
  <c r="O23" i="14"/>
  <c r="L23" i="14"/>
  <c r="K23" i="14"/>
  <c r="J23" i="14"/>
  <c r="G23" i="14"/>
  <c r="F23" i="14"/>
  <c r="E23" i="14"/>
  <c r="W22" i="14"/>
  <c r="V22" i="14"/>
  <c r="U22" i="14"/>
  <c r="T22" i="14"/>
  <c r="Q22" i="14"/>
  <c r="P22" i="14"/>
  <c r="O22" i="14"/>
  <c r="L22" i="14"/>
  <c r="K22" i="14"/>
  <c r="J22" i="14"/>
  <c r="G22" i="14"/>
  <c r="F22" i="14"/>
  <c r="E22" i="14"/>
  <c r="W21" i="14"/>
  <c r="V21" i="14"/>
  <c r="U21" i="14"/>
  <c r="T21" i="14"/>
  <c r="Q21" i="14"/>
  <c r="P21" i="14"/>
  <c r="O21" i="14"/>
  <c r="L21" i="14"/>
  <c r="K21" i="14"/>
  <c r="J21" i="14"/>
  <c r="G21" i="14"/>
  <c r="F21" i="14"/>
  <c r="E21" i="14"/>
  <c r="W20" i="14"/>
  <c r="V20" i="14"/>
  <c r="U20" i="14"/>
  <c r="T20" i="14"/>
  <c r="Q20" i="14"/>
  <c r="P20" i="14"/>
  <c r="O20" i="14"/>
  <c r="L20" i="14"/>
  <c r="K20" i="14"/>
  <c r="J20" i="14"/>
  <c r="G20" i="14"/>
  <c r="F20" i="14"/>
  <c r="E20" i="14"/>
  <c r="W19" i="14"/>
  <c r="V19" i="14"/>
  <c r="U19" i="14"/>
  <c r="T19" i="14"/>
  <c r="Q19" i="14"/>
  <c r="P19" i="14"/>
  <c r="O19" i="14"/>
  <c r="L19" i="14"/>
  <c r="K19" i="14"/>
  <c r="J19" i="14"/>
  <c r="G19" i="14"/>
  <c r="F19" i="14"/>
  <c r="E19" i="14"/>
  <c r="W18" i="14"/>
  <c r="V18" i="14"/>
  <c r="U18" i="14"/>
  <c r="T18" i="14"/>
  <c r="Q18" i="14"/>
  <c r="P18" i="14"/>
  <c r="O18" i="14"/>
  <c r="L18" i="14"/>
  <c r="K18" i="14"/>
  <c r="J18" i="14"/>
  <c r="G18" i="14"/>
  <c r="F18" i="14"/>
  <c r="E18" i="14"/>
  <c r="W17" i="14"/>
  <c r="V17" i="14"/>
  <c r="U17" i="14"/>
  <c r="T17" i="14"/>
  <c r="Q17" i="14"/>
  <c r="P17" i="14"/>
  <c r="O17" i="14"/>
  <c r="L17" i="14"/>
  <c r="K17" i="14"/>
  <c r="J17" i="14"/>
  <c r="G17" i="14"/>
  <c r="F17" i="14"/>
  <c r="E17" i="14"/>
  <c r="W16" i="14"/>
  <c r="V16" i="14"/>
  <c r="U16" i="14"/>
  <c r="T16" i="14"/>
  <c r="Q16" i="14"/>
  <c r="P16" i="14"/>
  <c r="O16" i="14"/>
  <c r="L16" i="14"/>
  <c r="K16" i="14"/>
  <c r="J16" i="14"/>
  <c r="G16" i="14"/>
  <c r="F16" i="14"/>
  <c r="E16" i="14"/>
  <c r="W15" i="14"/>
  <c r="V15" i="14"/>
  <c r="U15" i="14"/>
  <c r="T15" i="14"/>
  <c r="Q15" i="14"/>
  <c r="P15" i="14"/>
  <c r="O15" i="14"/>
  <c r="L15" i="14"/>
  <c r="K15" i="14"/>
  <c r="J15" i="14"/>
  <c r="G15" i="14"/>
  <c r="F15" i="14"/>
  <c r="E15" i="14"/>
  <c r="W14" i="14"/>
  <c r="V14" i="14"/>
  <c r="U14" i="14"/>
  <c r="T14" i="14"/>
  <c r="Q14" i="14"/>
  <c r="P14" i="14"/>
  <c r="O14" i="14"/>
  <c r="L14" i="14"/>
  <c r="K14" i="14"/>
  <c r="J14" i="14"/>
  <c r="G14" i="14"/>
  <c r="F14" i="14"/>
  <c r="E14" i="14"/>
  <c r="W13" i="14"/>
  <c r="V13" i="14"/>
  <c r="U13" i="14"/>
  <c r="T13" i="14"/>
  <c r="Q13" i="14"/>
  <c r="P13" i="14"/>
  <c r="O13" i="14"/>
  <c r="L13" i="14"/>
  <c r="K13" i="14"/>
  <c r="J13" i="14"/>
  <c r="G13" i="14"/>
  <c r="F13" i="14"/>
  <c r="E13" i="14"/>
  <c r="W12" i="14"/>
  <c r="V12" i="14"/>
  <c r="U12" i="14"/>
  <c r="T12" i="14"/>
  <c r="Q12" i="14"/>
  <c r="P12" i="14"/>
  <c r="O12" i="14"/>
  <c r="L12" i="14"/>
  <c r="K12" i="14"/>
  <c r="J12" i="14"/>
  <c r="G12" i="14"/>
  <c r="F12" i="14"/>
  <c r="E12" i="14"/>
  <c r="W11" i="14"/>
  <c r="V11" i="14"/>
  <c r="U11" i="14"/>
  <c r="T11" i="14"/>
  <c r="Q11" i="14"/>
  <c r="P11" i="14"/>
  <c r="O11" i="14"/>
  <c r="L11" i="14"/>
  <c r="K11" i="14"/>
  <c r="J11" i="14"/>
  <c r="G11" i="14"/>
  <c r="F11" i="14"/>
  <c r="E11" i="14"/>
  <c r="W10" i="14"/>
  <c r="V10" i="14"/>
  <c r="U10" i="14"/>
  <c r="T10" i="14"/>
  <c r="Q10" i="14"/>
  <c r="P10" i="14"/>
  <c r="O10" i="14"/>
  <c r="L10" i="14"/>
  <c r="K10" i="14"/>
  <c r="J10" i="14"/>
  <c r="G10" i="14"/>
  <c r="F10" i="14"/>
  <c r="E10" i="14"/>
  <c r="W9" i="14"/>
  <c r="V9" i="14"/>
  <c r="U9" i="14"/>
  <c r="T9" i="14"/>
  <c r="Q9" i="14"/>
  <c r="P9" i="14"/>
  <c r="O9" i="14"/>
  <c r="L9" i="14"/>
  <c r="K9" i="14"/>
  <c r="J9" i="14"/>
  <c r="G9" i="14"/>
  <c r="F9" i="14"/>
  <c r="E9" i="14"/>
  <c r="W8" i="14"/>
  <c r="V8" i="14"/>
  <c r="U8" i="14"/>
  <c r="T8" i="14"/>
  <c r="Q8" i="14"/>
  <c r="P8" i="14"/>
  <c r="O8" i="14"/>
  <c r="L8" i="14"/>
  <c r="K8" i="14"/>
  <c r="J8" i="14"/>
  <c r="G8" i="14"/>
  <c r="F8" i="14"/>
  <c r="E8" i="14"/>
  <c r="W7" i="14"/>
  <c r="V7" i="14"/>
  <c r="U7" i="14"/>
  <c r="T7" i="14"/>
  <c r="Q7" i="14"/>
  <c r="P7" i="14"/>
  <c r="O7" i="14"/>
  <c r="L7" i="14"/>
  <c r="K7" i="14"/>
  <c r="J7" i="14"/>
  <c r="G7" i="14"/>
  <c r="F7" i="14"/>
  <c r="E7" i="14"/>
  <c r="W6" i="14"/>
  <c r="V6" i="14"/>
  <c r="U6" i="14"/>
  <c r="T6" i="14"/>
  <c r="Q6" i="14"/>
  <c r="P6" i="14"/>
  <c r="O6" i="14"/>
  <c r="L6" i="14"/>
  <c r="K6" i="14"/>
  <c r="J6" i="14"/>
  <c r="G6" i="14"/>
  <c r="F6" i="14"/>
  <c r="E6" i="14"/>
  <c r="W5" i="14"/>
  <c r="V5" i="14"/>
  <c r="U5" i="14"/>
  <c r="T5" i="14"/>
  <c r="Q5" i="14"/>
  <c r="P5" i="14"/>
  <c r="O5" i="14"/>
  <c r="L5" i="14"/>
  <c r="K5" i="14"/>
  <c r="J5" i="14"/>
  <c r="G5" i="14"/>
  <c r="F5" i="14"/>
  <c r="E5" i="14"/>
  <c r="V35" i="15"/>
  <c r="U35" i="15"/>
  <c r="T35" i="15"/>
  <c r="R35" i="15"/>
  <c r="Q35" i="15"/>
  <c r="P35" i="15"/>
  <c r="O35" i="15"/>
  <c r="M35" i="15"/>
  <c r="G35" i="15"/>
  <c r="F35" i="15"/>
  <c r="E35" i="15"/>
  <c r="W34" i="15"/>
  <c r="V34" i="15"/>
  <c r="U34" i="15"/>
  <c r="T34" i="15"/>
  <c r="Q34" i="15"/>
  <c r="P34" i="15"/>
  <c r="O34" i="15"/>
  <c r="L34" i="15"/>
  <c r="K34" i="15"/>
  <c r="J34" i="15"/>
  <c r="G34" i="15"/>
  <c r="F34" i="15"/>
  <c r="E34" i="15"/>
  <c r="W33" i="15"/>
  <c r="V33" i="15"/>
  <c r="U33" i="15"/>
  <c r="T33" i="15"/>
  <c r="Q33" i="15"/>
  <c r="P33" i="15"/>
  <c r="O33" i="15"/>
  <c r="L33" i="15"/>
  <c r="K33" i="15"/>
  <c r="J33" i="15"/>
  <c r="G33" i="15"/>
  <c r="F33" i="15"/>
  <c r="E33" i="15"/>
  <c r="W32" i="15"/>
  <c r="V32" i="15"/>
  <c r="U32" i="15"/>
  <c r="T32" i="15"/>
  <c r="Q32" i="15"/>
  <c r="P32" i="15"/>
  <c r="O32" i="15"/>
  <c r="L32" i="15"/>
  <c r="K32" i="15"/>
  <c r="J32" i="15"/>
  <c r="G32" i="15"/>
  <c r="F32" i="15"/>
  <c r="E32" i="15"/>
  <c r="W31" i="15"/>
  <c r="V31" i="15"/>
  <c r="U31" i="15"/>
  <c r="T31" i="15"/>
  <c r="Q31" i="15"/>
  <c r="P31" i="15"/>
  <c r="O31" i="15"/>
  <c r="L31" i="15"/>
  <c r="K31" i="15"/>
  <c r="J31" i="15"/>
  <c r="G31" i="15"/>
  <c r="F31" i="15"/>
  <c r="E31" i="15"/>
  <c r="W30" i="15"/>
  <c r="V30" i="15"/>
  <c r="U30" i="15"/>
  <c r="T30" i="15"/>
  <c r="Q30" i="15"/>
  <c r="P30" i="15"/>
  <c r="O30" i="15"/>
  <c r="L30" i="15"/>
  <c r="K30" i="15"/>
  <c r="J30" i="15"/>
  <c r="G30" i="15"/>
  <c r="F30" i="15"/>
  <c r="E30" i="15"/>
  <c r="W29" i="15"/>
  <c r="V29" i="15"/>
  <c r="U29" i="15"/>
  <c r="T29" i="15"/>
  <c r="Q29" i="15"/>
  <c r="P29" i="15"/>
  <c r="O29" i="15"/>
  <c r="L29" i="15"/>
  <c r="K29" i="15"/>
  <c r="J29" i="15"/>
  <c r="G29" i="15"/>
  <c r="F29" i="15"/>
  <c r="E29" i="15"/>
  <c r="W28" i="15"/>
  <c r="V28" i="15"/>
  <c r="U28" i="15"/>
  <c r="T28" i="15"/>
  <c r="Q28" i="15"/>
  <c r="P28" i="15"/>
  <c r="O28" i="15"/>
  <c r="L28" i="15"/>
  <c r="K28" i="15"/>
  <c r="J28" i="15"/>
  <c r="G28" i="15"/>
  <c r="F28" i="15"/>
  <c r="E28" i="15"/>
  <c r="W27" i="15"/>
  <c r="V27" i="15"/>
  <c r="U27" i="15"/>
  <c r="T27" i="15"/>
  <c r="Q27" i="15"/>
  <c r="P27" i="15"/>
  <c r="O27" i="15"/>
  <c r="L27" i="15"/>
  <c r="K27" i="15"/>
  <c r="J27" i="15"/>
  <c r="G27" i="15"/>
  <c r="F27" i="15"/>
  <c r="E27" i="15"/>
  <c r="W26" i="15"/>
  <c r="V26" i="15"/>
  <c r="U26" i="15"/>
  <c r="T26" i="15"/>
  <c r="Q26" i="15"/>
  <c r="P26" i="15"/>
  <c r="O26" i="15"/>
  <c r="L26" i="15"/>
  <c r="K26" i="15"/>
  <c r="J26" i="15"/>
  <c r="G26" i="15"/>
  <c r="F26" i="15"/>
  <c r="E26" i="15"/>
  <c r="W25" i="15"/>
  <c r="V25" i="15"/>
  <c r="U25" i="15"/>
  <c r="T25" i="15"/>
  <c r="Q25" i="15"/>
  <c r="P25" i="15"/>
  <c r="O25" i="15"/>
  <c r="L25" i="15"/>
  <c r="K25" i="15"/>
  <c r="J25" i="15"/>
  <c r="G25" i="15"/>
  <c r="F25" i="15"/>
  <c r="E25" i="15"/>
  <c r="W24" i="15"/>
  <c r="V24" i="15"/>
  <c r="U24" i="15"/>
  <c r="T24" i="15"/>
  <c r="Q24" i="15"/>
  <c r="P24" i="15"/>
  <c r="O24" i="15"/>
  <c r="L24" i="15"/>
  <c r="K24" i="15"/>
  <c r="J24" i="15"/>
  <c r="G24" i="15"/>
  <c r="F24" i="15"/>
  <c r="E24" i="15"/>
  <c r="W23" i="15"/>
  <c r="V23" i="15"/>
  <c r="U23" i="15"/>
  <c r="T23" i="15"/>
  <c r="Q23" i="15"/>
  <c r="P23" i="15"/>
  <c r="O23" i="15"/>
  <c r="L23" i="15"/>
  <c r="K23" i="15"/>
  <c r="J23" i="15"/>
  <c r="G23" i="15"/>
  <c r="F23" i="15"/>
  <c r="E23" i="15"/>
  <c r="W22" i="15"/>
  <c r="V22" i="15"/>
  <c r="U22" i="15"/>
  <c r="T22" i="15"/>
  <c r="Q22" i="15"/>
  <c r="P22" i="15"/>
  <c r="O22" i="15"/>
  <c r="L22" i="15"/>
  <c r="K22" i="15"/>
  <c r="J22" i="15"/>
  <c r="G22" i="15"/>
  <c r="F22" i="15"/>
  <c r="E22" i="15"/>
  <c r="W21" i="15"/>
  <c r="V21" i="15"/>
  <c r="U21" i="15"/>
  <c r="T21" i="15"/>
  <c r="Q21" i="15"/>
  <c r="P21" i="15"/>
  <c r="O21" i="15"/>
  <c r="L21" i="15"/>
  <c r="K21" i="15"/>
  <c r="J21" i="15"/>
  <c r="G21" i="15"/>
  <c r="F21" i="15"/>
  <c r="E21" i="15"/>
  <c r="V20" i="15"/>
  <c r="U20" i="15"/>
  <c r="T20" i="15"/>
  <c r="Q20" i="15"/>
  <c r="P20" i="15"/>
  <c r="O20" i="15"/>
  <c r="L20" i="15"/>
  <c r="W20" i="15" s="1"/>
  <c r="J20" i="15"/>
  <c r="G20" i="15"/>
  <c r="F20" i="15"/>
  <c r="E20" i="15"/>
  <c r="V19" i="15"/>
  <c r="U19" i="15"/>
  <c r="T19" i="15"/>
  <c r="Q19" i="15"/>
  <c r="P19" i="15"/>
  <c r="O19" i="15"/>
  <c r="J19" i="15"/>
  <c r="G19" i="15"/>
  <c r="F19" i="15"/>
  <c r="E19" i="15"/>
  <c r="V18" i="15"/>
  <c r="U18" i="15"/>
  <c r="T18" i="15"/>
  <c r="Q18" i="15"/>
  <c r="P18" i="15"/>
  <c r="O18" i="15"/>
  <c r="J18" i="15"/>
  <c r="G18" i="15"/>
  <c r="F18" i="15"/>
  <c r="E18" i="15"/>
  <c r="W17" i="15"/>
  <c r="V17" i="15"/>
  <c r="U17" i="15"/>
  <c r="T17" i="15"/>
  <c r="Q17" i="15"/>
  <c r="P17" i="15"/>
  <c r="O17" i="15"/>
  <c r="L17" i="15"/>
  <c r="J17" i="15"/>
  <c r="G17" i="15"/>
  <c r="F17" i="15"/>
  <c r="E17" i="15"/>
  <c r="W16" i="15"/>
  <c r="V16" i="15"/>
  <c r="U16" i="15"/>
  <c r="T16" i="15"/>
  <c r="Q16" i="15"/>
  <c r="P16" i="15"/>
  <c r="O16" i="15"/>
  <c r="L16" i="15"/>
  <c r="J16" i="15"/>
  <c r="G16" i="15"/>
  <c r="F16" i="15"/>
  <c r="E16" i="15"/>
  <c r="W15" i="15"/>
  <c r="V15" i="15"/>
  <c r="U15" i="15"/>
  <c r="T15" i="15"/>
  <c r="Q15" i="15"/>
  <c r="P15" i="15"/>
  <c r="O15" i="15"/>
  <c r="L15" i="15"/>
  <c r="J15" i="15"/>
  <c r="G15" i="15"/>
  <c r="F15" i="15"/>
  <c r="E15" i="15"/>
  <c r="W14" i="15"/>
  <c r="V14" i="15"/>
  <c r="U14" i="15"/>
  <c r="T14" i="15"/>
  <c r="Q14" i="15"/>
  <c r="P14" i="15"/>
  <c r="O14" i="15"/>
  <c r="L14" i="15"/>
  <c r="J14" i="15"/>
  <c r="G14" i="15"/>
  <c r="F14" i="15"/>
  <c r="E14" i="15"/>
  <c r="W13" i="15"/>
  <c r="V13" i="15"/>
  <c r="U13" i="15"/>
  <c r="T13" i="15"/>
  <c r="Q13" i="15"/>
  <c r="P13" i="15"/>
  <c r="O13" i="15"/>
  <c r="L13" i="15"/>
  <c r="J13" i="15"/>
  <c r="G13" i="15"/>
  <c r="F13" i="15"/>
  <c r="E13" i="15"/>
  <c r="V12" i="15"/>
  <c r="U12" i="15"/>
  <c r="T12" i="15"/>
  <c r="Q12" i="15"/>
  <c r="P12" i="15"/>
  <c r="O12" i="15"/>
  <c r="L12" i="15"/>
  <c r="W12" i="15" s="1"/>
  <c r="G12" i="15"/>
  <c r="F12" i="15"/>
  <c r="E12" i="15"/>
  <c r="V11" i="15"/>
  <c r="U11" i="15"/>
  <c r="T11" i="15"/>
  <c r="Q11" i="15"/>
  <c r="P11" i="15"/>
  <c r="O11" i="15"/>
  <c r="G11" i="15"/>
  <c r="F11" i="15"/>
  <c r="E11" i="15"/>
  <c r="V10" i="15"/>
  <c r="U10" i="15"/>
  <c r="T10" i="15"/>
  <c r="Q10" i="15"/>
  <c r="P10" i="15"/>
  <c r="O10" i="15"/>
  <c r="G10" i="15"/>
  <c r="F10" i="15"/>
  <c r="E10" i="15"/>
  <c r="V9" i="15"/>
  <c r="U9" i="15"/>
  <c r="T9" i="15"/>
  <c r="Q9" i="15"/>
  <c r="P9" i="15"/>
  <c r="O9" i="15"/>
  <c r="L9" i="15"/>
  <c r="W9" i="15" s="1"/>
  <c r="G9" i="15"/>
  <c r="F9" i="15"/>
  <c r="E9" i="15"/>
  <c r="V8" i="15"/>
  <c r="U8" i="15"/>
  <c r="T8" i="15"/>
  <c r="Q8" i="15"/>
  <c r="P8" i="15"/>
  <c r="O8" i="15"/>
  <c r="L8" i="15"/>
  <c r="W8" i="15" s="1"/>
  <c r="G8" i="15"/>
  <c r="F8" i="15"/>
  <c r="E8" i="15"/>
  <c r="V7" i="15"/>
  <c r="U7" i="15"/>
  <c r="T7" i="15"/>
  <c r="Q7" i="15"/>
  <c r="P7" i="15"/>
  <c r="O7" i="15"/>
  <c r="L7" i="15"/>
  <c r="W7" i="15" s="1"/>
  <c r="G7" i="15"/>
  <c r="F7" i="15"/>
  <c r="E7" i="15"/>
  <c r="V6" i="15"/>
  <c r="U6" i="15"/>
  <c r="T6" i="15"/>
  <c r="Q6" i="15"/>
  <c r="P6" i="15"/>
  <c r="O6" i="15"/>
  <c r="L6" i="15"/>
  <c r="G6" i="15"/>
  <c r="F6" i="15"/>
  <c r="E6" i="15"/>
  <c r="W5" i="15"/>
  <c r="V5" i="15"/>
  <c r="U5" i="15"/>
  <c r="T5" i="15"/>
  <c r="Q5" i="15"/>
  <c r="P5" i="15"/>
  <c r="O5" i="15"/>
  <c r="L5" i="15"/>
  <c r="K5" i="15"/>
  <c r="J5" i="15"/>
  <c r="G5" i="15"/>
  <c r="F5" i="15"/>
  <c r="E5" i="15"/>
  <c r="V37" i="16"/>
  <c r="U37" i="16"/>
  <c r="T37" i="16"/>
  <c r="R37" i="16"/>
  <c r="Q37" i="16"/>
  <c r="P37" i="16"/>
  <c r="O37" i="16"/>
  <c r="M37" i="16"/>
  <c r="V36" i="16"/>
  <c r="U36" i="16"/>
  <c r="T36" i="16"/>
  <c r="Q36" i="16"/>
  <c r="P36" i="16"/>
  <c r="O36" i="16"/>
  <c r="L36" i="16"/>
  <c r="W36" i="16" s="1"/>
  <c r="J36" i="16"/>
  <c r="G36" i="16"/>
  <c r="F36" i="16"/>
  <c r="E36" i="16"/>
  <c r="V35" i="16"/>
  <c r="U35" i="16"/>
  <c r="T35" i="16"/>
  <c r="Q35" i="16"/>
  <c r="P35" i="16"/>
  <c r="O35" i="16"/>
  <c r="J35" i="16"/>
  <c r="G35" i="16"/>
  <c r="F35" i="16"/>
  <c r="E35" i="16"/>
  <c r="V34" i="16"/>
  <c r="U34" i="16"/>
  <c r="T34" i="16"/>
  <c r="Q34" i="16"/>
  <c r="P34" i="16"/>
  <c r="O34" i="16"/>
  <c r="L34" i="16"/>
  <c r="W34" i="16" s="1"/>
  <c r="J34" i="16"/>
  <c r="G34" i="16"/>
  <c r="F34" i="16"/>
  <c r="E34" i="16"/>
  <c r="W33" i="16"/>
  <c r="V33" i="16"/>
  <c r="U33" i="16"/>
  <c r="T33" i="16"/>
  <c r="Q33" i="16"/>
  <c r="P33" i="16"/>
  <c r="O33" i="16"/>
  <c r="L33" i="16"/>
  <c r="J33" i="16"/>
  <c r="G33" i="16"/>
  <c r="F33" i="16"/>
  <c r="E33" i="16"/>
  <c r="V32" i="16"/>
  <c r="U32" i="16"/>
  <c r="T32" i="16"/>
  <c r="Q32" i="16"/>
  <c r="P32" i="16"/>
  <c r="O32" i="16"/>
  <c r="L32" i="16"/>
  <c r="W32" i="16" s="1"/>
  <c r="J32" i="16"/>
  <c r="G32" i="16"/>
  <c r="F32" i="16"/>
  <c r="E32" i="16"/>
  <c r="W31" i="16"/>
  <c r="V31" i="16"/>
  <c r="U31" i="16"/>
  <c r="T31" i="16"/>
  <c r="Q31" i="16"/>
  <c r="P31" i="16"/>
  <c r="O31" i="16"/>
  <c r="L31" i="16"/>
  <c r="J31" i="16"/>
  <c r="G31" i="16"/>
  <c r="F31" i="16"/>
  <c r="E31" i="16"/>
  <c r="V30" i="16"/>
  <c r="U30" i="16"/>
  <c r="T30" i="16"/>
  <c r="Q30" i="16"/>
  <c r="P30" i="16"/>
  <c r="O30" i="16"/>
  <c r="L30" i="16"/>
  <c r="W30" i="16" s="1"/>
  <c r="J30" i="16"/>
  <c r="G30" i="16"/>
  <c r="F30" i="16"/>
  <c r="E30" i="16"/>
  <c r="W29" i="16"/>
  <c r="V29" i="16"/>
  <c r="U29" i="16"/>
  <c r="T29" i="16"/>
  <c r="Q29" i="16"/>
  <c r="P29" i="16"/>
  <c r="O29" i="16"/>
  <c r="L29" i="16"/>
  <c r="J29" i="16"/>
  <c r="G29" i="16"/>
  <c r="F29" i="16"/>
  <c r="E29" i="16"/>
  <c r="V28" i="16"/>
  <c r="U28" i="16"/>
  <c r="T28" i="16"/>
  <c r="Q28" i="16"/>
  <c r="P28" i="16"/>
  <c r="O28" i="16"/>
  <c r="L28" i="16"/>
  <c r="W28" i="16" s="1"/>
  <c r="J28" i="16"/>
  <c r="G28" i="16"/>
  <c r="F28" i="16"/>
  <c r="E28" i="16"/>
  <c r="V27" i="16"/>
  <c r="U27" i="16"/>
  <c r="T27" i="16"/>
  <c r="Q27" i="16"/>
  <c r="P27" i="16"/>
  <c r="O27" i="16"/>
  <c r="J27" i="16"/>
  <c r="G27" i="16"/>
  <c r="F27" i="16"/>
  <c r="E27" i="16"/>
  <c r="V26" i="16"/>
  <c r="U26" i="16"/>
  <c r="T26" i="16"/>
  <c r="Q26" i="16"/>
  <c r="P26" i="16"/>
  <c r="O26" i="16"/>
  <c r="L26" i="16"/>
  <c r="W26" i="16" s="1"/>
  <c r="J26" i="16"/>
  <c r="G26" i="16"/>
  <c r="F26" i="16"/>
  <c r="E26" i="16"/>
  <c r="W25" i="16"/>
  <c r="V25" i="16"/>
  <c r="U25" i="16"/>
  <c r="T25" i="16"/>
  <c r="Q25" i="16"/>
  <c r="P25" i="16"/>
  <c r="O25" i="16"/>
  <c r="L25" i="16"/>
  <c r="J25" i="16"/>
  <c r="G25" i="16"/>
  <c r="F25" i="16"/>
  <c r="E25" i="16"/>
  <c r="V24" i="16"/>
  <c r="U24" i="16"/>
  <c r="T24" i="16"/>
  <c r="Q24" i="16"/>
  <c r="P24" i="16"/>
  <c r="O24" i="16"/>
  <c r="L24" i="16"/>
  <c r="W24" i="16" s="1"/>
  <c r="J24" i="16"/>
  <c r="G24" i="16"/>
  <c r="F24" i="16"/>
  <c r="E24" i="16"/>
  <c r="W23" i="16"/>
  <c r="V23" i="16"/>
  <c r="U23" i="16"/>
  <c r="T23" i="16"/>
  <c r="Q23" i="16"/>
  <c r="P23" i="16"/>
  <c r="O23" i="16"/>
  <c r="L23" i="16"/>
  <c r="J23" i="16"/>
  <c r="G23" i="16"/>
  <c r="F23" i="16"/>
  <c r="E23" i="16"/>
  <c r="V22" i="16"/>
  <c r="U22" i="16"/>
  <c r="T22" i="16"/>
  <c r="Q22" i="16"/>
  <c r="P22" i="16"/>
  <c r="O22" i="16"/>
  <c r="L22" i="16"/>
  <c r="W22" i="16" s="1"/>
  <c r="J22" i="16"/>
  <c r="G22" i="16"/>
  <c r="F22" i="16"/>
  <c r="E22" i="16"/>
  <c r="W21" i="16"/>
  <c r="V21" i="16"/>
  <c r="U21" i="16"/>
  <c r="T21" i="16"/>
  <c r="Q21" i="16"/>
  <c r="P21" i="16"/>
  <c r="O21" i="16"/>
  <c r="L21" i="16"/>
  <c r="J21" i="16"/>
  <c r="G21" i="16"/>
  <c r="F21" i="16"/>
  <c r="E21" i="16"/>
  <c r="V20" i="16"/>
  <c r="U20" i="16"/>
  <c r="T20" i="16"/>
  <c r="Q20" i="16"/>
  <c r="P20" i="16"/>
  <c r="O20" i="16"/>
  <c r="L20" i="16"/>
  <c r="W20" i="16" s="1"/>
  <c r="J20" i="16"/>
  <c r="G20" i="16"/>
  <c r="F20" i="16"/>
  <c r="E20" i="16"/>
  <c r="V19" i="16"/>
  <c r="U19" i="16"/>
  <c r="T19" i="16"/>
  <c r="Q19" i="16"/>
  <c r="P19" i="16"/>
  <c r="O19" i="16"/>
  <c r="J19" i="16"/>
  <c r="G19" i="16"/>
  <c r="F19" i="16"/>
  <c r="E19" i="16"/>
  <c r="V18" i="16"/>
  <c r="U18" i="16"/>
  <c r="T18" i="16"/>
  <c r="Q18" i="16"/>
  <c r="P18" i="16"/>
  <c r="O18" i="16"/>
  <c r="L18" i="16"/>
  <c r="J18" i="16"/>
  <c r="E18" i="16"/>
  <c r="V17" i="16"/>
  <c r="U17" i="16"/>
  <c r="T17" i="16"/>
  <c r="Q17" i="16"/>
  <c r="P17" i="16"/>
  <c r="O17" i="16"/>
  <c r="J17" i="16"/>
  <c r="K17" i="16" s="1"/>
  <c r="L17" i="16" s="1"/>
  <c r="E17" i="16"/>
  <c r="V16" i="16"/>
  <c r="U16" i="16"/>
  <c r="T16" i="16"/>
  <c r="Q16" i="16"/>
  <c r="P16" i="16"/>
  <c r="O16" i="16"/>
  <c r="L16" i="16"/>
  <c r="J16" i="16"/>
  <c r="E16" i="16"/>
  <c r="V15" i="16"/>
  <c r="U15" i="16"/>
  <c r="T15" i="16"/>
  <c r="Q15" i="16"/>
  <c r="P15" i="16"/>
  <c r="O15" i="16"/>
  <c r="L15" i="16"/>
  <c r="J15" i="16"/>
  <c r="E15" i="16"/>
  <c r="V14" i="16"/>
  <c r="U14" i="16"/>
  <c r="T14" i="16"/>
  <c r="Q14" i="16"/>
  <c r="P14" i="16"/>
  <c r="O14" i="16"/>
  <c r="L14" i="16"/>
  <c r="W14" i="16" s="1"/>
  <c r="J14" i="16"/>
  <c r="G14" i="16"/>
  <c r="F14" i="16"/>
  <c r="E14" i="16"/>
  <c r="V13" i="16"/>
  <c r="U13" i="16"/>
  <c r="T13" i="16"/>
  <c r="Q13" i="16"/>
  <c r="P13" i="16"/>
  <c r="O13" i="16"/>
  <c r="L13" i="16"/>
  <c r="J13" i="16"/>
  <c r="E13" i="16"/>
  <c r="V12" i="16"/>
  <c r="U12" i="16"/>
  <c r="T12" i="16"/>
  <c r="Q12" i="16"/>
  <c r="P12" i="16"/>
  <c r="O12" i="16"/>
  <c r="L12" i="16"/>
  <c r="W12" i="16" s="1"/>
  <c r="J12" i="16"/>
  <c r="G12" i="16"/>
  <c r="F12" i="16"/>
  <c r="E12" i="16"/>
  <c r="V11" i="16"/>
  <c r="U11" i="16"/>
  <c r="T11" i="16"/>
  <c r="Q11" i="16"/>
  <c r="P11" i="16"/>
  <c r="O11" i="16"/>
  <c r="J11" i="16"/>
  <c r="G11" i="16"/>
  <c r="F11" i="16"/>
  <c r="E11" i="16"/>
  <c r="V10" i="16"/>
  <c r="U10" i="16"/>
  <c r="T10" i="16"/>
  <c r="Q10" i="16"/>
  <c r="P10" i="16"/>
  <c r="O10" i="16"/>
  <c r="L10" i="16"/>
  <c r="W10" i="16" s="1"/>
  <c r="J10" i="16"/>
  <c r="G10" i="16"/>
  <c r="F10" i="16"/>
  <c r="E10" i="16"/>
  <c r="W9" i="16"/>
  <c r="V9" i="16"/>
  <c r="U9" i="16"/>
  <c r="T9" i="16"/>
  <c r="Q9" i="16"/>
  <c r="P9" i="16"/>
  <c r="O9" i="16"/>
  <c r="L9" i="16"/>
  <c r="J9" i="16"/>
  <c r="G9" i="16"/>
  <c r="F9" i="16"/>
  <c r="E9" i="16"/>
  <c r="V8" i="16"/>
  <c r="U8" i="16"/>
  <c r="T8" i="16"/>
  <c r="Q8" i="16"/>
  <c r="P8" i="16"/>
  <c r="O8" i="16"/>
  <c r="J8" i="16"/>
  <c r="G8" i="16"/>
  <c r="F8" i="16"/>
  <c r="E8" i="16"/>
  <c r="W7" i="16"/>
  <c r="V7" i="16"/>
  <c r="U7" i="16"/>
  <c r="T7" i="16"/>
  <c r="Q7" i="16"/>
  <c r="P7" i="16"/>
  <c r="O7" i="16"/>
  <c r="L7" i="16"/>
  <c r="J7" i="16"/>
  <c r="G7" i="16"/>
  <c r="F7" i="16"/>
  <c r="E7" i="16"/>
  <c r="V6" i="16"/>
  <c r="U6" i="16"/>
  <c r="T6" i="16"/>
  <c r="Q6" i="16"/>
  <c r="P6" i="16"/>
  <c r="O6" i="16"/>
  <c r="L6" i="16"/>
  <c r="J6" i="16"/>
  <c r="G6" i="16"/>
  <c r="F6" i="16"/>
  <c r="E6" i="16"/>
  <c r="W5" i="16"/>
  <c r="V5" i="16"/>
  <c r="U5" i="16"/>
  <c r="T5" i="16"/>
  <c r="Q5" i="16"/>
  <c r="P5" i="16"/>
  <c r="O5" i="16"/>
  <c r="L5" i="16"/>
  <c r="K5" i="16"/>
  <c r="J5" i="16"/>
  <c r="G5" i="16"/>
  <c r="F5" i="16"/>
  <c r="E5" i="16"/>
  <c r="W38" i="11"/>
  <c r="V38" i="11"/>
  <c r="U38" i="11"/>
  <c r="T38" i="11"/>
  <c r="R38" i="11"/>
  <c r="Q38" i="11"/>
  <c r="P38" i="11"/>
  <c r="O38" i="11"/>
  <c r="M38" i="11"/>
  <c r="L38" i="11"/>
  <c r="K38" i="11"/>
  <c r="J38" i="11"/>
  <c r="G38" i="11"/>
  <c r="F38" i="11"/>
  <c r="E38" i="11"/>
  <c r="W37" i="11"/>
  <c r="V37" i="11"/>
  <c r="U37" i="11"/>
  <c r="T37" i="11"/>
  <c r="Q37" i="11"/>
  <c r="P37" i="11"/>
  <c r="O37" i="11"/>
  <c r="L37" i="11"/>
  <c r="K37" i="11"/>
  <c r="J37" i="11"/>
  <c r="G37" i="11"/>
  <c r="F37" i="11"/>
  <c r="E37" i="11"/>
  <c r="W36" i="11"/>
  <c r="V36" i="11"/>
  <c r="U36" i="11"/>
  <c r="T36" i="11"/>
  <c r="Q36" i="11"/>
  <c r="P36" i="11"/>
  <c r="O36" i="11"/>
  <c r="L36" i="11"/>
  <c r="K36" i="11"/>
  <c r="J36" i="11"/>
  <c r="G36" i="11"/>
  <c r="F36" i="11"/>
  <c r="E36" i="11"/>
  <c r="W35" i="11"/>
  <c r="V35" i="11"/>
  <c r="U35" i="11"/>
  <c r="T35" i="11"/>
  <c r="Q35" i="11"/>
  <c r="P35" i="11"/>
  <c r="O35" i="11"/>
  <c r="L35" i="11"/>
  <c r="K35" i="11"/>
  <c r="J35" i="11"/>
  <c r="G35" i="11"/>
  <c r="F35" i="11"/>
  <c r="E35" i="11"/>
  <c r="W34" i="11"/>
  <c r="V34" i="11"/>
  <c r="U34" i="11"/>
  <c r="T34" i="11"/>
  <c r="Q34" i="11"/>
  <c r="P34" i="11"/>
  <c r="O34" i="11"/>
  <c r="L34" i="11"/>
  <c r="K34" i="11"/>
  <c r="J34" i="11"/>
  <c r="G34" i="11"/>
  <c r="F34" i="11"/>
  <c r="E34" i="11"/>
  <c r="W33" i="11"/>
  <c r="V33" i="11"/>
  <c r="U33" i="11"/>
  <c r="T33" i="11"/>
  <c r="Q33" i="11"/>
  <c r="P33" i="11"/>
  <c r="O33" i="11"/>
  <c r="L33" i="11"/>
  <c r="K33" i="11"/>
  <c r="J33" i="11"/>
  <c r="G33" i="11"/>
  <c r="F33" i="11"/>
  <c r="E33" i="11"/>
  <c r="W32" i="11"/>
  <c r="V32" i="11"/>
  <c r="U32" i="11"/>
  <c r="T32" i="11"/>
  <c r="Q32" i="11"/>
  <c r="P32" i="11"/>
  <c r="O32" i="11"/>
  <c r="L32" i="11"/>
  <c r="K32" i="11"/>
  <c r="J32" i="11"/>
  <c r="G32" i="11"/>
  <c r="F32" i="11"/>
  <c r="E32" i="11"/>
  <c r="W31" i="11"/>
  <c r="V31" i="11"/>
  <c r="U31" i="11"/>
  <c r="T31" i="11"/>
  <c r="Q31" i="11"/>
  <c r="P31" i="11"/>
  <c r="O31" i="11"/>
  <c r="L31" i="11"/>
  <c r="K31" i="11"/>
  <c r="J31" i="11"/>
  <c r="G31" i="11"/>
  <c r="F31" i="11"/>
  <c r="E31" i="11"/>
  <c r="W30" i="11"/>
  <c r="V30" i="11"/>
  <c r="U30" i="11"/>
  <c r="T30" i="11"/>
  <c r="Q30" i="11"/>
  <c r="P30" i="11"/>
  <c r="O30" i="11"/>
  <c r="L30" i="11"/>
  <c r="K30" i="11"/>
  <c r="J30" i="11"/>
  <c r="G30" i="11"/>
  <c r="F30" i="11"/>
  <c r="E30" i="11"/>
  <c r="W29" i="11"/>
  <c r="V29" i="11"/>
  <c r="U29" i="11"/>
  <c r="T29" i="11"/>
  <c r="Q29" i="11"/>
  <c r="P29" i="11"/>
  <c r="O29" i="11"/>
  <c r="L29" i="11"/>
  <c r="K29" i="11"/>
  <c r="J29" i="11"/>
  <c r="G29" i="11"/>
  <c r="F29" i="11"/>
  <c r="E29" i="11"/>
  <c r="W28" i="11"/>
  <c r="V28" i="11"/>
  <c r="U28" i="11"/>
  <c r="T28" i="11"/>
  <c r="Q28" i="11"/>
  <c r="P28" i="11"/>
  <c r="O28" i="11"/>
  <c r="L28" i="11"/>
  <c r="K28" i="11"/>
  <c r="J28" i="11"/>
  <c r="G28" i="11"/>
  <c r="F28" i="11"/>
  <c r="E28" i="11"/>
  <c r="W27" i="11"/>
  <c r="V27" i="11"/>
  <c r="U27" i="11"/>
  <c r="T27" i="11"/>
  <c r="Q27" i="11"/>
  <c r="P27" i="11"/>
  <c r="O27" i="11"/>
  <c r="L27" i="11"/>
  <c r="K27" i="11"/>
  <c r="J27" i="11"/>
  <c r="G27" i="11"/>
  <c r="F27" i="11"/>
  <c r="E27" i="11"/>
  <c r="W26" i="11"/>
  <c r="V26" i="11"/>
  <c r="U26" i="11"/>
  <c r="T26" i="11"/>
  <c r="Q26" i="11"/>
  <c r="P26" i="11"/>
  <c r="O26" i="11"/>
  <c r="L26" i="11"/>
  <c r="K26" i="11"/>
  <c r="J26" i="11"/>
  <c r="G26" i="11"/>
  <c r="F26" i="11"/>
  <c r="E26" i="11"/>
  <c r="W25" i="11"/>
  <c r="V25" i="11"/>
  <c r="U25" i="11"/>
  <c r="T25" i="11"/>
  <c r="Q25" i="11"/>
  <c r="P25" i="11"/>
  <c r="O25" i="11"/>
  <c r="L25" i="11"/>
  <c r="K25" i="11"/>
  <c r="J25" i="11"/>
  <c r="G25" i="11"/>
  <c r="F25" i="11"/>
  <c r="E25" i="11"/>
  <c r="W24" i="11"/>
  <c r="V24" i="11"/>
  <c r="U24" i="11"/>
  <c r="T24" i="11"/>
  <c r="Q24" i="11"/>
  <c r="P24" i="11"/>
  <c r="O24" i="11"/>
  <c r="L24" i="11"/>
  <c r="K24" i="11"/>
  <c r="J24" i="11"/>
  <c r="G24" i="11"/>
  <c r="F24" i="11"/>
  <c r="E24" i="11"/>
  <c r="W23" i="11"/>
  <c r="V23" i="11"/>
  <c r="U23" i="11"/>
  <c r="T23" i="11"/>
  <c r="Q23" i="11"/>
  <c r="P23" i="11"/>
  <c r="O23" i="11"/>
  <c r="L23" i="11"/>
  <c r="K23" i="11"/>
  <c r="J23" i="11"/>
  <c r="G23" i="11"/>
  <c r="F23" i="11"/>
  <c r="E23" i="11"/>
  <c r="W22" i="11"/>
  <c r="V22" i="11"/>
  <c r="U22" i="11"/>
  <c r="T22" i="11"/>
  <c r="Q22" i="11"/>
  <c r="P22" i="11"/>
  <c r="O22" i="11"/>
  <c r="L22" i="11"/>
  <c r="K22" i="11"/>
  <c r="J22" i="11"/>
  <c r="G22" i="11"/>
  <c r="F22" i="11"/>
  <c r="E22" i="11"/>
  <c r="W21" i="11"/>
  <c r="V21" i="11"/>
  <c r="U21" i="11"/>
  <c r="T21" i="11"/>
  <c r="Q21" i="11"/>
  <c r="P21" i="11"/>
  <c r="O21" i="11"/>
  <c r="L21" i="11"/>
  <c r="K21" i="11"/>
  <c r="J21" i="11"/>
  <c r="G21" i="11"/>
  <c r="F21" i="11"/>
  <c r="E21" i="11"/>
  <c r="W20" i="11"/>
  <c r="V20" i="11"/>
  <c r="U20" i="11"/>
  <c r="T20" i="11"/>
  <c r="Q20" i="11"/>
  <c r="P20" i="11"/>
  <c r="O20" i="11"/>
  <c r="L20" i="11"/>
  <c r="K20" i="11"/>
  <c r="J20" i="11"/>
  <c r="G20" i="11"/>
  <c r="F20" i="11"/>
  <c r="E20" i="11"/>
  <c r="W19" i="11"/>
  <c r="V19" i="11"/>
  <c r="U19" i="11"/>
  <c r="T19" i="11"/>
  <c r="Q19" i="11"/>
  <c r="P19" i="11"/>
  <c r="O19" i="11"/>
  <c r="L19" i="11"/>
  <c r="K19" i="11"/>
  <c r="J19" i="11"/>
  <c r="G19" i="11"/>
  <c r="F19" i="11"/>
  <c r="E19" i="11"/>
  <c r="W18" i="11"/>
  <c r="V18" i="11"/>
  <c r="U18" i="11"/>
  <c r="T18" i="11"/>
  <c r="Q18" i="11"/>
  <c r="P18" i="11"/>
  <c r="O18" i="11"/>
  <c r="L18" i="11"/>
  <c r="K18" i="11"/>
  <c r="J18" i="11"/>
  <c r="G18" i="11"/>
  <c r="F18" i="11"/>
  <c r="E18" i="11"/>
  <c r="W17" i="11"/>
  <c r="V17" i="11"/>
  <c r="U17" i="11"/>
  <c r="T17" i="11"/>
  <c r="Q17" i="11"/>
  <c r="P17" i="11"/>
  <c r="O17" i="11"/>
  <c r="L17" i="11"/>
  <c r="K17" i="11"/>
  <c r="J17" i="11"/>
  <c r="G17" i="11"/>
  <c r="F17" i="11"/>
  <c r="E17" i="11"/>
  <c r="W16" i="11"/>
  <c r="V16" i="11"/>
  <c r="U16" i="11"/>
  <c r="T16" i="11"/>
  <c r="Q16" i="11"/>
  <c r="P16" i="11"/>
  <c r="O16" i="11"/>
  <c r="L16" i="11"/>
  <c r="K16" i="11"/>
  <c r="J16" i="11"/>
  <c r="G16" i="11"/>
  <c r="F16" i="11"/>
  <c r="E16" i="11"/>
  <c r="W15" i="11"/>
  <c r="V15" i="11"/>
  <c r="U15" i="11"/>
  <c r="T15" i="11"/>
  <c r="Q15" i="11"/>
  <c r="P15" i="11"/>
  <c r="O15" i="11"/>
  <c r="L15" i="11"/>
  <c r="K15" i="11"/>
  <c r="J15" i="11"/>
  <c r="G15" i="11"/>
  <c r="F15" i="11"/>
  <c r="E15" i="11"/>
  <c r="W14" i="11"/>
  <c r="V14" i="11"/>
  <c r="U14" i="11"/>
  <c r="T14" i="11"/>
  <c r="Q14" i="11"/>
  <c r="P14" i="11"/>
  <c r="O14" i="11"/>
  <c r="L14" i="11"/>
  <c r="K14" i="11"/>
  <c r="J14" i="11"/>
  <c r="G14" i="11"/>
  <c r="F14" i="11"/>
  <c r="E14" i="11"/>
  <c r="W13" i="11"/>
  <c r="V13" i="11"/>
  <c r="U13" i="11"/>
  <c r="T13" i="11"/>
  <c r="Q13" i="11"/>
  <c r="P13" i="11"/>
  <c r="O13" i="11"/>
  <c r="L13" i="11"/>
  <c r="K13" i="11"/>
  <c r="J13" i="11"/>
  <c r="G13" i="11"/>
  <c r="F13" i="11"/>
  <c r="E13" i="11"/>
  <c r="W12" i="11"/>
  <c r="V12" i="11"/>
  <c r="U12" i="11"/>
  <c r="T12" i="11"/>
  <c r="Q12" i="11"/>
  <c r="P12" i="11"/>
  <c r="O12" i="11"/>
  <c r="L12" i="11"/>
  <c r="K12" i="11"/>
  <c r="J12" i="11"/>
  <c r="G12" i="11"/>
  <c r="F12" i="11"/>
  <c r="E12" i="11"/>
  <c r="W11" i="11"/>
  <c r="V11" i="11"/>
  <c r="U11" i="11"/>
  <c r="T11" i="11"/>
  <c r="Q11" i="11"/>
  <c r="P11" i="11"/>
  <c r="O11" i="11"/>
  <c r="L11" i="11"/>
  <c r="K11" i="11"/>
  <c r="J11" i="11"/>
  <c r="G11" i="11"/>
  <c r="F11" i="11"/>
  <c r="E11" i="11"/>
  <c r="W10" i="11"/>
  <c r="V10" i="11"/>
  <c r="U10" i="11"/>
  <c r="T10" i="11"/>
  <c r="Q10" i="11"/>
  <c r="P10" i="11"/>
  <c r="O10" i="11"/>
  <c r="L10" i="11"/>
  <c r="K10" i="11"/>
  <c r="J10" i="11"/>
  <c r="G10" i="11"/>
  <c r="F10" i="11"/>
  <c r="E10" i="11"/>
  <c r="W9" i="11"/>
  <c r="V9" i="11"/>
  <c r="U9" i="11"/>
  <c r="T9" i="11"/>
  <c r="Q9" i="11"/>
  <c r="P9" i="11"/>
  <c r="O9" i="11"/>
  <c r="L9" i="11"/>
  <c r="K9" i="11"/>
  <c r="J9" i="11"/>
  <c r="G9" i="11"/>
  <c r="F9" i="11"/>
  <c r="E9" i="11"/>
  <c r="W8" i="11"/>
  <c r="V8" i="11"/>
  <c r="U8" i="11"/>
  <c r="T8" i="11"/>
  <c r="Q8" i="11"/>
  <c r="P8" i="11"/>
  <c r="O8" i="11"/>
  <c r="L8" i="11"/>
  <c r="K8" i="11"/>
  <c r="J8" i="11"/>
  <c r="G8" i="11"/>
  <c r="F8" i="11"/>
  <c r="E8" i="11"/>
  <c r="W7" i="11"/>
  <c r="V7" i="11"/>
  <c r="U7" i="11"/>
  <c r="T7" i="11"/>
  <c r="Q7" i="11"/>
  <c r="P7" i="11"/>
  <c r="O7" i="11"/>
  <c r="L7" i="11"/>
  <c r="K7" i="11"/>
  <c r="J7" i="11"/>
  <c r="G7" i="11"/>
  <c r="F7" i="11"/>
  <c r="E7" i="11"/>
  <c r="W6" i="11"/>
  <c r="V6" i="11"/>
  <c r="U6" i="11"/>
  <c r="T6" i="11"/>
  <c r="Q6" i="11"/>
  <c r="P6" i="11"/>
  <c r="O6" i="11"/>
  <c r="L6" i="11"/>
  <c r="K6" i="11"/>
  <c r="J6" i="11"/>
  <c r="G6" i="11"/>
  <c r="F6" i="11"/>
  <c r="E6" i="11"/>
  <c r="W5" i="11"/>
  <c r="V5" i="11"/>
  <c r="U5" i="11"/>
  <c r="T5" i="11"/>
  <c r="Q5" i="11"/>
  <c r="P5" i="11"/>
  <c r="O5" i="11"/>
  <c r="L5" i="11"/>
  <c r="K5" i="11"/>
  <c r="J5" i="11"/>
  <c r="G5" i="11"/>
  <c r="F5" i="11"/>
  <c r="E5" i="11"/>
  <c r="F18" i="16" l="1"/>
  <c r="G18" i="16" s="1"/>
  <c r="W18" i="16" s="1"/>
  <c r="J37" i="16"/>
  <c r="F17" i="16"/>
  <c r="G17" i="16" s="1"/>
  <c r="W17" i="16" s="1"/>
  <c r="F16" i="16"/>
  <c r="G16" i="16" s="1"/>
  <c r="W16" i="16" s="1"/>
  <c r="K37" i="16"/>
  <c r="F15" i="16"/>
  <c r="G15" i="16" s="1"/>
  <c r="W15" i="16" s="1"/>
  <c r="E37" i="16"/>
  <c r="F13" i="16"/>
  <c r="G13" i="16"/>
  <c r="W6" i="15"/>
  <c r="J35" i="15"/>
  <c r="K35" i="15"/>
  <c r="L37" i="16"/>
  <c r="W6" i="16"/>
  <c r="L8" i="16"/>
  <c r="W8" i="16" s="1"/>
  <c r="F37" i="16" l="1"/>
  <c r="W13" i="16"/>
  <c r="G37" i="16"/>
  <c r="W37" i="16" s="1"/>
  <c r="L11" i="15"/>
  <c r="W11" i="15" l="1"/>
  <c r="L35" i="15"/>
  <c r="W35" i="15" s="1"/>
</calcChain>
</file>

<file path=xl/sharedStrings.xml><?xml version="1.0" encoding="utf-8"?>
<sst xmlns="http://schemas.openxmlformats.org/spreadsheetml/2006/main" count="401" uniqueCount="37">
  <si>
    <t xml:space="preserve">Công Ty TNHH ROCHDALE SPEARS </t>
  </si>
  <si>
    <t xml:space="preserve">Đại diện </t>
  </si>
  <si>
    <r>
      <t xml:space="preserve">Thành tiền
</t>
    </r>
    <r>
      <rPr>
        <i/>
        <sz val="9"/>
        <color indexed="10"/>
        <rFont val="Arial"/>
        <family val="2"/>
      </rPr>
      <t>Total amount</t>
    </r>
  </si>
  <si>
    <r>
      <t xml:space="preserve">Đơn giá
</t>
    </r>
    <r>
      <rPr>
        <i/>
        <sz val="9"/>
        <color indexed="10"/>
        <rFont val="Arial"/>
        <family val="2"/>
      </rPr>
      <t>Unit price</t>
    </r>
  </si>
  <si>
    <r>
      <t xml:space="preserve">Số 
Lượng (Kg)
</t>
    </r>
    <r>
      <rPr>
        <i/>
        <sz val="9"/>
        <color indexed="10"/>
        <rFont val="Arial"/>
        <family val="2"/>
      </rPr>
      <t xml:space="preserve">Quantity </t>
    </r>
  </si>
  <si>
    <r>
      <t xml:space="preserve">Số 
Lượng (Xe)
</t>
    </r>
    <r>
      <rPr>
        <i/>
        <sz val="9"/>
        <color indexed="10"/>
        <rFont val="Arial"/>
        <family val="2"/>
      </rPr>
      <t xml:space="preserve">Quantity </t>
    </r>
  </si>
  <si>
    <t>Supplier: THANH LONG</t>
  </si>
  <si>
    <r>
      <t xml:space="preserve">Tổng
</t>
    </r>
    <r>
      <rPr>
        <b/>
        <i/>
        <sz val="9"/>
        <color indexed="10"/>
        <rFont val="Arial"/>
        <family val="2"/>
      </rPr>
      <t>Total</t>
    </r>
  </si>
  <si>
    <r>
      <t xml:space="preserve"> Sắt phế liệu (kg)
</t>
    </r>
    <r>
      <rPr>
        <b/>
        <i/>
        <sz val="9"/>
        <color indexed="10"/>
        <rFont val="Arial"/>
        <family val="2"/>
      </rPr>
      <t>Scrap iron</t>
    </r>
  </si>
  <si>
    <r>
      <t xml:space="preserve">Giấy nhám (kg)
</t>
    </r>
    <r>
      <rPr>
        <b/>
        <i/>
        <sz val="9"/>
        <color indexed="10"/>
        <rFont val="Arial"/>
        <family val="2"/>
      </rPr>
      <t>Sandpaper</t>
    </r>
  </si>
  <si>
    <r>
      <t xml:space="preserve">Củi ( 15 kệ củi/ xe )
</t>
    </r>
    <r>
      <rPr>
        <b/>
        <i/>
        <sz val="9"/>
        <color indexed="10"/>
        <rFont val="Arial"/>
        <family val="2"/>
      </rPr>
      <t>Firewood</t>
    </r>
  </si>
  <si>
    <r>
      <t xml:space="preserve">Dăm bào (Xe)
</t>
    </r>
    <r>
      <rPr>
        <b/>
        <i/>
        <sz val="9"/>
        <color indexed="10"/>
        <rFont val="Arial"/>
        <family val="2"/>
      </rPr>
      <t>Saw dust</t>
    </r>
  </si>
  <si>
    <r>
      <t xml:space="preserve">Ngày
</t>
    </r>
    <r>
      <rPr>
        <b/>
        <i/>
        <sz val="9"/>
        <color indexed="10"/>
        <rFont val="Arial"/>
        <family val="2"/>
      </rPr>
      <t>Date</t>
    </r>
  </si>
  <si>
    <r>
      <t xml:space="preserve">STT
</t>
    </r>
    <r>
      <rPr>
        <b/>
        <i/>
        <sz val="9"/>
        <color indexed="10"/>
        <rFont val="Arial"/>
        <family val="2"/>
      </rPr>
      <t>No</t>
    </r>
  </si>
  <si>
    <r>
      <t xml:space="preserve">BẢNG TỔNG HỢP THU TIỀN BÁN PHẾ LIỆU NHÀ MÁY 1 THÁNG 01 NĂM 2026
</t>
    </r>
    <r>
      <rPr>
        <b/>
        <i/>
        <sz val="13"/>
        <color indexed="10"/>
        <rFont val="Arial"/>
        <family val="2"/>
      </rPr>
      <t>SUMMARY WASTE DISPOSAL - PLANT 1 Dec 2026</t>
    </r>
  </si>
  <si>
    <t>CÔNG TY TNHH TM-XD XỬ LÝ MÔI TRƯỜNG TẤN TÀI</t>
  </si>
  <si>
    <t>CÔNG TY TNHH TM-XD XỬ LÝ MÔI TRƯỜNG THANH LONG</t>
  </si>
  <si>
    <t>Supplier: TẤN TÀI</t>
  </si>
  <si>
    <r>
      <t xml:space="preserve">BẢNG TỔNG HỢP THU TIỀN BÁN PHẾ LIỆU NHÀ MÁY 1 THÁNG 02 NĂM 2026
</t>
    </r>
    <r>
      <rPr>
        <b/>
        <i/>
        <sz val="13"/>
        <color indexed="10"/>
        <rFont val="Arial"/>
        <family val="2"/>
      </rPr>
      <t>SUMMARY WASTE DISPOSAL - PLANT 1 Feb 2026</t>
    </r>
  </si>
  <si>
    <r>
      <t xml:space="preserve">Đơn giá trước thuế
</t>
    </r>
    <r>
      <rPr>
        <i/>
        <sz val="9"/>
        <color indexed="10"/>
        <rFont val="Arial"/>
        <family val="2"/>
      </rPr>
      <t>Unit price</t>
    </r>
  </si>
  <si>
    <r>
      <t xml:space="preserve">Đơn giá thuế
</t>
    </r>
    <r>
      <rPr>
        <i/>
        <sz val="9"/>
        <color indexed="10"/>
        <rFont val="Arial"/>
        <family val="2"/>
      </rPr>
      <t>Unit price</t>
    </r>
  </si>
  <si>
    <r>
      <t xml:space="preserve">Thành tiền trước thuế
</t>
    </r>
    <r>
      <rPr>
        <i/>
        <sz val="9"/>
        <color indexed="10"/>
        <rFont val="Arial"/>
        <family val="2"/>
      </rPr>
      <t>Total amount</t>
    </r>
  </si>
  <si>
    <r>
      <t xml:space="preserve">Thành tiền thuế
</t>
    </r>
    <r>
      <rPr>
        <i/>
        <sz val="9"/>
        <color indexed="10"/>
        <rFont val="Arial"/>
        <family val="2"/>
      </rPr>
      <t>Total amount</t>
    </r>
  </si>
  <si>
    <t>VAT (8%)</t>
  </si>
  <si>
    <r>
      <t xml:space="preserve">Thanh tien truoc thue
</t>
    </r>
    <r>
      <rPr>
        <i/>
        <sz val="9"/>
        <color indexed="10"/>
        <rFont val="Arial"/>
        <family val="2"/>
      </rPr>
      <t>Unit price</t>
    </r>
  </si>
  <si>
    <r>
      <t xml:space="preserve">Thành tiền sau thue
</t>
    </r>
    <r>
      <rPr>
        <i/>
        <sz val="9"/>
        <color indexed="10"/>
        <rFont val="Arial"/>
        <family val="2"/>
      </rPr>
      <t>Total amount</t>
    </r>
  </si>
  <si>
    <t>VAT (10%)</t>
  </si>
  <si>
    <r>
      <t xml:space="preserve">Thành tiền sau thuế
</t>
    </r>
    <r>
      <rPr>
        <i/>
        <sz val="9"/>
        <color indexed="10"/>
        <rFont val="Arial"/>
        <family val="2"/>
      </rPr>
      <t>Total amount</t>
    </r>
  </si>
  <si>
    <r>
      <t xml:space="preserve">Đơn giá trước thuế
</t>
    </r>
    <r>
      <rPr>
        <i/>
        <sz val="9"/>
        <color indexed="10"/>
        <rFont val="Arial"/>
        <family val="2"/>
      </rPr>
      <t>Unit price excluding VAT</t>
    </r>
  </si>
  <si>
    <r>
      <t xml:space="preserve">Thành tiền trước thuế
</t>
    </r>
    <r>
      <rPr>
        <i/>
        <sz val="9"/>
        <color indexed="10"/>
        <rFont val="Arial"/>
        <family val="2"/>
      </rPr>
      <t>Total excluding VAT</t>
    </r>
  </si>
  <si>
    <r>
      <t xml:space="preserve">BẢNG TỔNG HỢP THU TIỀN BÁN PHẾ LIỆU NHÀ MÁY 1 THÁNG 02 NĂM 2026
</t>
    </r>
    <r>
      <rPr>
        <b/>
        <i/>
        <sz val="13"/>
        <color indexed="10"/>
        <rFont val="Arial"/>
        <family val="2"/>
      </rPr>
      <t>SUMMARY WASTE DISPOSAL - PLANT 1 Apr 2026</t>
    </r>
  </si>
  <si>
    <r>
      <t xml:space="preserve">BẢNG TỔNG HỢP THU TIỀN BÁN PHẾ LIỆU NHÀ MÁY 1 THÁNG 02 NĂM 2026
</t>
    </r>
    <r>
      <rPr>
        <b/>
        <i/>
        <sz val="13"/>
        <color indexed="10"/>
        <rFont val="Arial"/>
        <family val="2"/>
      </rPr>
      <t>SUMMARY WASTE DISPOSAL - PLANT 1 May 2026</t>
    </r>
  </si>
  <si>
    <t xml:space="preserve">CÔNG TY TNHH ROCHDALE SPEARS </t>
  </si>
  <si>
    <r>
      <t xml:space="preserve">BẢNG TỔNG HỢP THU TIỀN BÁN PHẾ LIỆU NHÀ MÁY 1 THÁNG 06 NĂM 2026
</t>
    </r>
    <r>
      <rPr>
        <b/>
        <i/>
        <sz val="13"/>
        <color indexed="10"/>
        <rFont val="Arial"/>
        <family val="2"/>
      </rPr>
      <t>SUMMARY WASTE DISPOSAL - PLANT 1 Jun 2026</t>
    </r>
  </si>
  <si>
    <r>
      <t xml:space="preserve">BẢNG TỔNG HỢP THU TIỀN BÁN PHẾ LIỆU NHÀ MÁY 1 THÁNG 07 NĂM 2026
</t>
    </r>
    <r>
      <rPr>
        <b/>
        <i/>
        <sz val="13"/>
        <color indexed="10"/>
        <rFont val="Arial"/>
        <family val="2"/>
      </rPr>
      <t>SUMMARY WASTE DISPOSAL - PLANT 1 Jul 2026</t>
    </r>
  </si>
  <si>
    <r>
      <t xml:space="preserve">BẢNG TỔNG HỢP THU TIỀN BÁN PHẾ LIỆU NHÀ MÁY 1 THÁNG 08 NĂM 2026
</t>
    </r>
    <r>
      <rPr>
        <b/>
        <i/>
        <sz val="13"/>
        <color indexed="10"/>
        <rFont val="Arial"/>
        <family val="2"/>
      </rPr>
      <t>SUMMARY WASTE DISPOSAL - PLANT 1 Aug 2026</t>
    </r>
  </si>
  <si>
    <r>
      <t xml:space="preserve">BẢNG TỔNG HỢP THU TIỀN BÁN PHẾ LIỆU NHÀ MÁY 1 THÁNG 09 NĂM 2026
</t>
    </r>
    <r>
      <rPr>
        <b/>
        <i/>
        <sz val="13"/>
        <color indexed="10"/>
        <rFont val="Arial"/>
        <family val="2"/>
      </rPr>
      <t>SUMMARY WASTE DISPOSAL - PLANT 1 Sep 2026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</si>
</sst>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&quot; &quot;#,##0&quot; &quot;;&quot; (&quot;#,##0&quot;)&quot;;&quot; - &quot;;&quot; &quot;@&quot; &quot;"/>
    <numFmt numFmtId="165" formatCode="#,##0.0"/>
    <numFmt numFmtId="166" formatCode="&quot; &quot;#,##0&quot; &quot;;&quot; (&quot;#,##0&quot;)&quot;;&quot; -&quot;00&quot; &quot;;&quot; &quot;@&quot; &quot;"/>
    <numFmt numFmtId="167" formatCode="[$-409]d\-mmm\-yy;@"/>
    <numFmt numFmtId="168" formatCode="#,##0.000"/>
    <numFmt numFmtId="169" formatCode="#,##0.0000"/>
    <numFmt numFmtId="170" formatCode="#,##0.00000"/>
  </numFmts>
  <fonts count="14" x14ac:knownFonts="1">
    <font>
      <sz val="11"/>
      <color indexed="8"/>
      <name val="Arial"/>
      <family val="2"/>
    </font>
    <font>
      <b/>
      <sz val="9"/>
      <color rgb="FF000000"/>
      <name val="Times New Roman"/>
      <family val="1"/>
    </font>
    <font>
      <sz val="9"/>
      <color theme="1"/>
      <name val="Calibri"/>
      <family val="2"/>
      <scheme val="minor"/>
    </font>
    <font>
      <sz val="10"/>
      <name val="Arial"/>
    </font>
    <font>
      <b/>
      <sz val="9"/>
      <color rgb="FF00000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9"/>
      <color rgb="FF000000"/>
      <name val="Arial"/>
      <family val="2"/>
    </font>
    <font>
      <i/>
      <sz val="9"/>
      <color indexed="10"/>
      <name val="Arial"/>
      <family val="2"/>
    </font>
    <font>
      <b/>
      <i/>
      <sz val="9"/>
      <color indexed="10"/>
      <name val="Arial"/>
      <family val="2"/>
    </font>
    <font>
      <b/>
      <sz val="13"/>
      <color rgb="FF000000"/>
      <name val="Arial"/>
      <family val="2"/>
    </font>
    <font>
      <b/>
      <i/>
      <sz val="13"/>
      <color indexed="10"/>
      <name val="Arial"/>
      <family val="2"/>
    </font>
    <font>
      <sz val="9"/>
      <color theme="1"/>
      <name val="Calibri"/>
      <scheme val="minor"/>
    </font>
    <font>
      <b/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rgb="FFFFFFFF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rgb="FFFFFF99"/>
      </patternFill>
    </fill>
    <fill>
      <patternFill patternType="solid">
        <fgColor rgb="FFFFFF00"/>
        <bgColor rgb="FFFFFF99"/>
      </patternFill>
    </fill>
  </fills>
  <borders count="16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43" fontId="3" fillId="0" borderId="0" applyFill="0" applyBorder="0" applyAlignment="0" applyProtection="0"/>
  </cellStyleXfs>
  <cellXfs count="87">
    <xf numFmtId="0" fontId="0" fillId="0" borderId="0" xfId="0"/>
    <xf numFmtId="164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right" vertical="center"/>
    </xf>
    <xf numFmtId="0" fontId="2" fillId="0" borderId="0" xfId="0" applyFont="1"/>
    <xf numFmtId="164" fontId="2" fillId="0" borderId="1" xfId="0" applyNumberFormat="1" applyFont="1" applyBorder="1"/>
    <xf numFmtId="0" fontId="2" fillId="0" borderId="1" xfId="0" applyFont="1" applyBorder="1" applyAlignment="1">
      <alignment horizontal="right"/>
    </xf>
    <xf numFmtId="164" fontId="2" fillId="0" borderId="1" xfId="0" applyNumberFormat="1" applyFont="1" applyBorder="1" applyAlignment="1">
      <alignment horizontal="center" vertical="center"/>
    </xf>
    <xf numFmtId="165" fontId="4" fillId="3" borderId="2" xfId="1" applyNumberFormat="1" applyFont="1" applyFill="1" applyBorder="1" applyAlignment="1">
      <alignment horizontal="center" vertical="center"/>
    </xf>
    <xf numFmtId="4" fontId="4" fillId="3" borderId="2" xfId="1" applyNumberFormat="1" applyFont="1" applyFill="1" applyBorder="1" applyAlignment="1">
      <alignment horizontal="center" vertical="center"/>
    </xf>
    <xf numFmtId="0" fontId="5" fillId="4" borderId="0" xfId="0" applyFont="1" applyFill="1"/>
    <xf numFmtId="164" fontId="6" fillId="4" borderId="5" xfId="0" applyNumberFormat="1" applyFont="1" applyFill="1" applyBorder="1" applyAlignment="1">
      <alignment horizontal="center"/>
    </xf>
    <xf numFmtId="164" fontId="6" fillId="5" borderId="5" xfId="0" applyNumberFormat="1" applyFont="1" applyFill="1" applyBorder="1" applyAlignment="1">
      <alignment horizontal="center"/>
    </xf>
    <xf numFmtId="3" fontId="6" fillId="5" borderId="5" xfId="0" applyNumberFormat="1" applyFont="1" applyFill="1" applyBorder="1" applyAlignment="1">
      <alignment horizontal="center"/>
    </xf>
    <xf numFmtId="166" fontId="6" fillId="5" borderId="5" xfId="1" applyNumberFormat="1" applyFont="1" applyFill="1" applyBorder="1" applyAlignment="1">
      <alignment horizontal="center"/>
    </xf>
    <xf numFmtId="3" fontId="6" fillId="5" borderId="5" xfId="0" applyNumberFormat="1" applyFont="1" applyFill="1" applyBorder="1" applyAlignment="1">
      <alignment horizontal="center" vertical="center"/>
    </xf>
    <xf numFmtId="164" fontId="6" fillId="4" borderId="5" xfId="0" applyNumberFormat="1" applyFont="1" applyFill="1" applyBorder="1" applyAlignment="1">
      <alignment horizontal="center" vertical="center"/>
    </xf>
    <xf numFmtId="3" fontId="6" fillId="5" borderId="5" xfId="0" applyNumberFormat="1" applyFont="1" applyFill="1" applyBorder="1" applyAlignment="1">
      <alignment horizontal="right"/>
    </xf>
    <xf numFmtId="13" fontId="6" fillId="4" borderId="5" xfId="0" applyNumberFormat="1" applyFont="1" applyFill="1" applyBorder="1" applyAlignment="1">
      <alignment horizontal="center" vertical="center"/>
    </xf>
    <xf numFmtId="4" fontId="6" fillId="4" borderId="5" xfId="0" applyNumberFormat="1" applyFont="1" applyFill="1" applyBorder="1" applyAlignment="1">
      <alignment horizontal="center" vertical="center"/>
    </xf>
    <xf numFmtId="167" fontId="6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/>
    </xf>
    <xf numFmtId="0" fontId="0" fillId="4" borderId="0" xfId="0" applyFill="1"/>
    <xf numFmtId="164" fontId="7" fillId="5" borderId="5" xfId="0" applyNumberFormat="1" applyFont="1" applyFill="1" applyBorder="1" applyAlignment="1">
      <alignment horizontal="center"/>
    </xf>
    <xf numFmtId="166" fontId="7" fillId="5" borderId="5" xfId="1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 vertical="center" wrapText="1"/>
    </xf>
    <xf numFmtId="167" fontId="4" fillId="9" borderId="5" xfId="0" applyNumberFormat="1" applyFont="1" applyFill="1" applyBorder="1" applyAlignment="1">
      <alignment horizontal="center" vertical="center" wrapText="1"/>
    </xf>
    <xf numFmtId="0" fontId="4" fillId="9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2" fontId="6" fillId="4" borderId="5" xfId="0" quotePrefix="1" applyNumberFormat="1" applyFont="1" applyFill="1" applyBorder="1" applyAlignment="1">
      <alignment horizontal="center" vertical="center"/>
    </xf>
    <xf numFmtId="2" fontId="6" fillId="4" borderId="5" xfId="0" applyNumberFormat="1" applyFont="1" applyFill="1" applyBorder="1" applyAlignment="1">
      <alignment horizontal="center" vertical="center"/>
    </xf>
    <xf numFmtId="3" fontId="0" fillId="0" borderId="0" xfId="0" applyNumberFormat="1"/>
    <xf numFmtId="165" fontId="0" fillId="0" borderId="0" xfId="0" applyNumberFormat="1"/>
    <xf numFmtId="165" fontId="4" fillId="3" borderId="0" xfId="1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center" vertical="center"/>
    </xf>
    <xf numFmtId="169" fontId="4" fillId="3" borderId="2" xfId="1" applyNumberFormat="1" applyFont="1" applyFill="1" applyBorder="1" applyAlignment="1">
      <alignment horizontal="center" vertical="center"/>
    </xf>
    <xf numFmtId="170" fontId="4" fillId="3" borderId="2" xfId="1" applyNumberFormat="1" applyFont="1" applyFill="1" applyBorder="1" applyAlignment="1">
      <alignment horizontal="center" vertical="center"/>
    </xf>
    <xf numFmtId="3" fontId="4" fillId="3" borderId="2" xfId="1" applyNumberFormat="1" applyFont="1" applyFill="1" applyBorder="1" applyAlignment="1">
      <alignment horizontal="center" vertical="center"/>
    </xf>
    <xf numFmtId="3" fontId="13" fillId="10" borderId="5" xfId="0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right" vertical="center"/>
    </xf>
    <xf numFmtId="3" fontId="6" fillId="5" borderId="5" xfId="0" applyNumberFormat="1" applyFont="1" applyFill="1" applyBorder="1" applyAlignment="1">
      <alignment horizontal="right" vertical="center"/>
    </xf>
    <xf numFmtId="164" fontId="6" fillId="5" borderId="5" xfId="0" applyNumberFormat="1" applyFont="1" applyFill="1" applyBorder="1" applyAlignment="1">
      <alignment horizontal="right" vertical="center"/>
    </xf>
    <xf numFmtId="164" fontId="6" fillId="5" borderId="5" xfId="0" applyNumberFormat="1" applyFont="1" applyFill="1" applyBorder="1" applyAlignment="1">
      <alignment horizontal="right"/>
    </xf>
    <xf numFmtId="168" fontId="6" fillId="5" borderId="5" xfId="0" applyNumberFormat="1" applyFont="1" applyFill="1" applyBorder="1" applyAlignment="1">
      <alignment horizontal="right" vertical="center"/>
    </xf>
    <xf numFmtId="169" fontId="6" fillId="5" borderId="5" xfId="0" applyNumberFormat="1" applyFont="1" applyFill="1" applyBorder="1" applyAlignment="1">
      <alignment horizontal="right" vertical="center"/>
    </xf>
    <xf numFmtId="164" fontId="6" fillId="4" borderId="5" xfId="0" applyNumberFormat="1" applyFont="1" applyFill="1" applyBorder="1" applyAlignment="1">
      <alignment horizontal="right" vertical="center"/>
    </xf>
    <xf numFmtId="164" fontId="7" fillId="5" borderId="5" xfId="0" applyNumberFormat="1" applyFont="1" applyFill="1" applyBorder="1" applyAlignment="1">
      <alignment horizontal="right" vertical="center"/>
    </xf>
    <xf numFmtId="166" fontId="6" fillId="5" borderId="5" xfId="1" applyNumberFormat="1" applyFont="1" applyFill="1" applyBorder="1" applyAlignment="1">
      <alignment horizontal="center" vertical="center"/>
    </xf>
    <xf numFmtId="166" fontId="7" fillId="5" borderId="5" xfId="1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43" fontId="3" fillId="5" borderId="5" xfId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4" borderId="6" xfId="0" applyFont="1" applyFill="1" applyBorder="1" applyAlignment="1">
      <alignment horizontal="center" vertical="center"/>
    </xf>
    <xf numFmtId="164" fontId="6" fillId="5" borderId="5" xfId="0" applyNumberFormat="1" applyFont="1" applyFill="1" applyBorder="1" applyAlignment="1">
      <alignment vertical="center"/>
    </xf>
    <xf numFmtId="169" fontId="6" fillId="5" borderId="5" xfId="0" applyNumberFormat="1" applyFont="1" applyFill="1" applyBorder="1" applyAlignment="1">
      <alignment horizontal="center" vertical="center"/>
    </xf>
    <xf numFmtId="165" fontId="4" fillId="3" borderId="2" xfId="1" applyNumberFormat="1" applyFont="1" applyFill="1" applyBorder="1" applyAlignment="1">
      <alignment vertical="center"/>
    </xf>
    <xf numFmtId="165" fontId="4" fillId="3" borderId="2" xfId="1" applyNumberFormat="1" applyFont="1" applyFill="1" applyBorder="1" applyAlignment="1">
      <alignment horizontal="right" vertical="center"/>
    </xf>
    <xf numFmtId="165" fontId="4" fillId="11" borderId="2" xfId="1" applyNumberFormat="1" applyFont="1" applyFill="1" applyBorder="1" applyAlignment="1">
      <alignment vertical="center"/>
    </xf>
    <xf numFmtId="165" fontId="4" fillId="11" borderId="2" xfId="1" applyNumberFormat="1" applyFont="1" applyFill="1" applyBorder="1" applyAlignment="1">
      <alignment horizontal="right" vertical="center"/>
    </xf>
    <xf numFmtId="164" fontId="2" fillId="0" borderId="1" xfId="0" quotePrefix="1" applyNumberFormat="1" applyFont="1" applyBorder="1" applyAlignment="1">
      <alignment horizontal="center" vertical="center"/>
    </xf>
    <xf numFmtId="4" fontId="4" fillId="12" borderId="2" xfId="1" applyNumberFormat="1" applyFont="1" applyFill="1" applyBorder="1" applyAlignment="1">
      <alignment horizontal="center" vertical="center"/>
    </xf>
    <xf numFmtId="4" fontId="6" fillId="0" borderId="5" xfId="0" applyNumberFormat="1" applyFont="1" applyBorder="1" applyAlignment="1">
      <alignment horizontal="center" vertical="center"/>
    </xf>
    <xf numFmtId="2" fontId="6" fillId="0" borderId="5" xfId="0" applyNumberFormat="1" applyFont="1" applyBorder="1" applyAlignment="1">
      <alignment horizontal="center" vertical="center"/>
    </xf>
    <xf numFmtId="0" fontId="2" fillId="3" borderId="4" xfId="0" applyFont="1" applyFill="1" applyBorder="1"/>
    <xf numFmtId="0" fontId="2" fillId="3" borderId="3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4" fillId="8" borderId="13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4" fillId="8" borderId="10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14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4" fillId="6" borderId="7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13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B402F07-CA9C-4F05-8A20-4830E2C0EB23}">
  <we:reference id="WA200005271" version="2.5.5.0" store="Omex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39EDF-DD78-437D-9F69-3EE58324B285}">
  <sheetPr codeName="Sheet10">
    <pageSetUpPr fitToPage="1"/>
  </sheetPr>
  <dimension ref="A1:W40"/>
  <sheetViews>
    <sheetView view="pageBreakPreview" zoomScale="115" zoomScaleNormal="115" zoomScaleSheetLayoutView="115" workbookViewId="0">
      <pane ySplit="4" topLeftCell="A19" activePane="bottomLeft" state="frozen"/>
      <selection pane="bottomLeft" activeCell="H39" sqref="H39"/>
    </sheetView>
  </sheetViews>
  <sheetFormatPr defaultRowHeight="14" x14ac:dyDescent="0.3"/>
  <cols>
    <col min="5" max="5" width="10.1640625" bestFit="1" customWidth="1"/>
    <col min="6" max="7" width="10.1640625" customWidth="1"/>
    <col min="10" max="10" width="9.9140625" bestFit="1" customWidth="1"/>
    <col min="11" max="12" width="9.9140625" customWidth="1"/>
    <col min="15" max="15" width="9.9140625" bestFit="1" customWidth="1"/>
    <col min="16" max="17" width="9.9140625" customWidth="1"/>
    <col min="20" max="20" width="9.9140625" bestFit="1" customWidth="1"/>
    <col min="21" max="22" width="9.9140625" customWidth="1"/>
    <col min="23" max="23" width="10.6640625" bestFit="1" customWidth="1"/>
  </cols>
  <sheetData>
    <row r="1" spans="1:23" ht="44.25" customHeight="1" x14ac:dyDescent="0.3">
      <c r="A1" s="69" t="s">
        <v>18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</row>
    <row r="2" spans="1:23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7"/>
      <c r="V2" s="27"/>
      <c r="W2" s="27"/>
    </row>
    <row r="3" spans="1:23" ht="26.25" customHeight="1" x14ac:dyDescent="0.3">
      <c r="A3" s="26" t="s">
        <v>13</v>
      </c>
      <c r="B3" s="25" t="s">
        <v>12</v>
      </c>
      <c r="C3" s="71" t="s">
        <v>11</v>
      </c>
      <c r="D3" s="72"/>
      <c r="E3" s="72"/>
      <c r="F3" s="72"/>
      <c r="G3" s="73"/>
      <c r="H3" s="74" t="s">
        <v>10</v>
      </c>
      <c r="I3" s="72"/>
      <c r="J3" s="72"/>
      <c r="K3" s="72"/>
      <c r="L3" s="73"/>
      <c r="M3" s="74" t="s">
        <v>9</v>
      </c>
      <c r="N3" s="72"/>
      <c r="O3" s="72"/>
      <c r="P3" s="72"/>
      <c r="Q3" s="73"/>
      <c r="R3" s="75" t="s">
        <v>8</v>
      </c>
      <c r="S3" s="76"/>
      <c r="T3" s="76"/>
      <c r="U3" s="76"/>
      <c r="V3" s="77"/>
      <c r="W3" s="78" t="s">
        <v>7</v>
      </c>
    </row>
    <row r="4" spans="1:23" ht="60.5" customHeight="1" x14ac:dyDescent="0.3">
      <c r="A4" s="80" t="s">
        <v>17</v>
      </c>
      <c r="B4" s="81"/>
      <c r="C4" s="24" t="s">
        <v>5</v>
      </c>
      <c r="D4" s="24" t="s">
        <v>28</v>
      </c>
      <c r="E4" s="24" t="s">
        <v>29</v>
      </c>
      <c r="F4" s="24" t="s">
        <v>23</v>
      </c>
      <c r="G4" s="24" t="s">
        <v>27</v>
      </c>
      <c r="H4" s="24" t="s">
        <v>5</v>
      </c>
      <c r="I4" s="24" t="s">
        <v>28</v>
      </c>
      <c r="J4" s="24" t="s">
        <v>29</v>
      </c>
      <c r="K4" s="24" t="s">
        <v>23</v>
      </c>
      <c r="L4" s="24" t="s">
        <v>27</v>
      </c>
      <c r="M4" s="24" t="s">
        <v>4</v>
      </c>
      <c r="N4" s="24" t="s">
        <v>28</v>
      </c>
      <c r="O4" s="24" t="s">
        <v>29</v>
      </c>
      <c r="P4" s="24" t="s">
        <v>23</v>
      </c>
      <c r="Q4" s="24" t="s">
        <v>27</v>
      </c>
      <c r="R4" s="24" t="s">
        <v>4</v>
      </c>
      <c r="S4" s="24" t="s">
        <v>28</v>
      </c>
      <c r="T4" s="24" t="s">
        <v>29</v>
      </c>
      <c r="U4" s="24" t="s">
        <v>26</v>
      </c>
      <c r="V4" s="24" t="s">
        <v>27</v>
      </c>
      <c r="W4" s="79"/>
    </row>
    <row r="5" spans="1:23" s="21" customFormat="1" x14ac:dyDescent="0.3">
      <c r="A5" s="54">
        <v>1</v>
      </c>
      <c r="B5" s="19">
        <v>46105</v>
      </c>
      <c r="C5" s="18"/>
      <c r="D5" s="40">
        <v>2268519</v>
      </c>
      <c r="E5" s="55">
        <f>ROUND(D5*C5,0)</f>
        <v>0</v>
      </c>
      <c r="F5" s="55">
        <f>ROUND(E5*8%,0)</f>
        <v>0</v>
      </c>
      <c r="G5" s="55">
        <f>E5+F5</f>
        <v>0</v>
      </c>
      <c r="H5" s="31"/>
      <c r="I5" s="40">
        <v>2268519</v>
      </c>
      <c r="J5" s="42">
        <f>ROUND(I5*H5,0)</f>
        <v>0</v>
      </c>
      <c r="K5" s="42">
        <f>ROUND(J5*8%,0)</f>
        <v>0</v>
      </c>
      <c r="L5" s="42">
        <f>J5+K5</f>
        <v>0</v>
      </c>
      <c r="M5" s="15"/>
      <c r="N5" s="44">
        <v>6363.6360000000004</v>
      </c>
      <c r="O5" s="42">
        <f>ROUND(N5*M5,0)</f>
        <v>0</v>
      </c>
      <c r="P5" s="42">
        <f>ROUND(O5*8%,0)</f>
        <v>0</v>
      </c>
      <c r="Q5" s="42">
        <f>O5+P5</f>
        <v>0</v>
      </c>
      <c r="R5" s="49"/>
      <c r="S5" s="56">
        <v>4545.4544999999998</v>
      </c>
      <c r="T5" s="42">
        <f>ROUND(R5*S5,0)</f>
        <v>0</v>
      </c>
      <c r="U5" s="42">
        <f>ROUND(T5*10%,0)</f>
        <v>0</v>
      </c>
      <c r="V5" s="42">
        <f>ROUND(T5+U5,-1)</f>
        <v>0</v>
      </c>
      <c r="W5" s="46">
        <f>G5+L5+Q5+V5</f>
        <v>0</v>
      </c>
    </row>
    <row r="6" spans="1:23" s="21" customFormat="1" x14ac:dyDescent="0.3">
      <c r="A6" s="54">
        <v>2</v>
      </c>
      <c r="B6" s="19">
        <v>46106</v>
      </c>
      <c r="C6" s="18"/>
      <c r="D6" s="40">
        <v>2268519</v>
      </c>
      <c r="E6" s="55">
        <f t="shared" ref="E6:E37" si="0">ROUND(D6*C6,0)</f>
        <v>0</v>
      </c>
      <c r="F6" s="55">
        <f t="shared" ref="F6:F37" si="1">ROUND(E6*8%,0)</f>
        <v>0</v>
      </c>
      <c r="G6" s="55">
        <f t="shared" ref="G6:G37" si="2">E6+F6</f>
        <v>0</v>
      </c>
      <c r="H6" s="31"/>
      <c r="I6" s="40">
        <v>2268519</v>
      </c>
      <c r="J6" s="42">
        <f t="shared" ref="J6:J37" si="3">ROUND(I6*H6,0)</f>
        <v>0</v>
      </c>
      <c r="K6" s="42">
        <f t="shared" ref="K6:K37" si="4">ROUND(J6*8%,0)</f>
        <v>0</v>
      </c>
      <c r="L6" s="42">
        <f t="shared" ref="L6:L37" si="5">J6+K6</f>
        <v>0</v>
      </c>
      <c r="M6" s="15"/>
      <c r="N6" s="44">
        <v>6363.6360000000004</v>
      </c>
      <c r="O6" s="42">
        <f t="shared" ref="O6:O37" si="6">ROUND(N6*M6,0)</f>
        <v>0</v>
      </c>
      <c r="P6" s="42">
        <f t="shared" ref="P6:P37" si="7">ROUND(O6*8%,0)</f>
        <v>0</v>
      </c>
      <c r="Q6" s="42">
        <f t="shared" ref="Q6:Q37" si="8">O6+P6</f>
        <v>0</v>
      </c>
      <c r="R6" s="49"/>
      <c r="S6" s="56">
        <v>4545.4544999999998</v>
      </c>
      <c r="T6" s="42">
        <f t="shared" ref="T6:T37" si="9">ROUND(R6*S6,0)</f>
        <v>0</v>
      </c>
      <c r="U6" s="42">
        <f t="shared" ref="U6:U37" si="10">ROUND(T6*10%,0)</f>
        <v>0</v>
      </c>
      <c r="V6" s="42">
        <f t="shared" ref="V6:V37" si="11">ROUND(T6+U6,-1)</f>
        <v>0</v>
      </c>
      <c r="W6" s="46">
        <f t="shared" ref="W6:W37" si="12">G6+L6+Q6+V6</f>
        <v>0</v>
      </c>
    </row>
    <row r="7" spans="1:23" s="9" customFormat="1" x14ac:dyDescent="0.3">
      <c r="A7" s="54">
        <v>3</v>
      </c>
      <c r="B7" s="19">
        <v>46107</v>
      </c>
      <c r="C7" s="18"/>
      <c r="D7" s="40">
        <v>2268519</v>
      </c>
      <c r="E7" s="55">
        <f t="shared" si="0"/>
        <v>0</v>
      </c>
      <c r="F7" s="55">
        <f t="shared" si="1"/>
        <v>0</v>
      </c>
      <c r="G7" s="55">
        <f t="shared" si="2"/>
        <v>0</v>
      </c>
      <c r="H7" s="31"/>
      <c r="I7" s="40">
        <v>2268519</v>
      </c>
      <c r="J7" s="42">
        <f t="shared" si="3"/>
        <v>0</v>
      </c>
      <c r="K7" s="42">
        <f t="shared" si="4"/>
        <v>0</v>
      </c>
      <c r="L7" s="42">
        <f t="shared" si="5"/>
        <v>0</v>
      </c>
      <c r="M7" s="15"/>
      <c r="N7" s="44">
        <v>6363.6360000000004</v>
      </c>
      <c r="O7" s="42">
        <f t="shared" si="6"/>
        <v>0</v>
      </c>
      <c r="P7" s="42">
        <f t="shared" si="7"/>
        <v>0</v>
      </c>
      <c r="Q7" s="42">
        <f t="shared" si="8"/>
        <v>0</v>
      </c>
      <c r="R7" s="48"/>
      <c r="S7" s="56">
        <v>4545.4544999999998</v>
      </c>
      <c r="T7" s="42">
        <f t="shared" si="9"/>
        <v>0</v>
      </c>
      <c r="U7" s="42">
        <f t="shared" si="10"/>
        <v>0</v>
      </c>
      <c r="V7" s="42">
        <f t="shared" si="11"/>
        <v>0</v>
      </c>
      <c r="W7" s="46">
        <f t="shared" si="12"/>
        <v>0</v>
      </c>
    </row>
    <row r="8" spans="1:23" s="21" customFormat="1" x14ac:dyDescent="0.3">
      <c r="A8" s="54">
        <v>4</v>
      </c>
      <c r="B8" s="19">
        <v>46108</v>
      </c>
      <c r="C8" s="18"/>
      <c r="D8" s="40">
        <v>2268519</v>
      </c>
      <c r="E8" s="55">
        <f t="shared" si="0"/>
        <v>0</v>
      </c>
      <c r="F8" s="55">
        <f t="shared" si="1"/>
        <v>0</v>
      </c>
      <c r="G8" s="55">
        <f t="shared" si="2"/>
        <v>0</v>
      </c>
      <c r="H8" s="31"/>
      <c r="I8" s="40">
        <v>2268519</v>
      </c>
      <c r="J8" s="42">
        <f t="shared" si="3"/>
        <v>0</v>
      </c>
      <c r="K8" s="42">
        <f t="shared" si="4"/>
        <v>0</v>
      </c>
      <c r="L8" s="42">
        <f t="shared" si="5"/>
        <v>0</v>
      </c>
      <c r="M8" s="15"/>
      <c r="N8" s="44">
        <v>6363.6360000000004</v>
      </c>
      <c r="O8" s="42">
        <f t="shared" si="6"/>
        <v>0</v>
      </c>
      <c r="P8" s="42">
        <f t="shared" si="7"/>
        <v>0</v>
      </c>
      <c r="Q8" s="42">
        <f t="shared" si="8"/>
        <v>0</v>
      </c>
      <c r="R8" s="49"/>
      <c r="S8" s="56">
        <v>4545.4544999999998</v>
      </c>
      <c r="T8" s="42">
        <f t="shared" si="9"/>
        <v>0</v>
      </c>
      <c r="U8" s="42">
        <f t="shared" si="10"/>
        <v>0</v>
      </c>
      <c r="V8" s="42">
        <f t="shared" si="11"/>
        <v>0</v>
      </c>
      <c r="W8" s="46">
        <f t="shared" si="12"/>
        <v>0</v>
      </c>
    </row>
    <row r="9" spans="1:23" s="9" customFormat="1" x14ac:dyDescent="0.3">
      <c r="A9" s="54">
        <v>5</v>
      </c>
      <c r="B9" s="19">
        <v>46109</v>
      </c>
      <c r="C9" s="18"/>
      <c r="D9" s="40">
        <v>2268519</v>
      </c>
      <c r="E9" s="55">
        <f t="shared" si="0"/>
        <v>0</v>
      </c>
      <c r="F9" s="55">
        <f t="shared" si="1"/>
        <v>0</v>
      </c>
      <c r="G9" s="55">
        <f t="shared" si="2"/>
        <v>0</v>
      </c>
      <c r="H9" s="31"/>
      <c r="I9" s="40">
        <v>2268519</v>
      </c>
      <c r="J9" s="42">
        <f t="shared" si="3"/>
        <v>0</v>
      </c>
      <c r="K9" s="42">
        <f t="shared" si="4"/>
        <v>0</v>
      </c>
      <c r="L9" s="42">
        <f t="shared" si="5"/>
        <v>0</v>
      </c>
      <c r="M9" s="15"/>
      <c r="N9" s="44">
        <v>6363.6360000000004</v>
      </c>
      <c r="O9" s="42">
        <f t="shared" si="6"/>
        <v>0</v>
      </c>
      <c r="P9" s="42">
        <f t="shared" si="7"/>
        <v>0</v>
      </c>
      <c r="Q9" s="42">
        <f t="shared" si="8"/>
        <v>0</v>
      </c>
      <c r="R9" s="48"/>
      <c r="S9" s="56">
        <v>4545.4544999999998</v>
      </c>
      <c r="T9" s="42">
        <f t="shared" si="9"/>
        <v>0</v>
      </c>
      <c r="U9" s="42">
        <f t="shared" si="10"/>
        <v>0</v>
      </c>
      <c r="V9" s="42">
        <f t="shared" si="11"/>
        <v>0</v>
      </c>
      <c r="W9" s="46">
        <f t="shared" si="12"/>
        <v>0</v>
      </c>
    </row>
    <row r="10" spans="1:23" s="9" customFormat="1" x14ac:dyDescent="0.3">
      <c r="A10" s="54">
        <v>6</v>
      </c>
      <c r="B10" s="19">
        <v>46110</v>
      </c>
      <c r="C10" s="18"/>
      <c r="D10" s="40">
        <v>2268519</v>
      </c>
      <c r="E10" s="55">
        <f t="shared" si="0"/>
        <v>0</v>
      </c>
      <c r="F10" s="55">
        <f t="shared" si="1"/>
        <v>0</v>
      </c>
      <c r="G10" s="55">
        <f t="shared" si="2"/>
        <v>0</v>
      </c>
      <c r="H10" s="31"/>
      <c r="I10" s="40">
        <v>2268519</v>
      </c>
      <c r="J10" s="42">
        <f t="shared" si="3"/>
        <v>0</v>
      </c>
      <c r="K10" s="42">
        <f t="shared" si="4"/>
        <v>0</v>
      </c>
      <c r="L10" s="42">
        <f t="shared" si="5"/>
        <v>0</v>
      </c>
      <c r="M10" s="15"/>
      <c r="N10" s="44">
        <v>6363.6360000000004</v>
      </c>
      <c r="O10" s="42">
        <f t="shared" si="6"/>
        <v>0</v>
      </c>
      <c r="P10" s="42">
        <f t="shared" si="7"/>
        <v>0</v>
      </c>
      <c r="Q10" s="42">
        <f t="shared" si="8"/>
        <v>0</v>
      </c>
      <c r="R10" s="48"/>
      <c r="S10" s="56">
        <v>4545.4544999999998</v>
      </c>
      <c r="T10" s="42">
        <f t="shared" si="9"/>
        <v>0</v>
      </c>
      <c r="U10" s="42">
        <f t="shared" si="10"/>
        <v>0</v>
      </c>
      <c r="V10" s="42">
        <f t="shared" si="11"/>
        <v>0</v>
      </c>
      <c r="W10" s="46">
        <f t="shared" si="12"/>
        <v>0</v>
      </c>
    </row>
    <row r="11" spans="1:23" s="21" customFormat="1" x14ac:dyDescent="0.3">
      <c r="A11" s="54">
        <v>7</v>
      </c>
      <c r="B11" s="19">
        <v>46111</v>
      </c>
      <c r="C11" s="18"/>
      <c r="D11" s="40">
        <v>2268519</v>
      </c>
      <c r="E11" s="55">
        <f t="shared" si="0"/>
        <v>0</v>
      </c>
      <c r="F11" s="55">
        <f t="shared" si="1"/>
        <v>0</v>
      </c>
      <c r="G11" s="55">
        <f t="shared" si="2"/>
        <v>0</v>
      </c>
      <c r="H11" s="31"/>
      <c r="I11" s="40">
        <v>2268519</v>
      </c>
      <c r="J11" s="42">
        <f t="shared" si="3"/>
        <v>0</v>
      </c>
      <c r="K11" s="42">
        <f t="shared" si="4"/>
        <v>0</v>
      </c>
      <c r="L11" s="42">
        <f t="shared" si="5"/>
        <v>0</v>
      </c>
      <c r="M11" s="15"/>
      <c r="N11" s="44">
        <v>6363.6360000000004</v>
      </c>
      <c r="O11" s="42">
        <f t="shared" si="6"/>
        <v>0</v>
      </c>
      <c r="P11" s="42">
        <f t="shared" si="7"/>
        <v>0</v>
      </c>
      <c r="Q11" s="42">
        <f t="shared" si="8"/>
        <v>0</v>
      </c>
      <c r="R11" s="49"/>
      <c r="S11" s="56">
        <v>4545.4544999999998</v>
      </c>
      <c r="T11" s="42">
        <f t="shared" si="9"/>
        <v>0</v>
      </c>
      <c r="U11" s="42">
        <f t="shared" si="10"/>
        <v>0</v>
      </c>
      <c r="V11" s="42">
        <f t="shared" si="11"/>
        <v>0</v>
      </c>
      <c r="W11" s="46">
        <f t="shared" si="12"/>
        <v>0</v>
      </c>
    </row>
    <row r="12" spans="1:23" s="21" customFormat="1" x14ac:dyDescent="0.3">
      <c r="A12" s="54">
        <v>8</v>
      </c>
      <c r="B12" s="19">
        <v>46112</v>
      </c>
      <c r="C12" s="18"/>
      <c r="D12" s="40">
        <v>2268519</v>
      </c>
      <c r="E12" s="55">
        <f t="shared" si="0"/>
        <v>0</v>
      </c>
      <c r="F12" s="55">
        <f t="shared" si="1"/>
        <v>0</v>
      </c>
      <c r="G12" s="55">
        <f t="shared" si="2"/>
        <v>0</v>
      </c>
      <c r="H12" s="31"/>
      <c r="I12" s="40">
        <v>2268519</v>
      </c>
      <c r="J12" s="42">
        <f t="shared" si="3"/>
        <v>0</v>
      </c>
      <c r="K12" s="42">
        <f t="shared" si="4"/>
        <v>0</v>
      </c>
      <c r="L12" s="42">
        <f t="shared" si="5"/>
        <v>0</v>
      </c>
      <c r="M12" s="15"/>
      <c r="N12" s="44">
        <v>6363.6360000000004</v>
      </c>
      <c r="O12" s="42">
        <f t="shared" si="6"/>
        <v>0</v>
      </c>
      <c r="P12" s="42">
        <f t="shared" si="7"/>
        <v>0</v>
      </c>
      <c r="Q12" s="42">
        <f t="shared" si="8"/>
        <v>0</v>
      </c>
      <c r="R12" s="49"/>
      <c r="S12" s="56">
        <v>4545.4544999999998</v>
      </c>
      <c r="T12" s="42">
        <f t="shared" si="9"/>
        <v>0</v>
      </c>
      <c r="U12" s="42">
        <f t="shared" si="10"/>
        <v>0</v>
      </c>
      <c r="V12" s="42">
        <f t="shared" si="11"/>
        <v>0</v>
      </c>
      <c r="W12" s="46">
        <f t="shared" si="12"/>
        <v>0</v>
      </c>
    </row>
    <row r="13" spans="1:23" s="9" customFormat="1" x14ac:dyDescent="0.3">
      <c r="A13" s="54">
        <v>9</v>
      </c>
      <c r="B13" s="19">
        <v>46113</v>
      </c>
      <c r="C13" s="18"/>
      <c r="D13" s="40">
        <v>2268519</v>
      </c>
      <c r="E13" s="55">
        <f t="shared" si="0"/>
        <v>0</v>
      </c>
      <c r="F13" s="55">
        <f t="shared" si="1"/>
        <v>0</v>
      </c>
      <c r="G13" s="55">
        <f t="shared" si="2"/>
        <v>0</v>
      </c>
      <c r="H13" s="31"/>
      <c r="I13" s="40">
        <v>2268519</v>
      </c>
      <c r="J13" s="42">
        <f t="shared" si="3"/>
        <v>0</v>
      </c>
      <c r="K13" s="42">
        <f t="shared" si="4"/>
        <v>0</v>
      </c>
      <c r="L13" s="42">
        <f t="shared" si="5"/>
        <v>0</v>
      </c>
      <c r="M13" s="15"/>
      <c r="N13" s="44">
        <v>6363.6360000000004</v>
      </c>
      <c r="O13" s="42">
        <f t="shared" si="6"/>
        <v>0</v>
      </c>
      <c r="P13" s="42">
        <f t="shared" si="7"/>
        <v>0</v>
      </c>
      <c r="Q13" s="42">
        <f t="shared" si="8"/>
        <v>0</v>
      </c>
      <c r="R13" s="48"/>
      <c r="S13" s="56">
        <v>4545.4544999999998</v>
      </c>
      <c r="T13" s="42">
        <f t="shared" si="9"/>
        <v>0</v>
      </c>
      <c r="U13" s="42">
        <f t="shared" si="10"/>
        <v>0</v>
      </c>
      <c r="V13" s="42">
        <f t="shared" si="11"/>
        <v>0</v>
      </c>
      <c r="W13" s="46">
        <f t="shared" si="12"/>
        <v>0</v>
      </c>
    </row>
    <row r="14" spans="1:23" s="21" customFormat="1" x14ac:dyDescent="0.3">
      <c r="A14" s="54">
        <v>10</v>
      </c>
      <c r="B14" s="19">
        <v>46114</v>
      </c>
      <c r="C14" s="18"/>
      <c r="D14" s="40">
        <v>2268519</v>
      </c>
      <c r="E14" s="55">
        <f t="shared" si="0"/>
        <v>0</v>
      </c>
      <c r="F14" s="55">
        <f t="shared" si="1"/>
        <v>0</v>
      </c>
      <c r="G14" s="55">
        <f t="shared" si="2"/>
        <v>0</v>
      </c>
      <c r="H14" s="31"/>
      <c r="I14" s="40">
        <v>2268519</v>
      </c>
      <c r="J14" s="42">
        <f t="shared" si="3"/>
        <v>0</v>
      </c>
      <c r="K14" s="42">
        <f t="shared" si="4"/>
        <v>0</v>
      </c>
      <c r="L14" s="42">
        <f t="shared" si="5"/>
        <v>0</v>
      </c>
      <c r="M14" s="15"/>
      <c r="N14" s="44">
        <v>6363.6360000000004</v>
      </c>
      <c r="O14" s="42">
        <f t="shared" si="6"/>
        <v>0</v>
      </c>
      <c r="P14" s="42">
        <f t="shared" si="7"/>
        <v>0</v>
      </c>
      <c r="Q14" s="42">
        <f t="shared" si="8"/>
        <v>0</v>
      </c>
      <c r="R14" s="49"/>
      <c r="S14" s="56">
        <v>4545.4544999999998</v>
      </c>
      <c r="T14" s="42">
        <f t="shared" si="9"/>
        <v>0</v>
      </c>
      <c r="U14" s="42">
        <f t="shared" si="10"/>
        <v>0</v>
      </c>
      <c r="V14" s="42">
        <f t="shared" si="11"/>
        <v>0</v>
      </c>
      <c r="W14" s="46">
        <f t="shared" si="12"/>
        <v>0</v>
      </c>
    </row>
    <row r="15" spans="1:23" s="9" customFormat="1" x14ac:dyDescent="0.3">
      <c r="A15" s="54">
        <v>11</v>
      </c>
      <c r="B15" s="19">
        <v>46115</v>
      </c>
      <c r="C15" s="18"/>
      <c r="D15" s="40">
        <v>2268519</v>
      </c>
      <c r="E15" s="55">
        <f t="shared" si="0"/>
        <v>0</v>
      </c>
      <c r="F15" s="55">
        <f t="shared" si="1"/>
        <v>0</v>
      </c>
      <c r="G15" s="55">
        <f t="shared" si="2"/>
        <v>0</v>
      </c>
      <c r="H15" s="31"/>
      <c r="I15" s="40">
        <v>2268519</v>
      </c>
      <c r="J15" s="42">
        <f t="shared" si="3"/>
        <v>0</v>
      </c>
      <c r="K15" s="42">
        <f t="shared" si="4"/>
        <v>0</v>
      </c>
      <c r="L15" s="42">
        <f t="shared" si="5"/>
        <v>0</v>
      </c>
      <c r="M15" s="15"/>
      <c r="N15" s="44">
        <v>6363.6360000000004</v>
      </c>
      <c r="O15" s="42">
        <f t="shared" si="6"/>
        <v>0</v>
      </c>
      <c r="P15" s="42">
        <f t="shared" si="7"/>
        <v>0</v>
      </c>
      <c r="Q15" s="42">
        <f t="shared" si="8"/>
        <v>0</v>
      </c>
      <c r="R15" s="48"/>
      <c r="S15" s="56">
        <v>4545.4544999999998</v>
      </c>
      <c r="T15" s="42">
        <f t="shared" si="9"/>
        <v>0</v>
      </c>
      <c r="U15" s="42">
        <f t="shared" si="10"/>
        <v>0</v>
      </c>
      <c r="V15" s="42">
        <f t="shared" si="11"/>
        <v>0</v>
      </c>
      <c r="W15" s="46">
        <f t="shared" si="12"/>
        <v>0</v>
      </c>
    </row>
    <row r="16" spans="1:23" s="9" customFormat="1" x14ac:dyDescent="0.3">
      <c r="A16" s="54">
        <v>12</v>
      </c>
      <c r="B16" s="19">
        <v>46116</v>
      </c>
      <c r="C16" s="18"/>
      <c r="D16" s="40">
        <v>2268519</v>
      </c>
      <c r="E16" s="55">
        <f t="shared" si="0"/>
        <v>0</v>
      </c>
      <c r="F16" s="55">
        <f t="shared" si="1"/>
        <v>0</v>
      </c>
      <c r="G16" s="55">
        <f t="shared" si="2"/>
        <v>0</v>
      </c>
      <c r="H16" s="31"/>
      <c r="I16" s="40">
        <v>2268519</v>
      </c>
      <c r="J16" s="42">
        <f t="shared" si="3"/>
        <v>0</v>
      </c>
      <c r="K16" s="42">
        <f t="shared" si="4"/>
        <v>0</v>
      </c>
      <c r="L16" s="42">
        <f t="shared" si="5"/>
        <v>0</v>
      </c>
      <c r="M16" s="15"/>
      <c r="N16" s="44">
        <v>6363.6360000000004</v>
      </c>
      <c r="O16" s="42">
        <f t="shared" si="6"/>
        <v>0</v>
      </c>
      <c r="P16" s="42">
        <f t="shared" si="7"/>
        <v>0</v>
      </c>
      <c r="Q16" s="42">
        <f t="shared" si="8"/>
        <v>0</v>
      </c>
      <c r="R16" s="48"/>
      <c r="S16" s="56">
        <v>4545.4544999999998</v>
      </c>
      <c r="T16" s="42">
        <f t="shared" si="9"/>
        <v>0</v>
      </c>
      <c r="U16" s="42">
        <f t="shared" si="10"/>
        <v>0</v>
      </c>
      <c r="V16" s="42">
        <f t="shared" si="11"/>
        <v>0</v>
      </c>
      <c r="W16" s="46">
        <f t="shared" si="12"/>
        <v>0</v>
      </c>
    </row>
    <row r="17" spans="1:23" s="21" customFormat="1" x14ac:dyDescent="0.3">
      <c r="A17" s="54">
        <v>13</v>
      </c>
      <c r="B17" s="19">
        <v>46117</v>
      </c>
      <c r="C17" s="18"/>
      <c r="D17" s="40">
        <v>2268519</v>
      </c>
      <c r="E17" s="55">
        <f t="shared" si="0"/>
        <v>0</v>
      </c>
      <c r="F17" s="55">
        <f t="shared" si="1"/>
        <v>0</v>
      </c>
      <c r="G17" s="55">
        <f t="shared" si="2"/>
        <v>0</v>
      </c>
      <c r="H17" s="31"/>
      <c r="I17" s="40">
        <v>2268519</v>
      </c>
      <c r="J17" s="42">
        <f t="shared" si="3"/>
        <v>0</v>
      </c>
      <c r="K17" s="42">
        <f t="shared" si="4"/>
        <v>0</v>
      </c>
      <c r="L17" s="42">
        <f t="shared" si="5"/>
        <v>0</v>
      </c>
      <c r="M17" s="15"/>
      <c r="N17" s="44">
        <v>6363.6360000000004</v>
      </c>
      <c r="O17" s="42">
        <f t="shared" si="6"/>
        <v>0</v>
      </c>
      <c r="P17" s="42">
        <f t="shared" si="7"/>
        <v>0</v>
      </c>
      <c r="Q17" s="42">
        <f t="shared" si="8"/>
        <v>0</v>
      </c>
      <c r="R17" s="49"/>
      <c r="S17" s="56">
        <v>4545.4544999999998</v>
      </c>
      <c r="T17" s="42">
        <f t="shared" si="9"/>
        <v>0</v>
      </c>
      <c r="U17" s="42">
        <f t="shared" si="10"/>
        <v>0</v>
      </c>
      <c r="V17" s="42">
        <f t="shared" si="11"/>
        <v>0</v>
      </c>
      <c r="W17" s="46">
        <f t="shared" si="12"/>
        <v>0</v>
      </c>
    </row>
    <row r="18" spans="1:23" s="21" customFormat="1" x14ac:dyDescent="0.3">
      <c r="A18" s="54">
        <v>14</v>
      </c>
      <c r="B18" s="19">
        <v>46118</v>
      </c>
      <c r="C18" s="18"/>
      <c r="D18" s="40">
        <v>2268519</v>
      </c>
      <c r="E18" s="55">
        <f t="shared" si="0"/>
        <v>0</v>
      </c>
      <c r="F18" s="55">
        <f t="shared" si="1"/>
        <v>0</v>
      </c>
      <c r="G18" s="55">
        <f t="shared" si="2"/>
        <v>0</v>
      </c>
      <c r="H18" s="31"/>
      <c r="I18" s="40">
        <v>2268519</v>
      </c>
      <c r="J18" s="42">
        <f t="shared" si="3"/>
        <v>0</v>
      </c>
      <c r="K18" s="42">
        <f t="shared" si="4"/>
        <v>0</v>
      </c>
      <c r="L18" s="42">
        <f t="shared" si="5"/>
        <v>0</v>
      </c>
      <c r="M18" s="15"/>
      <c r="N18" s="44">
        <v>6363.6360000000004</v>
      </c>
      <c r="O18" s="42">
        <f t="shared" si="6"/>
        <v>0</v>
      </c>
      <c r="P18" s="42">
        <f t="shared" si="7"/>
        <v>0</v>
      </c>
      <c r="Q18" s="42">
        <f t="shared" si="8"/>
        <v>0</v>
      </c>
      <c r="R18" s="49"/>
      <c r="S18" s="56">
        <v>4545.4544999999998</v>
      </c>
      <c r="T18" s="42">
        <f t="shared" si="9"/>
        <v>0</v>
      </c>
      <c r="U18" s="42">
        <f t="shared" si="10"/>
        <v>0</v>
      </c>
      <c r="V18" s="42">
        <f t="shared" si="11"/>
        <v>0</v>
      </c>
      <c r="W18" s="46">
        <f t="shared" si="12"/>
        <v>0</v>
      </c>
    </row>
    <row r="19" spans="1:23" s="9" customFormat="1" x14ac:dyDescent="0.3">
      <c r="A19" s="54">
        <v>15</v>
      </c>
      <c r="B19" s="19">
        <v>46119</v>
      </c>
      <c r="C19" s="18"/>
      <c r="D19" s="40">
        <v>2268519</v>
      </c>
      <c r="E19" s="55">
        <f t="shared" si="0"/>
        <v>0</v>
      </c>
      <c r="F19" s="55">
        <f t="shared" si="1"/>
        <v>0</v>
      </c>
      <c r="G19" s="55">
        <f t="shared" si="2"/>
        <v>0</v>
      </c>
      <c r="H19" s="31"/>
      <c r="I19" s="40">
        <v>2268519</v>
      </c>
      <c r="J19" s="42">
        <f t="shared" si="3"/>
        <v>0</v>
      </c>
      <c r="K19" s="42">
        <f t="shared" si="4"/>
        <v>0</v>
      </c>
      <c r="L19" s="42">
        <f t="shared" si="5"/>
        <v>0</v>
      </c>
      <c r="M19" s="15"/>
      <c r="N19" s="44">
        <v>6363.6360000000004</v>
      </c>
      <c r="O19" s="42">
        <f t="shared" si="6"/>
        <v>0</v>
      </c>
      <c r="P19" s="42">
        <f t="shared" si="7"/>
        <v>0</v>
      </c>
      <c r="Q19" s="42">
        <f t="shared" si="8"/>
        <v>0</v>
      </c>
      <c r="R19" s="48"/>
      <c r="S19" s="56">
        <v>4545.4544999999998</v>
      </c>
      <c r="T19" s="42">
        <f t="shared" si="9"/>
        <v>0</v>
      </c>
      <c r="U19" s="42">
        <f t="shared" si="10"/>
        <v>0</v>
      </c>
      <c r="V19" s="42">
        <f t="shared" si="11"/>
        <v>0</v>
      </c>
      <c r="W19" s="46">
        <f t="shared" si="12"/>
        <v>0</v>
      </c>
    </row>
    <row r="20" spans="1:23" s="21" customFormat="1" x14ac:dyDescent="0.3">
      <c r="A20" s="54">
        <v>16</v>
      </c>
      <c r="B20" s="19">
        <v>46120</v>
      </c>
      <c r="C20" s="18"/>
      <c r="D20" s="40">
        <v>2268519</v>
      </c>
      <c r="E20" s="55">
        <f t="shared" si="0"/>
        <v>0</v>
      </c>
      <c r="F20" s="55">
        <f t="shared" si="1"/>
        <v>0</v>
      </c>
      <c r="G20" s="55">
        <f t="shared" si="2"/>
        <v>0</v>
      </c>
      <c r="H20" s="31"/>
      <c r="I20" s="40">
        <v>2268519</v>
      </c>
      <c r="J20" s="42">
        <f t="shared" si="3"/>
        <v>0</v>
      </c>
      <c r="K20" s="42">
        <f t="shared" si="4"/>
        <v>0</v>
      </c>
      <c r="L20" s="42">
        <f t="shared" si="5"/>
        <v>0</v>
      </c>
      <c r="M20" s="15"/>
      <c r="N20" s="44">
        <v>6363.6360000000004</v>
      </c>
      <c r="O20" s="42">
        <f t="shared" si="6"/>
        <v>0</v>
      </c>
      <c r="P20" s="42">
        <f t="shared" si="7"/>
        <v>0</v>
      </c>
      <c r="Q20" s="42">
        <f t="shared" si="8"/>
        <v>0</v>
      </c>
      <c r="R20" s="49"/>
      <c r="S20" s="56">
        <v>4545.4544999999998</v>
      </c>
      <c r="T20" s="42">
        <f t="shared" si="9"/>
        <v>0</v>
      </c>
      <c r="U20" s="42">
        <f t="shared" si="10"/>
        <v>0</v>
      </c>
      <c r="V20" s="42">
        <f t="shared" si="11"/>
        <v>0</v>
      </c>
      <c r="W20" s="46">
        <f t="shared" si="12"/>
        <v>0</v>
      </c>
    </row>
    <row r="21" spans="1:23" s="21" customFormat="1" x14ac:dyDescent="0.3">
      <c r="A21" s="54">
        <v>17</v>
      </c>
      <c r="B21" s="19">
        <v>46121</v>
      </c>
      <c r="C21" s="18"/>
      <c r="D21" s="40">
        <v>2268519</v>
      </c>
      <c r="E21" s="55">
        <f t="shared" si="0"/>
        <v>0</v>
      </c>
      <c r="F21" s="55">
        <f t="shared" si="1"/>
        <v>0</v>
      </c>
      <c r="G21" s="55">
        <f t="shared" si="2"/>
        <v>0</v>
      </c>
      <c r="H21" s="31"/>
      <c r="I21" s="40">
        <v>2268519</v>
      </c>
      <c r="J21" s="42">
        <f t="shared" si="3"/>
        <v>0</v>
      </c>
      <c r="K21" s="42">
        <f t="shared" si="4"/>
        <v>0</v>
      </c>
      <c r="L21" s="42">
        <f t="shared" si="5"/>
        <v>0</v>
      </c>
      <c r="M21" s="15"/>
      <c r="N21" s="44">
        <v>6363.6360000000004</v>
      </c>
      <c r="O21" s="42">
        <f t="shared" si="6"/>
        <v>0</v>
      </c>
      <c r="P21" s="42">
        <f t="shared" si="7"/>
        <v>0</v>
      </c>
      <c r="Q21" s="42">
        <f t="shared" si="8"/>
        <v>0</v>
      </c>
      <c r="R21" s="49"/>
      <c r="S21" s="56">
        <v>4545.4544999999998</v>
      </c>
      <c r="T21" s="42">
        <f t="shared" si="9"/>
        <v>0</v>
      </c>
      <c r="U21" s="42">
        <f t="shared" si="10"/>
        <v>0</v>
      </c>
      <c r="V21" s="42">
        <f t="shared" si="11"/>
        <v>0</v>
      </c>
      <c r="W21" s="46">
        <f t="shared" si="12"/>
        <v>0</v>
      </c>
    </row>
    <row r="22" spans="1:23" s="9" customFormat="1" x14ac:dyDescent="0.3">
      <c r="A22" s="54">
        <v>18</v>
      </c>
      <c r="B22" s="19">
        <v>46122</v>
      </c>
      <c r="C22" s="18"/>
      <c r="D22" s="40">
        <v>2268519</v>
      </c>
      <c r="E22" s="55">
        <f t="shared" si="0"/>
        <v>0</v>
      </c>
      <c r="F22" s="55">
        <f t="shared" si="1"/>
        <v>0</v>
      </c>
      <c r="G22" s="55">
        <f t="shared" si="2"/>
        <v>0</v>
      </c>
      <c r="H22" s="31"/>
      <c r="I22" s="40">
        <v>2268519</v>
      </c>
      <c r="J22" s="42">
        <f t="shared" si="3"/>
        <v>0</v>
      </c>
      <c r="K22" s="42">
        <f t="shared" si="4"/>
        <v>0</v>
      </c>
      <c r="L22" s="42">
        <f t="shared" si="5"/>
        <v>0</v>
      </c>
      <c r="M22" s="15"/>
      <c r="N22" s="44">
        <v>6363.6360000000004</v>
      </c>
      <c r="O22" s="42">
        <f t="shared" si="6"/>
        <v>0</v>
      </c>
      <c r="P22" s="42">
        <f t="shared" si="7"/>
        <v>0</v>
      </c>
      <c r="Q22" s="42">
        <f t="shared" si="8"/>
        <v>0</v>
      </c>
      <c r="R22" s="48"/>
      <c r="S22" s="56">
        <v>4545.4544999999998</v>
      </c>
      <c r="T22" s="42">
        <f t="shared" si="9"/>
        <v>0</v>
      </c>
      <c r="U22" s="42">
        <f t="shared" si="10"/>
        <v>0</v>
      </c>
      <c r="V22" s="42">
        <f t="shared" si="11"/>
        <v>0</v>
      </c>
      <c r="W22" s="46">
        <f t="shared" si="12"/>
        <v>0</v>
      </c>
    </row>
    <row r="23" spans="1:23" s="21" customFormat="1" x14ac:dyDescent="0.3">
      <c r="A23" s="54">
        <v>19</v>
      </c>
      <c r="B23" s="19">
        <v>46123</v>
      </c>
      <c r="C23" s="18"/>
      <c r="D23" s="40">
        <v>2268519</v>
      </c>
      <c r="E23" s="55">
        <f t="shared" si="0"/>
        <v>0</v>
      </c>
      <c r="F23" s="55">
        <f t="shared" si="1"/>
        <v>0</v>
      </c>
      <c r="G23" s="55">
        <f t="shared" si="2"/>
        <v>0</v>
      </c>
      <c r="H23" s="31"/>
      <c r="I23" s="40">
        <v>2268519</v>
      </c>
      <c r="J23" s="42">
        <f t="shared" si="3"/>
        <v>0</v>
      </c>
      <c r="K23" s="42">
        <f t="shared" si="4"/>
        <v>0</v>
      </c>
      <c r="L23" s="42">
        <f t="shared" si="5"/>
        <v>0</v>
      </c>
      <c r="M23" s="15"/>
      <c r="N23" s="44">
        <v>6363.6360000000004</v>
      </c>
      <c r="O23" s="42">
        <f t="shared" si="6"/>
        <v>0</v>
      </c>
      <c r="P23" s="42">
        <f t="shared" si="7"/>
        <v>0</v>
      </c>
      <c r="Q23" s="42">
        <f t="shared" si="8"/>
        <v>0</v>
      </c>
      <c r="R23" s="49"/>
      <c r="S23" s="56">
        <v>4545.4544999999998</v>
      </c>
      <c r="T23" s="42">
        <f t="shared" si="9"/>
        <v>0</v>
      </c>
      <c r="U23" s="42">
        <f t="shared" si="10"/>
        <v>0</v>
      </c>
      <c r="V23" s="42">
        <f t="shared" si="11"/>
        <v>0</v>
      </c>
      <c r="W23" s="46">
        <f t="shared" si="12"/>
        <v>0</v>
      </c>
    </row>
    <row r="24" spans="1:23" s="9" customFormat="1" x14ac:dyDescent="0.3">
      <c r="A24" s="54">
        <v>20</v>
      </c>
      <c r="B24" s="19">
        <v>46124</v>
      </c>
      <c r="C24" s="18"/>
      <c r="D24" s="40">
        <v>2268519</v>
      </c>
      <c r="E24" s="55">
        <f t="shared" si="0"/>
        <v>0</v>
      </c>
      <c r="F24" s="55">
        <f t="shared" si="1"/>
        <v>0</v>
      </c>
      <c r="G24" s="55">
        <f t="shared" si="2"/>
        <v>0</v>
      </c>
      <c r="H24" s="31"/>
      <c r="I24" s="40">
        <v>2268519</v>
      </c>
      <c r="J24" s="42">
        <f t="shared" si="3"/>
        <v>0</v>
      </c>
      <c r="K24" s="42">
        <f t="shared" si="4"/>
        <v>0</v>
      </c>
      <c r="L24" s="42">
        <f t="shared" si="5"/>
        <v>0</v>
      </c>
      <c r="M24" s="15"/>
      <c r="N24" s="44">
        <v>6363.6360000000004</v>
      </c>
      <c r="O24" s="42">
        <f t="shared" si="6"/>
        <v>0</v>
      </c>
      <c r="P24" s="42">
        <f t="shared" si="7"/>
        <v>0</v>
      </c>
      <c r="Q24" s="42">
        <f t="shared" si="8"/>
        <v>0</v>
      </c>
      <c r="R24" s="48"/>
      <c r="S24" s="56">
        <v>4545.4544999999998</v>
      </c>
      <c r="T24" s="42">
        <f t="shared" si="9"/>
        <v>0</v>
      </c>
      <c r="U24" s="42">
        <f t="shared" si="10"/>
        <v>0</v>
      </c>
      <c r="V24" s="42">
        <f t="shared" si="11"/>
        <v>0</v>
      </c>
      <c r="W24" s="46">
        <f t="shared" si="12"/>
        <v>0</v>
      </c>
    </row>
    <row r="25" spans="1:23" s="9" customFormat="1" x14ac:dyDescent="0.3">
      <c r="A25" s="54">
        <v>21</v>
      </c>
      <c r="B25" s="19">
        <v>46125</v>
      </c>
      <c r="C25" s="18"/>
      <c r="D25" s="40">
        <v>2268519</v>
      </c>
      <c r="E25" s="55">
        <f t="shared" si="0"/>
        <v>0</v>
      </c>
      <c r="F25" s="55">
        <f t="shared" si="1"/>
        <v>0</v>
      </c>
      <c r="G25" s="55">
        <f t="shared" si="2"/>
        <v>0</v>
      </c>
      <c r="H25" s="31"/>
      <c r="I25" s="40">
        <v>2268519</v>
      </c>
      <c r="J25" s="42">
        <f t="shared" si="3"/>
        <v>0</v>
      </c>
      <c r="K25" s="42">
        <f t="shared" si="4"/>
        <v>0</v>
      </c>
      <c r="L25" s="42">
        <f t="shared" si="5"/>
        <v>0</v>
      </c>
      <c r="M25" s="15"/>
      <c r="N25" s="44">
        <v>6363.6360000000004</v>
      </c>
      <c r="O25" s="42">
        <f t="shared" si="6"/>
        <v>0</v>
      </c>
      <c r="P25" s="42">
        <f t="shared" si="7"/>
        <v>0</v>
      </c>
      <c r="Q25" s="42">
        <f t="shared" si="8"/>
        <v>0</v>
      </c>
      <c r="R25" s="48"/>
      <c r="S25" s="56">
        <v>4545.4544999999998</v>
      </c>
      <c r="T25" s="42">
        <f t="shared" si="9"/>
        <v>0</v>
      </c>
      <c r="U25" s="42">
        <f t="shared" si="10"/>
        <v>0</v>
      </c>
      <c r="V25" s="42">
        <f t="shared" si="11"/>
        <v>0</v>
      </c>
      <c r="W25" s="46">
        <f t="shared" si="12"/>
        <v>0</v>
      </c>
    </row>
    <row r="26" spans="1:23" s="21" customFormat="1" x14ac:dyDescent="0.3">
      <c r="A26" s="54">
        <v>22</v>
      </c>
      <c r="B26" s="19">
        <v>46126</v>
      </c>
      <c r="C26" s="18"/>
      <c r="D26" s="40">
        <v>2268519</v>
      </c>
      <c r="E26" s="55">
        <f t="shared" si="0"/>
        <v>0</v>
      </c>
      <c r="F26" s="55">
        <f t="shared" si="1"/>
        <v>0</v>
      </c>
      <c r="G26" s="55">
        <f t="shared" si="2"/>
        <v>0</v>
      </c>
      <c r="H26" s="31"/>
      <c r="I26" s="40">
        <v>2268519</v>
      </c>
      <c r="J26" s="42">
        <f t="shared" si="3"/>
        <v>0</v>
      </c>
      <c r="K26" s="42">
        <f t="shared" si="4"/>
        <v>0</v>
      </c>
      <c r="L26" s="42">
        <f t="shared" si="5"/>
        <v>0</v>
      </c>
      <c r="M26" s="15"/>
      <c r="N26" s="44">
        <v>6363.6360000000004</v>
      </c>
      <c r="O26" s="42">
        <f t="shared" si="6"/>
        <v>0</v>
      </c>
      <c r="P26" s="42">
        <f t="shared" si="7"/>
        <v>0</v>
      </c>
      <c r="Q26" s="42">
        <f t="shared" si="8"/>
        <v>0</v>
      </c>
      <c r="R26" s="49"/>
      <c r="S26" s="56">
        <v>4545.4544999999998</v>
      </c>
      <c r="T26" s="42">
        <f t="shared" si="9"/>
        <v>0</v>
      </c>
      <c r="U26" s="42">
        <f t="shared" si="10"/>
        <v>0</v>
      </c>
      <c r="V26" s="42">
        <f t="shared" si="11"/>
        <v>0</v>
      </c>
      <c r="W26" s="46">
        <f t="shared" si="12"/>
        <v>0</v>
      </c>
    </row>
    <row r="27" spans="1:23" s="9" customFormat="1" x14ac:dyDescent="0.3">
      <c r="A27" s="54">
        <v>23</v>
      </c>
      <c r="B27" s="19">
        <v>46127</v>
      </c>
      <c r="C27" s="18"/>
      <c r="D27" s="40">
        <v>2268519</v>
      </c>
      <c r="E27" s="55">
        <f t="shared" si="0"/>
        <v>0</v>
      </c>
      <c r="F27" s="55">
        <f t="shared" si="1"/>
        <v>0</v>
      </c>
      <c r="G27" s="55">
        <f t="shared" si="2"/>
        <v>0</v>
      </c>
      <c r="H27" s="31"/>
      <c r="I27" s="40">
        <v>2268519</v>
      </c>
      <c r="J27" s="42">
        <f t="shared" si="3"/>
        <v>0</v>
      </c>
      <c r="K27" s="42">
        <f t="shared" si="4"/>
        <v>0</v>
      </c>
      <c r="L27" s="42">
        <f t="shared" si="5"/>
        <v>0</v>
      </c>
      <c r="M27" s="15"/>
      <c r="N27" s="44">
        <v>6363.6360000000004</v>
      </c>
      <c r="O27" s="42">
        <f t="shared" si="6"/>
        <v>0</v>
      </c>
      <c r="P27" s="42">
        <f t="shared" si="7"/>
        <v>0</v>
      </c>
      <c r="Q27" s="42">
        <f t="shared" si="8"/>
        <v>0</v>
      </c>
      <c r="R27" s="48"/>
      <c r="S27" s="56">
        <v>4545.4544999999998</v>
      </c>
      <c r="T27" s="42">
        <f t="shared" si="9"/>
        <v>0</v>
      </c>
      <c r="U27" s="42">
        <f t="shared" si="10"/>
        <v>0</v>
      </c>
      <c r="V27" s="42">
        <f t="shared" si="11"/>
        <v>0</v>
      </c>
      <c r="W27" s="46">
        <f t="shared" si="12"/>
        <v>0</v>
      </c>
    </row>
    <row r="28" spans="1:23" s="9" customFormat="1" x14ac:dyDescent="0.3">
      <c r="A28" s="54">
        <v>24</v>
      </c>
      <c r="B28" s="19">
        <v>46128</v>
      </c>
      <c r="C28" s="18"/>
      <c r="D28" s="40">
        <v>2268519</v>
      </c>
      <c r="E28" s="55">
        <f t="shared" si="0"/>
        <v>0</v>
      </c>
      <c r="F28" s="55">
        <f t="shared" si="1"/>
        <v>0</v>
      </c>
      <c r="G28" s="55">
        <f t="shared" si="2"/>
        <v>0</v>
      </c>
      <c r="H28" s="31"/>
      <c r="I28" s="40">
        <v>2268519</v>
      </c>
      <c r="J28" s="42">
        <f t="shared" si="3"/>
        <v>0</v>
      </c>
      <c r="K28" s="42">
        <f t="shared" si="4"/>
        <v>0</v>
      </c>
      <c r="L28" s="42">
        <f t="shared" si="5"/>
        <v>0</v>
      </c>
      <c r="M28" s="15"/>
      <c r="N28" s="44">
        <v>6363.6360000000004</v>
      </c>
      <c r="O28" s="42">
        <f t="shared" si="6"/>
        <v>0</v>
      </c>
      <c r="P28" s="42">
        <f t="shared" si="7"/>
        <v>0</v>
      </c>
      <c r="Q28" s="42">
        <f t="shared" si="8"/>
        <v>0</v>
      </c>
      <c r="R28" s="48"/>
      <c r="S28" s="56">
        <v>4545.4544999999998</v>
      </c>
      <c r="T28" s="42">
        <f t="shared" si="9"/>
        <v>0</v>
      </c>
      <c r="U28" s="42">
        <f t="shared" si="10"/>
        <v>0</v>
      </c>
      <c r="V28" s="42">
        <f t="shared" si="11"/>
        <v>0</v>
      </c>
      <c r="W28" s="46">
        <f t="shared" si="12"/>
        <v>0</v>
      </c>
    </row>
    <row r="29" spans="1:23" s="21" customFormat="1" x14ac:dyDescent="0.3">
      <c r="A29" s="54">
        <v>25</v>
      </c>
      <c r="B29" s="19">
        <v>46129</v>
      </c>
      <c r="C29" s="18"/>
      <c r="D29" s="40">
        <v>2268519</v>
      </c>
      <c r="E29" s="55">
        <f t="shared" si="0"/>
        <v>0</v>
      </c>
      <c r="F29" s="55">
        <f t="shared" si="1"/>
        <v>0</v>
      </c>
      <c r="G29" s="55">
        <f t="shared" si="2"/>
        <v>0</v>
      </c>
      <c r="H29" s="31"/>
      <c r="I29" s="40">
        <v>2268519</v>
      </c>
      <c r="J29" s="42">
        <f t="shared" si="3"/>
        <v>0</v>
      </c>
      <c r="K29" s="42">
        <f t="shared" si="4"/>
        <v>0</v>
      </c>
      <c r="L29" s="42">
        <f t="shared" si="5"/>
        <v>0</v>
      </c>
      <c r="M29" s="15"/>
      <c r="N29" s="44">
        <v>6363.6360000000004</v>
      </c>
      <c r="O29" s="42">
        <f t="shared" si="6"/>
        <v>0</v>
      </c>
      <c r="P29" s="42">
        <f t="shared" si="7"/>
        <v>0</v>
      </c>
      <c r="Q29" s="42">
        <f t="shared" si="8"/>
        <v>0</v>
      </c>
      <c r="R29" s="49"/>
      <c r="S29" s="56">
        <v>4545.4544999999998</v>
      </c>
      <c r="T29" s="42">
        <f t="shared" si="9"/>
        <v>0</v>
      </c>
      <c r="U29" s="42">
        <f t="shared" si="10"/>
        <v>0</v>
      </c>
      <c r="V29" s="42">
        <f t="shared" si="11"/>
        <v>0</v>
      </c>
      <c r="W29" s="46">
        <f t="shared" si="12"/>
        <v>0</v>
      </c>
    </row>
    <row r="30" spans="1:23" s="21" customFormat="1" x14ac:dyDescent="0.3">
      <c r="A30" s="54">
        <v>26</v>
      </c>
      <c r="B30" s="19">
        <v>46130</v>
      </c>
      <c r="C30" s="18"/>
      <c r="D30" s="40">
        <v>2268519</v>
      </c>
      <c r="E30" s="55">
        <f t="shared" si="0"/>
        <v>0</v>
      </c>
      <c r="F30" s="55">
        <f t="shared" si="1"/>
        <v>0</v>
      </c>
      <c r="G30" s="55">
        <f t="shared" si="2"/>
        <v>0</v>
      </c>
      <c r="H30" s="31"/>
      <c r="I30" s="40">
        <v>2268519</v>
      </c>
      <c r="J30" s="42">
        <f t="shared" si="3"/>
        <v>0</v>
      </c>
      <c r="K30" s="42">
        <f t="shared" si="4"/>
        <v>0</v>
      </c>
      <c r="L30" s="42">
        <f t="shared" si="5"/>
        <v>0</v>
      </c>
      <c r="M30" s="15"/>
      <c r="N30" s="44">
        <v>6363.6360000000004</v>
      </c>
      <c r="O30" s="42">
        <f t="shared" si="6"/>
        <v>0</v>
      </c>
      <c r="P30" s="42">
        <f t="shared" si="7"/>
        <v>0</v>
      </c>
      <c r="Q30" s="42">
        <f t="shared" si="8"/>
        <v>0</v>
      </c>
      <c r="R30" s="49"/>
      <c r="S30" s="56">
        <v>4545.4544999999998</v>
      </c>
      <c r="T30" s="42">
        <f t="shared" si="9"/>
        <v>0</v>
      </c>
      <c r="U30" s="42">
        <f t="shared" si="10"/>
        <v>0</v>
      </c>
      <c r="V30" s="42">
        <f t="shared" si="11"/>
        <v>0</v>
      </c>
      <c r="W30" s="46">
        <f t="shared" si="12"/>
        <v>0</v>
      </c>
    </row>
    <row r="31" spans="1:23" s="9" customFormat="1" x14ac:dyDescent="0.3">
      <c r="A31" s="54">
        <v>27</v>
      </c>
      <c r="B31" s="19">
        <v>46131</v>
      </c>
      <c r="C31" s="18"/>
      <c r="D31" s="40">
        <v>2268519</v>
      </c>
      <c r="E31" s="55">
        <f t="shared" si="0"/>
        <v>0</v>
      </c>
      <c r="F31" s="55">
        <f t="shared" si="1"/>
        <v>0</v>
      </c>
      <c r="G31" s="55">
        <f t="shared" si="2"/>
        <v>0</v>
      </c>
      <c r="H31" s="31"/>
      <c r="I31" s="40">
        <v>2268519</v>
      </c>
      <c r="J31" s="42">
        <f t="shared" si="3"/>
        <v>0</v>
      </c>
      <c r="K31" s="42">
        <f t="shared" si="4"/>
        <v>0</v>
      </c>
      <c r="L31" s="42">
        <f t="shared" si="5"/>
        <v>0</v>
      </c>
      <c r="M31" s="15"/>
      <c r="N31" s="44">
        <v>6363.6360000000004</v>
      </c>
      <c r="O31" s="42">
        <f t="shared" si="6"/>
        <v>0</v>
      </c>
      <c r="P31" s="42">
        <f t="shared" si="7"/>
        <v>0</v>
      </c>
      <c r="Q31" s="42">
        <f t="shared" si="8"/>
        <v>0</v>
      </c>
      <c r="R31" s="48"/>
      <c r="S31" s="56">
        <v>4545.4544999999998</v>
      </c>
      <c r="T31" s="42">
        <f t="shared" si="9"/>
        <v>0</v>
      </c>
      <c r="U31" s="42">
        <f t="shared" si="10"/>
        <v>0</v>
      </c>
      <c r="V31" s="42">
        <f t="shared" si="11"/>
        <v>0</v>
      </c>
      <c r="W31" s="46">
        <f t="shared" si="12"/>
        <v>0</v>
      </c>
    </row>
    <row r="32" spans="1:23" s="21" customFormat="1" x14ac:dyDescent="0.3">
      <c r="A32" s="54">
        <v>28</v>
      </c>
      <c r="B32" s="19">
        <v>46132</v>
      </c>
      <c r="C32" s="18"/>
      <c r="D32" s="40">
        <v>2268519</v>
      </c>
      <c r="E32" s="55">
        <f t="shared" si="0"/>
        <v>0</v>
      </c>
      <c r="F32" s="55">
        <f t="shared" si="1"/>
        <v>0</v>
      </c>
      <c r="G32" s="55">
        <f t="shared" si="2"/>
        <v>0</v>
      </c>
      <c r="H32" s="31"/>
      <c r="I32" s="40">
        <v>2268519</v>
      </c>
      <c r="J32" s="42">
        <f t="shared" si="3"/>
        <v>0</v>
      </c>
      <c r="K32" s="42">
        <f t="shared" si="4"/>
        <v>0</v>
      </c>
      <c r="L32" s="42">
        <f t="shared" si="5"/>
        <v>0</v>
      </c>
      <c r="M32" s="15"/>
      <c r="N32" s="44">
        <v>6363.6360000000004</v>
      </c>
      <c r="O32" s="42">
        <f t="shared" si="6"/>
        <v>0</v>
      </c>
      <c r="P32" s="42">
        <f t="shared" si="7"/>
        <v>0</v>
      </c>
      <c r="Q32" s="42">
        <f t="shared" si="8"/>
        <v>0</v>
      </c>
      <c r="R32" s="49"/>
      <c r="S32" s="56">
        <v>4545.4544999999998</v>
      </c>
      <c r="T32" s="42">
        <f t="shared" si="9"/>
        <v>0</v>
      </c>
      <c r="U32" s="42">
        <f t="shared" si="10"/>
        <v>0</v>
      </c>
      <c r="V32" s="42">
        <f t="shared" si="11"/>
        <v>0</v>
      </c>
      <c r="W32" s="46">
        <f t="shared" si="12"/>
        <v>0</v>
      </c>
    </row>
    <row r="33" spans="1:23" s="9" customFormat="1" x14ac:dyDescent="0.3">
      <c r="A33" s="54">
        <v>29</v>
      </c>
      <c r="B33" s="19">
        <v>46133</v>
      </c>
      <c r="C33" s="18"/>
      <c r="D33" s="40">
        <v>2268519</v>
      </c>
      <c r="E33" s="55">
        <f t="shared" si="0"/>
        <v>0</v>
      </c>
      <c r="F33" s="55">
        <f t="shared" si="1"/>
        <v>0</v>
      </c>
      <c r="G33" s="55">
        <f t="shared" si="2"/>
        <v>0</v>
      </c>
      <c r="H33" s="31"/>
      <c r="I33" s="40">
        <v>2268519</v>
      </c>
      <c r="J33" s="42">
        <f t="shared" si="3"/>
        <v>0</v>
      </c>
      <c r="K33" s="42">
        <f t="shared" si="4"/>
        <v>0</v>
      </c>
      <c r="L33" s="42">
        <f t="shared" si="5"/>
        <v>0</v>
      </c>
      <c r="M33" s="15"/>
      <c r="N33" s="44">
        <v>6363.6360000000004</v>
      </c>
      <c r="O33" s="42">
        <f t="shared" si="6"/>
        <v>0</v>
      </c>
      <c r="P33" s="42">
        <f t="shared" si="7"/>
        <v>0</v>
      </c>
      <c r="Q33" s="42">
        <f t="shared" si="8"/>
        <v>0</v>
      </c>
      <c r="R33" s="48"/>
      <c r="S33" s="56">
        <v>4545.4544999999998</v>
      </c>
      <c r="T33" s="42">
        <f t="shared" si="9"/>
        <v>0</v>
      </c>
      <c r="U33" s="42">
        <f t="shared" si="10"/>
        <v>0</v>
      </c>
      <c r="V33" s="42">
        <f t="shared" si="11"/>
        <v>0</v>
      </c>
      <c r="W33" s="46">
        <f t="shared" si="12"/>
        <v>0</v>
      </c>
    </row>
    <row r="34" spans="1:23" s="9" customFormat="1" x14ac:dyDescent="0.3">
      <c r="A34" s="54">
        <v>30</v>
      </c>
      <c r="B34" s="19">
        <v>46134</v>
      </c>
      <c r="C34" s="18"/>
      <c r="D34" s="40">
        <v>2268519</v>
      </c>
      <c r="E34" s="55">
        <f t="shared" si="0"/>
        <v>0</v>
      </c>
      <c r="F34" s="55">
        <f t="shared" si="1"/>
        <v>0</v>
      </c>
      <c r="G34" s="55">
        <f t="shared" si="2"/>
        <v>0</v>
      </c>
      <c r="H34" s="31"/>
      <c r="I34" s="40">
        <v>2268519</v>
      </c>
      <c r="J34" s="42">
        <f t="shared" si="3"/>
        <v>0</v>
      </c>
      <c r="K34" s="42">
        <f t="shared" si="4"/>
        <v>0</v>
      </c>
      <c r="L34" s="42">
        <f t="shared" si="5"/>
        <v>0</v>
      </c>
      <c r="M34" s="15"/>
      <c r="N34" s="44">
        <v>6363.6360000000004</v>
      </c>
      <c r="O34" s="42">
        <f t="shared" si="6"/>
        <v>0</v>
      </c>
      <c r="P34" s="42">
        <f t="shared" si="7"/>
        <v>0</v>
      </c>
      <c r="Q34" s="42">
        <f t="shared" si="8"/>
        <v>0</v>
      </c>
      <c r="R34" s="48"/>
      <c r="S34" s="56">
        <v>4545.4544999999998</v>
      </c>
      <c r="T34" s="42">
        <f t="shared" si="9"/>
        <v>0</v>
      </c>
      <c r="U34" s="42">
        <f t="shared" si="10"/>
        <v>0</v>
      </c>
      <c r="V34" s="42">
        <f t="shared" si="11"/>
        <v>0</v>
      </c>
      <c r="W34" s="46">
        <f t="shared" si="12"/>
        <v>0</v>
      </c>
    </row>
    <row r="35" spans="1:23" s="21" customFormat="1" x14ac:dyDescent="0.3">
      <c r="A35" s="54">
        <v>31</v>
      </c>
      <c r="B35" s="19">
        <v>46135</v>
      </c>
      <c r="C35" s="18"/>
      <c r="D35" s="40">
        <v>2268519</v>
      </c>
      <c r="E35" s="55">
        <f t="shared" si="0"/>
        <v>0</v>
      </c>
      <c r="F35" s="55">
        <f t="shared" si="1"/>
        <v>0</v>
      </c>
      <c r="G35" s="55">
        <f t="shared" si="2"/>
        <v>0</v>
      </c>
      <c r="H35" s="31"/>
      <c r="I35" s="40">
        <v>2268519</v>
      </c>
      <c r="J35" s="42">
        <f t="shared" si="3"/>
        <v>0</v>
      </c>
      <c r="K35" s="42">
        <f t="shared" si="4"/>
        <v>0</v>
      </c>
      <c r="L35" s="42">
        <f t="shared" si="5"/>
        <v>0</v>
      </c>
      <c r="M35" s="15"/>
      <c r="N35" s="44">
        <v>6363.6360000000004</v>
      </c>
      <c r="O35" s="42">
        <f t="shared" si="6"/>
        <v>0</v>
      </c>
      <c r="P35" s="42">
        <f t="shared" si="7"/>
        <v>0</v>
      </c>
      <c r="Q35" s="42">
        <f t="shared" si="8"/>
        <v>0</v>
      </c>
      <c r="R35" s="49"/>
      <c r="S35" s="56">
        <v>4545.4544999999998</v>
      </c>
      <c r="T35" s="42">
        <f t="shared" si="9"/>
        <v>0</v>
      </c>
      <c r="U35" s="42">
        <f t="shared" si="10"/>
        <v>0</v>
      </c>
      <c r="V35" s="42">
        <f t="shared" si="11"/>
        <v>0</v>
      </c>
      <c r="W35" s="46">
        <f t="shared" si="12"/>
        <v>0</v>
      </c>
    </row>
    <row r="36" spans="1:23" s="21" customFormat="1" x14ac:dyDescent="0.3">
      <c r="A36" s="54">
        <v>32</v>
      </c>
      <c r="B36" s="19">
        <v>46136</v>
      </c>
      <c r="C36" s="18"/>
      <c r="D36" s="40">
        <v>2268519</v>
      </c>
      <c r="E36" s="55">
        <f t="shared" si="0"/>
        <v>0</v>
      </c>
      <c r="F36" s="55">
        <f t="shared" si="1"/>
        <v>0</v>
      </c>
      <c r="G36" s="55">
        <f t="shared" si="2"/>
        <v>0</v>
      </c>
      <c r="H36" s="31"/>
      <c r="I36" s="40">
        <v>2268519</v>
      </c>
      <c r="J36" s="42">
        <f t="shared" si="3"/>
        <v>0</v>
      </c>
      <c r="K36" s="42">
        <f t="shared" si="4"/>
        <v>0</v>
      </c>
      <c r="L36" s="42">
        <f t="shared" si="5"/>
        <v>0</v>
      </c>
      <c r="M36" s="15"/>
      <c r="N36" s="44">
        <v>6363.6360000000004</v>
      </c>
      <c r="O36" s="42">
        <f t="shared" si="6"/>
        <v>0</v>
      </c>
      <c r="P36" s="42">
        <f t="shared" si="7"/>
        <v>0</v>
      </c>
      <c r="Q36" s="42">
        <f t="shared" si="8"/>
        <v>0</v>
      </c>
      <c r="R36" s="49"/>
      <c r="S36" s="56">
        <v>4545.4544999999998</v>
      </c>
      <c r="T36" s="42">
        <f t="shared" si="9"/>
        <v>0</v>
      </c>
      <c r="U36" s="42">
        <f t="shared" si="10"/>
        <v>0</v>
      </c>
      <c r="V36" s="42">
        <f t="shared" si="11"/>
        <v>0</v>
      </c>
      <c r="W36" s="46">
        <f t="shared" si="12"/>
        <v>0</v>
      </c>
    </row>
    <row r="37" spans="1:23" s="9" customFormat="1" x14ac:dyDescent="0.3">
      <c r="A37" s="54">
        <v>33</v>
      </c>
      <c r="B37" s="19">
        <v>46137</v>
      </c>
      <c r="C37" s="18"/>
      <c r="D37" s="40">
        <v>2268519</v>
      </c>
      <c r="E37" s="55">
        <f t="shared" si="0"/>
        <v>0</v>
      </c>
      <c r="F37" s="55">
        <f t="shared" si="1"/>
        <v>0</v>
      </c>
      <c r="G37" s="55">
        <f t="shared" si="2"/>
        <v>0</v>
      </c>
      <c r="H37" s="31"/>
      <c r="I37" s="40">
        <v>2268519</v>
      </c>
      <c r="J37" s="42">
        <f t="shared" si="3"/>
        <v>0</v>
      </c>
      <c r="K37" s="42">
        <f t="shared" si="4"/>
        <v>0</v>
      </c>
      <c r="L37" s="42">
        <f t="shared" si="5"/>
        <v>0</v>
      </c>
      <c r="M37" s="15"/>
      <c r="N37" s="44">
        <v>6363.6360000000004</v>
      </c>
      <c r="O37" s="42">
        <f t="shared" si="6"/>
        <v>0</v>
      </c>
      <c r="P37" s="42">
        <f t="shared" si="7"/>
        <v>0</v>
      </c>
      <c r="Q37" s="42">
        <f t="shared" si="8"/>
        <v>0</v>
      </c>
      <c r="R37" s="48"/>
      <c r="S37" s="56">
        <v>4545.4544999999998</v>
      </c>
      <c r="T37" s="42">
        <f t="shared" si="9"/>
        <v>0</v>
      </c>
      <c r="U37" s="42">
        <f t="shared" si="10"/>
        <v>0</v>
      </c>
      <c r="V37" s="42">
        <f t="shared" si="11"/>
        <v>0</v>
      </c>
      <c r="W37" s="46">
        <f t="shared" si="12"/>
        <v>0</v>
      </c>
    </row>
    <row r="38" spans="1:23" x14ac:dyDescent="0.3">
      <c r="A38" s="65"/>
      <c r="B38" s="66"/>
      <c r="C38" s="7">
        <v>3.5</v>
      </c>
      <c r="D38" s="7"/>
      <c r="E38" s="57">
        <f>SUM(E5:E26)</f>
        <v>0</v>
      </c>
      <c r="F38" s="57">
        <f>SUM(F5:F26)</f>
        <v>0</v>
      </c>
      <c r="G38" s="59">
        <f>SUM(G5:G26)</f>
        <v>0</v>
      </c>
      <c r="H38" s="7">
        <v>0</v>
      </c>
      <c r="I38" s="58"/>
      <c r="J38" s="58">
        <f>SUM(J5:J26)</f>
        <v>0</v>
      </c>
      <c r="K38" s="58">
        <f>SUM(K5:K26)</f>
        <v>0</v>
      </c>
      <c r="L38" s="60">
        <f>SUM(L5:L26)</f>
        <v>0</v>
      </c>
      <c r="M38" s="7">
        <f>SUM(M5:M26)</f>
        <v>0</v>
      </c>
      <c r="N38" s="58"/>
      <c r="O38" s="58">
        <f>SUM(O5:O26)</f>
        <v>0</v>
      </c>
      <c r="P38" s="58">
        <f>SUM(P5:P26)</f>
        <v>0</v>
      </c>
      <c r="Q38" s="60">
        <f>SUM(Q5:Q26)</f>
        <v>0</v>
      </c>
      <c r="R38" s="7">
        <f>SUM(R5:R26)</f>
        <v>0</v>
      </c>
      <c r="S38" s="7"/>
      <c r="T38" s="58">
        <f>SUM(T5:T26)</f>
        <v>0</v>
      </c>
      <c r="U38" s="58">
        <f>SUM(U5:U26)</f>
        <v>0</v>
      </c>
      <c r="V38" s="60">
        <f>ROUND(SUM(V5:V26),-1)</f>
        <v>0</v>
      </c>
      <c r="W38" s="60">
        <f>G38+L38+V38+Q38</f>
        <v>0</v>
      </c>
    </row>
    <row r="39" spans="1:23" x14ac:dyDescent="0.3">
      <c r="A39" s="3"/>
      <c r="B39" s="67" t="s">
        <v>1</v>
      </c>
      <c r="C39" s="67"/>
      <c r="D39" s="67"/>
      <c r="E39" s="67"/>
      <c r="F39" s="52"/>
      <c r="G39" s="52"/>
      <c r="H39" s="6"/>
      <c r="I39" s="5"/>
      <c r="J39" s="4"/>
      <c r="K39" s="4"/>
      <c r="L39" s="4"/>
      <c r="M39" s="4"/>
      <c r="N39" s="4"/>
      <c r="O39" s="4"/>
      <c r="P39" s="4"/>
      <c r="Q39" s="4"/>
      <c r="R39" s="67" t="s">
        <v>1</v>
      </c>
      <c r="S39" s="67"/>
      <c r="T39" s="67"/>
      <c r="U39" s="67"/>
      <c r="V39" s="67"/>
      <c r="W39" s="67"/>
    </row>
    <row r="40" spans="1:23" x14ac:dyDescent="0.3">
      <c r="A40" s="3"/>
      <c r="B40" s="68" t="s">
        <v>0</v>
      </c>
      <c r="C40" s="68"/>
      <c r="D40" s="68"/>
      <c r="E40" s="68"/>
      <c r="F40" s="53"/>
      <c r="G40" s="53"/>
      <c r="H40" s="1"/>
      <c r="I40" s="2"/>
      <c r="J40" s="1"/>
      <c r="K40" s="1"/>
      <c r="L40" s="1"/>
      <c r="M40" s="1"/>
      <c r="N40" s="1"/>
      <c r="O40" s="68" t="s">
        <v>15</v>
      </c>
      <c r="P40" s="68"/>
      <c r="Q40" s="68"/>
      <c r="R40" s="68"/>
      <c r="S40" s="68"/>
      <c r="T40" s="68"/>
      <c r="U40" s="68"/>
      <c r="V40" s="68"/>
      <c r="W40" s="68"/>
    </row>
  </sheetData>
  <mergeCells count="12">
    <mergeCell ref="A38:B38"/>
    <mergeCell ref="B39:E39"/>
    <mergeCell ref="R39:W39"/>
    <mergeCell ref="B40:E40"/>
    <mergeCell ref="O40:W40"/>
    <mergeCell ref="A1:W1"/>
    <mergeCell ref="C3:G3"/>
    <mergeCell ref="H3:L3"/>
    <mergeCell ref="M3:Q3"/>
    <mergeCell ref="R3:V3"/>
    <mergeCell ref="W3:W4"/>
    <mergeCell ref="A4:B4"/>
  </mergeCells>
  <conditionalFormatting sqref="B5:B37">
    <cfRule type="expression" dxfId="11" priority="1" stopIfTrue="1">
      <formula>WEEKDAY($B5)=1</formula>
    </cfRule>
  </conditionalFormatting>
  <dataValidations count="1">
    <dataValidation type="decimal" showInputMessage="1" showErrorMessage="1" sqref="C1:C37 C39:C1048576" xr:uid="{53CB42AC-D2C4-4D13-A166-9D93D791D4DC}">
      <formula1>0</formula1>
      <formula2>1</formula2>
    </dataValidation>
  </dataValidations>
  <pageMargins left="0.23622047244094491" right="0.19685039370078741" top="0.35433070866141736" bottom="0.74803149606299213" header="0.31496062992125984" footer="0.31496062992125984"/>
  <pageSetup paperSize="9" scale="60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B1D73-68CC-4C70-80FF-A43B1AFC8117}">
  <sheetPr codeName="Sheet15">
    <pageSetUpPr fitToPage="1"/>
  </sheetPr>
  <dimension ref="A1:W39"/>
  <sheetViews>
    <sheetView tabSelected="1" view="pageBreakPreview" zoomScale="115" zoomScaleNormal="115" zoomScaleSheetLayoutView="115" workbookViewId="0">
      <pane ySplit="4" topLeftCell="A5" activePane="bottomLeft" state="frozen"/>
      <selection pane="bottomLeft" activeCell="D18" sqref="D18"/>
    </sheetView>
  </sheetViews>
  <sheetFormatPr defaultRowHeight="14" x14ac:dyDescent="0.3"/>
  <cols>
    <col min="5" max="5" width="10.1640625" bestFit="1" customWidth="1"/>
    <col min="6" max="7" width="10.1640625" customWidth="1"/>
    <col min="10" max="10" width="9.9140625" bestFit="1" customWidth="1"/>
    <col min="11" max="12" width="9.9140625" customWidth="1"/>
    <col min="15" max="15" width="9.9140625" bestFit="1" customWidth="1"/>
    <col min="16" max="17" width="9.9140625" customWidth="1"/>
    <col min="20" max="20" width="9.9140625" bestFit="1" customWidth="1"/>
    <col min="21" max="22" width="9.9140625" customWidth="1"/>
    <col min="23" max="23" width="10.6640625" bestFit="1" customWidth="1"/>
  </cols>
  <sheetData>
    <row r="1" spans="1:23" ht="44.25" customHeight="1" x14ac:dyDescent="0.3">
      <c r="A1" s="69" t="s">
        <v>36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</row>
    <row r="2" spans="1:23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7"/>
      <c r="V2" s="27"/>
      <c r="W2" s="27"/>
    </row>
    <row r="3" spans="1:23" ht="26.25" customHeight="1" x14ac:dyDescent="0.3">
      <c r="A3" s="26" t="s">
        <v>13</v>
      </c>
      <c r="B3" s="25" t="s">
        <v>12</v>
      </c>
      <c r="C3" s="71" t="s">
        <v>11</v>
      </c>
      <c r="D3" s="72"/>
      <c r="E3" s="72"/>
      <c r="F3" s="72"/>
      <c r="G3" s="73"/>
      <c r="H3" s="74" t="s">
        <v>10</v>
      </c>
      <c r="I3" s="72"/>
      <c r="J3" s="72"/>
      <c r="K3" s="72"/>
      <c r="L3" s="73"/>
      <c r="M3" s="74" t="s">
        <v>9</v>
      </c>
      <c r="N3" s="72"/>
      <c r="O3" s="72"/>
      <c r="P3" s="72"/>
      <c r="Q3" s="73"/>
      <c r="R3" s="75" t="s">
        <v>8</v>
      </c>
      <c r="S3" s="76"/>
      <c r="T3" s="76"/>
      <c r="U3" s="76"/>
      <c r="V3" s="77"/>
      <c r="W3" s="78" t="s">
        <v>7</v>
      </c>
    </row>
    <row r="4" spans="1:23" ht="60.5" customHeight="1" x14ac:dyDescent="0.3">
      <c r="A4" s="80" t="s">
        <v>17</v>
      </c>
      <c r="B4" s="81"/>
      <c r="C4" s="24" t="s">
        <v>5</v>
      </c>
      <c r="D4" s="24" t="s">
        <v>28</v>
      </c>
      <c r="E4" s="24" t="s">
        <v>29</v>
      </c>
      <c r="F4" s="24" t="s">
        <v>23</v>
      </c>
      <c r="G4" s="24" t="s">
        <v>27</v>
      </c>
      <c r="H4" s="24" t="s">
        <v>5</v>
      </c>
      <c r="I4" s="24" t="s">
        <v>28</v>
      </c>
      <c r="J4" s="24" t="s">
        <v>29</v>
      </c>
      <c r="K4" s="24" t="s">
        <v>23</v>
      </c>
      <c r="L4" s="24" t="s">
        <v>27</v>
      </c>
      <c r="M4" s="24" t="s">
        <v>4</v>
      </c>
      <c r="N4" s="24" t="s">
        <v>28</v>
      </c>
      <c r="O4" s="24" t="s">
        <v>29</v>
      </c>
      <c r="P4" s="24" t="s">
        <v>23</v>
      </c>
      <c r="Q4" s="24" t="s">
        <v>27</v>
      </c>
      <c r="R4" s="24" t="s">
        <v>4</v>
      </c>
      <c r="S4" s="24" t="s">
        <v>28</v>
      </c>
      <c r="T4" s="24" t="s">
        <v>29</v>
      </c>
      <c r="U4" s="24" t="s">
        <v>26</v>
      </c>
      <c r="V4" s="24" t="s">
        <v>27</v>
      </c>
      <c r="W4" s="79"/>
    </row>
    <row r="5" spans="1:23" s="9" customFormat="1" x14ac:dyDescent="0.3">
      <c r="A5" s="54">
        <v>1</v>
      </c>
      <c r="B5" s="19">
        <v>46258</v>
      </c>
      <c r="C5" s="63">
        <v>0.75</v>
      </c>
      <c r="D5" s="40">
        <v>2268519</v>
      </c>
      <c r="E5" s="55">
        <f t="shared" ref="E5:E34" si="0">ROUND(D5*C5,0)</f>
        <v>1701389</v>
      </c>
      <c r="F5" s="55">
        <f t="shared" ref="F5:F35" si="1">ROUND(E5*8%,0)</f>
        <v>136111</v>
      </c>
      <c r="G5" s="55">
        <f t="shared" ref="G5:G35" si="2">E5+F5</f>
        <v>1837500</v>
      </c>
      <c r="H5" s="64">
        <v>7.0000000000000007E-2</v>
      </c>
      <c r="I5" s="40">
        <v>2268519</v>
      </c>
      <c r="J5" s="42">
        <f t="shared" ref="J5:J35" si="3">ROUND(I5*H5,0)</f>
        <v>158796</v>
      </c>
      <c r="K5" s="42">
        <f t="shared" ref="K5:K36" si="4">ROUND(J5*8%,0)</f>
        <v>12704</v>
      </c>
      <c r="L5" s="42">
        <f t="shared" ref="L5:L35" si="5">J5+K5</f>
        <v>171500</v>
      </c>
      <c r="M5" s="15"/>
      <c r="N5" s="44">
        <v>6363.6360000000004</v>
      </c>
      <c r="O5" s="42">
        <f t="shared" ref="O5:O35" si="6">ROUND(N5*M5,0)</f>
        <v>0</v>
      </c>
      <c r="P5" s="42">
        <f t="shared" ref="P5:P35" si="7">ROUND(O5*8%,0)</f>
        <v>0</v>
      </c>
      <c r="Q5" s="42">
        <f t="shared" ref="Q5:Q35" si="8">O5+P5</f>
        <v>0</v>
      </c>
      <c r="R5" s="48"/>
      <c r="S5" s="56">
        <v>4545.4544999999998</v>
      </c>
      <c r="T5" s="42">
        <f t="shared" ref="T5:T35" si="9">ROUND(R5*S5,0)</f>
        <v>0</v>
      </c>
      <c r="U5" s="42">
        <f t="shared" ref="U5:U35" si="10">ROUND(T5*10%,0)</f>
        <v>0</v>
      </c>
      <c r="V5" s="42">
        <f t="shared" ref="V5:V35" si="11">T5+U5</f>
        <v>0</v>
      </c>
      <c r="W5" s="46">
        <f t="shared" ref="W5:W35" si="12">G5+L5+Q5+V5</f>
        <v>2009000</v>
      </c>
    </row>
    <row r="6" spans="1:23" s="21" customFormat="1" x14ac:dyDescent="0.3">
      <c r="A6" s="54">
        <v>2</v>
      </c>
      <c r="B6" s="19">
        <v>46259</v>
      </c>
      <c r="C6" s="63">
        <v>0.25</v>
      </c>
      <c r="D6" s="40">
        <v>2268519</v>
      </c>
      <c r="E6" s="55">
        <f t="shared" si="0"/>
        <v>567130</v>
      </c>
      <c r="F6" s="55">
        <f t="shared" si="1"/>
        <v>45370</v>
      </c>
      <c r="G6" s="55">
        <f t="shared" si="2"/>
        <v>612500</v>
      </c>
      <c r="H6" s="64">
        <v>0.13</v>
      </c>
      <c r="I6" s="40">
        <v>2268519</v>
      </c>
      <c r="J6" s="42">
        <f t="shared" si="3"/>
        <v>294907</v>
      </c>
      <c r="K6" s="42">
        <f t="shared" si="4"/>
        <v>23593</v>
      </c>
      <c r="L6" s="42">
        <f t="shared" si="5"/>
        <v>318500</v>
      </c>
      <c r="M6" s="15"/>
      <c r="N6" s="44">
        <v>6363.6360000000004</v>
      </c>
      <c r="O6" s="42">
        <f t="shared" si="6"/>
        <v>0</v>
      </c>
      <c r="P6" s="42">
        <f t="shared" si="7"/>
        <v>0</v>
      </c>
      <c r="Q6" s="42">
        <f t="shared" si="8"/>
        <v>0</v>
      </c>
      <c r="R6" s="49"/>
      <c r="S6" s="56">
        <v>4545.4544999999998</v>
      </c>
      <c r="T6" s="42">
        <f t="shared" si="9"/>
        <v>0</v>
      </c>
      <c r="U6" s="42">
        <f t="shared" si="10"/>
        <v>0</v>
      </c>
      <c r="V6" s="42">
        <f t="shared" si="11"/>
        <v>0</v>
      </c>
      <c r="W6" s="46">
        <f t="shared" si="12"/>
        <v>931000</v>
      </c>
    </row>
    <row r="7" spans="1:23" s="9" customFormat="1" x14ac:dyDescent="0.3">
      <c r="A7" s="54">
        <v>3</v>
      </c>
      <c r="B7" s="19">
        <v>46260</v>
      </c>
      <c r="C7" s="63">
        <v>0.33</v>
      </c>
      <c r="D7" s="40">
        <v>2268519</v>
      </c>
      <c r="E7" s="55">
        <f t="shared" si="0"/>
        <v>748611</v>
      </c>
      <c r="F7" s="55">
        <f t="shared" si="1"/>
        <v>59889</v>
      </c>
      <c r="G7" s="55">
        <f t="shared" si="2"/>
        <v>808500</v>
      </c>
      <c r="H7" s="64">
        <v>7.0000000000000007E-2</v>
      </c>
      <c r="I7" s="40">
        <v>2268519</v>
      </c>
      <c r="J7" s="42">
        <f t="shared" si="3"/>
        <v>158796</v>
      </c>
      <c r="K7" s="42">
        <f t="shared" si="4"/>
        <v>12704</v>
      </c>
      <c r="L7" s="42">
        <f t="shared" si="5"/>
        <v>171500</v>
      </c>
      <c r="M7" s="15"/>
      <c r="N7" s="44">
        <v>6363.6360000000004</v>
      </c>
      <c r="O7" s="42">
        <f t="shared" si="6"/>
        <v>0</v>
      </c>
      <c r="P7" s="42">
        <f t="shared" si="7"/>
        <v>0</v>
      </c>
      <c r="Q7" s="42">
        <f t="shared" si="8"/>
        <v>0</v>
      </c>
      <c r="R7" s="48"/>
      <c r="S7" s="56">
        <v>4545.4544999999998</v>
      </c>
      <c r="T7" s="42">
        <f t="shared" si="9"/>
        <v>0</v>
      </c>
      <c r="U7" s="42">
        <f t="shared" si="10"/>
        <v>0</v>
      </c>
      <c r="V7" s="42">
        <f t="shared" si="11"/>
        <v>0</v>
      </c>
      <c r="W7" s="46">
        <f t="shared" si="12"/>
        <v>980000</v>
      </c>
    </row>
    <row r="8" spans="1:23" s="9" customFormat="1" x14ac:dyDescent="0.3">
      <c r="A8" s="54">
        <v>4</v>
      </c>
      <c r="B8" s="19">
        <v>46261</v>
      </c>
      <c r="C8" s="63">
        <v>0.75</v>
      </c>
      <c r="D8" s="40">
        <v>2268519</v>
      </c>
      <c r="E8" s="55">
        <f t="shared" si="0"/>
        <v>1701389</v>
      </c>
      <c r="F8" s="55">
        <f t="shared" si="1"/>
        <v>136111</v>
      </c>
      <c r="G8" s="55">
        <f t="shared" si="2"/>
        <v>1837500</v>
      </c>
      <c r="H8" s="64">
        <v>0.13</v>
      </c>
      <c r="I8" s="40">
        <v>2268519</v>
      </c>
      <c r="J8" s="42">
        <f t="shared" si="3"/>
        <v>294907</v>
      </c>
      <c r="K8" s="42">
        <f t="shared" si="4"/>
        <v>23593</v>
      </c>
      <c r="L8" s="42">
        <f t="shared" si="5"/>
        <v>318500</v>
      </c>
      <c r="M8" s="15"/>
      <c r="N8" s="44">
        <v>6363.6360000000004</v>
      </c>
      <c r="O8" s="42">
        <f t="shared" si="6"/>
        <v>0</v>
      </c>
      <c r="P8" s="42">
        <f t="shared" si="7"/>
        <v>0</v>
      </c>
      <c r="Q8" s="42">
        <f t="shared" si="8"/>
        <v>0</v>
      </c>
      <c r="R8" s="48"/>
      <c r="S8" s="56">
        <v>4545.4544999999998</v>
      </c>
      <c r="T8" s="42">
        <f t="shared" si="9"/>
        <v>0</v>
      </c>
      <c r="U8" s="42">
        <f t="shared" si="10"/>
        <v>0</v>
      </c>
      <c r="V8" s="42">
        <f t="shared" si="11"/>
        <v>0</v>
      </c>
      <c r="W8" s="46">
        <f t="shared" si="12"/>
        <v>2156000</v>
      </c>
    </row>
    <row r="9" spans="1:23" s="21" customFormat="1" x14ac:dyDescent="0.3">
      <c r="A9" s="54">
        <v>5</v>
      </c>
      <c r="B9" s="19">
        <v>46262</v>
      </c>
      <c r="C9" s="63">
        <v>0.75</v>
      </c>
      <c r="D9" s="40">
        <v>2268519</v>
      </c>
      <c r="E9" s="55">
        <f t="shared" si="0"/>
        <v>1701389</v>
      </c>
      <c r="F9" s="55">
        <f t="shared" si="1"/>
        <v>136111</v>
      </c>
      <c r="G9" s="55">
        <f t="shared" si="2"/>
        <v>1837500</v>
      </c>
      <c r="H9" s="64">
        <v>7.0000000000000007E-2</v>
      </c>
      <c r="I9" s="40">
        <v>2268519</v>
      </c>
      <c r="J9" s="42">
        <f t="shared" si="3"/>
        <v>158796</v>
      </c>
      <c r="K9" s="42">
        <f t="shared" si="4"/>
        <v>12704</v>
      </c>
      <c r="L9" s="42">
        <f t="shared" si="5"/>
        <v>171500</v>
      </c>
      <c r="M9" s="15"/>
      <c r="N9" s="44">
        <v>6363.6360000000004</v>
      </c>
      <c r="O9" s="42">
        <f t="shared" si="6"/>
        <v>0</v>
      </c>
      <c r="P9" s="42">
        <f t="shared" si="7"/>
        <v>0</v>
      </c>
      <c r="Q9" s="42">
        <f t="shared" si="8"/>
        <v>0</v>
      </c>
      <c r="R9" s="49"/>
      <c r="S9" s="56">
        <v>4545.4544999999998</v>
      </c>
      <c r="T9" s="42">
        <f t="shared" si="9"/>
        <v>0</v>
      </c>
      <c r="U9" s="42">
        <f t="shared" si="10"/>
        <v>0</v>
      </c>
      <c r="V9" s="42">
        <f t="shared" si="11"/>
        <v>0</v>
      </c>
      <c r="W9" s="46">
        <f t="shared" si="12"/>
        <v>2009000</v>
      </c>
    </row>
    <row r="10" spans="1:23" s="21" customFormat="1" x14ac:dyDescent="0.3">
      <c r="A10" s="54">
        <v>6</v>
      </c>
      <c r="B10" s="19">
        <v>46263</v>
      </c>
      <c r="C10" s="63">
        <v>0.5</v>
      </c>
      <c r="D10" s="40">
        <v>2268519</v>
      </c>
      <c r="E10" s="55">
        <f t="shared" si="0"/>
        <v>1134260</v>
      </c>
      <c r="F10" s="55">
        <f t="shared" si="1"/>
        <v>90741</v>
      </c>
      <c r="G10" s="55">
        <f t="shared" si="2"/>
        <v>1225001</v>
      </c>
      <c r="H10" s="64">
        <v>7.0000000000000007E-2</v>
      </c>
      <c r="I10" s="40">
        <v>2268519</v>
      </c>
      <c r="J10" s="42">
        <f t="shared" si="3"/>
        <v>158796</v>
      </c>
      <c r="K10" s="42">
        <f t="shared" si="4"/>
        <v>12704</v>
      </c>
      <c r="L10" s="42">
        <f t="shared" si="5"/>
        <v>171500</v>
      </c>
      <c r="M10" s="15"/>
      <c r="N10" s="44">
        <v>6363.6360000000004</v>
      </c>
      <c r="O10" s="42">
        <f t="shared" si="6"/>
        <v>0</v>
      </c>
      <c r="P10" s="42">
        <f t="shared" si="7"/>
        <v>0</v>
      </c>
      <c r="Q10" s="42">
        <f t="shared" si="8"/>
        <v>0</v>
      </c>
      <c r="R10" s="49"/>
      <c r="S10" s="56">
        <v>4545.4544999999998</v>
      </c>
      <c r="T10" s="42">
        <f t="shared" si="9"/>
        <v>0</v>
      </c>
      <c r="U10" s="42">
        <f t="shared" si="10"/>
        <v>0</v>
      </c>
      <c r="V10" s="42">
        <f t="shared" si="11"/>
        <v>0</v>
      </c>
      <c r="W10" s="46">
        <f t="shared" si="12"/>
        <v>1396501</v>
      </c>
    </row>
    <row r="11" spans="1:23" s="9" customFormat="1" x14ac:dyDescent="0.3">
      <c r="A11" s="54">
        <v>7</v>
      </c>
      <c r="B11" s="19">
        <v>46264</v>
      </c>
      <c r="C11" s="63">
        <v>0.25</v>
      </c>
      <c r="D11" s="40">
        <v>2268519</v>
      </c>
      <c r="E11" s="55">
        <f t="shared" si="0"/>
        <v>567130</v>
      </c>
      <c r="F11" s="55">
        <f t="shared" si="1"/>
        <v>45370</v>
      </c>
      <c r="G11" s="55">
        <f t="shared" si="2"/>
        <v>612500</v>
      </c>
      <c r="H11" s="64"/>
      <c r="I11" s="40">
        <v>2268519</v>
      </c>
      <c r="J11" s="42">
        <f t="shared" si="3"/>
        <v>0</v>
      </c>
      <c r="K11" s="42">
        <f t="shared" si="4"/>
        <v>0</v>
      </c>
      <c r="L11" s="42">
        <f t="shared" si="5"/>
        <v>0</v>
      </c>
      <c r="M11" s="15"/>
      <c r="N11" s="44">
        <v>6363.6360000000004</v>
      </c>
      <c r="O11" s="42">
        <f t="shared" si="6"/>
        <v>0</v>
      </c>
      <c r="P11" s="42">
        <f t="shared" si="7"/>
        <v>0</v>
      </c>
      <c r="Q11" s="42">
        <f t="shared" si="8"/>
        <v>0</v>
      </c>
      <c r="R11" s="48"/>
      <c r="S11" s="56">
        <v>4545.4544999999998</v>
      </c>
      <c r="T11" s="42">
        <f t="shared" si="9"/>
        <v>0</v>
      </c>
      <c r="U11" s="42">
        <f t="shared" si="10"/>
        <v>0</v>
      </c>
      <c r="V11" s="42">
        <f t="shared" si="11"/>
        <v>0</v>
      </c>
      <c r="W11" s="46">
        <f t="shared" si="12"/>
        <v>612500</v>
      </c>
    </row>
    <row r="12" spans="1:23" s="21" customFormat="1" x14ac:dyDescent="0.3">
      <c r="A12" s="54">
        <v>8</v>
      </c>
      <c r="B12" s="19">
        <v>46265</v>
      </c>
      <c r="C12" s="63">
        <v>0.5</v>
      </c>
      <c r="D12" s="40">
        <v>2268519</v>
      </c>
      <c r="E12" s="55">
        <f t="shared" si="0"/>
        <v>1134260</v>
      </c>
      <c r="F12" s="55">
        <f t="shared" si="1"/>
        <v>90741</v>
      </c>
      <c r="G12" s="55">
        <f t="shared" si="2"/>
        <v>1225001</v>
      </c>
      <c r="H12" s="64"/>
      <c r="I12" s="40">
        <v>2268519</v>
      </c>
      <c r="J12" s="42">
        <f t="shared" si="3"/>
        <v>0</v>
      </c>
      <c r="K12" s="42">
        <f t="shared" si="4"/>
        <v>0</v>
      </c>
      <c r="L12" s="42">
        <f t="shared" si="5"/>
        <v>0</v>
      </c>
      <c r="M12" s="15"/>
      <c r="N12" s="44">
        <v>6363.6360000000004</v>
      </c>
      <c r="O12" s="42">
        <f t="shared" si="6"/>
        <v>0</v>
      </c>
      <c r="P12" s="42">
        <f t="shared" si="7"/>
        <v>0</v>
      </c>
      <c r="Q12" s="42">
        <f t="shared" si="8"/>
        <v>0</v>
      </c>
      <c r="R12" s="49"/>
      <c r="S12" s="56">
        <v>4545.4544999999998</v>
      </c>
      <c r="T12" s="42">
        <f t="shared" si="9"/>
        <v>0</v>
      </c>
      <c r="U12" s="42">
        <f t="shared" si="10"/>
        <v>0</v>
      </c>
      <c r="V12" s="42">
        <f t="shared" si="11"/>
        <v>0</v>
      </c>
      <c r="W12" s="46">
        <f t="shared" si="12"/>
        <v>1225001</v>
      </c>
    </row>
    <row r="13" spans="1:23" s="9" customFormat="1" x14ac:dyDescent="0.3">
      <c r="A13" s="54">
        <v>9</v>
      </c>
      <c r="B13" s="19">
        <v>46266</v>
      </c>
      <c r="C13" s="63"/>
      <c r="D13" s="40">
        <v>2268519</v>
      </c>
      <c r="E13" s="55">
        <f t="shared" si="0"/>
        <v>0</v>
      </c>
      <c r="F13" s="55">
        <f t="shared" si="1"/>
        <v>0</v>
      </c>
      <c r="G13" s="55">
        <f t="shared" si="2"/>
        <v>0</v>
      </c>
      <c r="H13" s="64"/>
      <c r="I13" s="40">
        <v>2268519</v>
      </c>
      <c r="J13" s="42">
        <f t="shared" si="3"/>
        <v>0</v>
      </c>
      <c r="K13" s="42">
        <f t="shared" si="4"/>
        <v>0</v>
      </c>
      <c r="L13" s="42">
        <f t="shared" si="5"/>
        <v>0</v>
      </c>
      <c r="M13" s="15"/>
      <c r="N13" s="44">
        <v>6363.6360000000004</v>
      </c>
      <c r="O13" s="42">
        <f t="shared" si="6"/>
        <v>0</v>
      </c>
      <c r="P13" s="42">
        <f t="shared" si="7"/>
        <v>0</v>
      </c>
      <c r="Q13" s="42">
        <f t="shared" si="8"/>
        <v>0</v>
      </c>
      <c r="R13" s="48"/>
      <c r="S13" s="56">
        <v>4545.4544999999998</v>
      </c>
      <c r="T13" s="42">
        <f t="shared" si="9"/>
        <v>0</v>
      </c>
      <c r="U13" s="42">
        <f t="shared" si="10"/>
        <v>0</v>
      </c>
      <c r="V13" s="42">
        <f t="shared" si="11"/>
        <v>0</v>
      </c>
      <c r="W13" s="46">
        <f t="shared" si="12"/>
        <v>0</v>
      </c>
    </row>
    <row r="14" spans="1:23" s="9" customFormat="1" x14ac:dyDescent="0.3">
      <c r="A14" s="54">
        <v>10</v>
      </c>
      <c r="B14" s="19">
        <v>46267</v>
      </c>
      <c r="C14" s="63"/>
      <c r="D14" s="40">
        <v>2268519</v>
      </c>
      <c r="E14" s="55">
        <f t="shared" si="0"/>
        <v>0</v>
      </c>
      <c r="F14" s="55">
        <f t="shared" si="1"/>
        <v>0</v>
      </c>
      <c r="G14" s="55">
        <f t="shared" si="2"/>
        <v>0</v>
      </c>
      <c r="H14" s="64"/>
      <c r="I14" s="40">
        <v>2268519</v>
      </c>
      <c r="J14" s="42">
        <f t="shared" si="3"/>
        <v>0</v>
      </c>
      <c r="K14" s="42">
        <f t="shared" si="4"/>
        <v>0</v>
      </c>
      <c r="L14" s="42">
        <f t="shared" si="5"/>
        <v>0</v>
      </c>
      <c r="M14" s="15"/>
      <c r="N14" s="44">
        <v>6363.6360000000004</v>
      </c>
      <c r="O14" s="42">
        <f t="shared" si="6"/>
        <v>0</v>
      </c>
      <c r="P14" s="42">
        <f t="shared" si="7"/>
        <v>0</v>
      </c>
      <c r="Q14" s="42">
        <f t="shared" si="8"/>
        <v>0</v>
      </c>
      <c r="R14" s="48"/>
      <c r="S14" s="56">
        <v>4545.4544999999998</v>
      </c>
      <c r="T14" s="42">
        <f t="shared" si="9"/>
        <v>0</v>
      </c>
      <c r="U14" s="42">
        <f t="shared" si="10"/>
        <v>0</v>
      </c>
      <c r="V14" s="42">
        <f t="shared" si="11"/>
        <v>0</v>
      </c>
      <c r="W14" s="46">
        <f t="shared" si="12"/>
        <v>0</v>
      </c>
    </row>
    <row r="15" spans="1:23" s="21" customFormat="1" x14ac:dyDescent="0.3">
      <c r="A15" s="54">
        <v>11</v>
      </c>
      <c r="B15" s="19">
        <v>46268</v>
      </c>
      <c r="C15" s="63">
        <v>0.5</v>
      </c>
      <c r="D15" s="40">
        <v>2268519</v>
      </c>
      <c r="E15" s="55">
        <f t="shared" si="0"/>
        <v>1134260</v>
      </c>
      <c r="F15" s="55">
        <f t="shared" si="1"/>
        <v>90741</v>
      </c>
      <c r="G15" s="55">
        <f t="shared" si="2"/>
        <v>1225001</v>
      </c>
      <c r="H15" s="64">
        <v>0.13</v>
      </c>
      <c r="I15" s="40">
        <v>2268519</v>
      </c>
      <c r="J15" s="42">
        <f t="shared" si="3"/>
        <v>294907</v>
      </c>
      <c r="K15" s="42">
        <f t="shared" si="4"/>
        <v>23593</v>
      </c>
      <c r="L15" s="42">
        <f t="shared" si="5"/>
        <v>318500</v>
      </c>
      <c r="M15" s="15"/>
      <c r="N15" s="44">
        <v>6363.6360000000004</v>
      </c>
      <c r="O15" s="42">
        <f t="shared" si="6"/>
        <v>0</v>
      </c>
      <c r="P15" s="42">
        <f t="shared" si="7"/>
        <v>0</v>
      </c>
      <c r="Q15" s="42">
        <f t="shared" si="8"/>
        <v>0</v>
      </c>
      <c r="R15" s="49"/>
      <c r="S15" s="56">
        <v>4545.4544999999998</v>
      </c>
      <c r="T15" s="42">
        <f t="shared" si="9"/>
        <v>0</v>
      </c>
      <c r="U15" s="42">
        <f t="shared" si="10"/>
        <v>0</v>
      </c>
      <c r="V15" s="42">
        <f t="shared" si="11"/>
        <v>0</v>
      </c>
      <c r="W15" s="46">
        <f t="shared" si="12"/>
        <v>1543501</v>
      </c>
    </row>
    <row r="16" spans="1:23" s="21" customFormat="1" x14ac:dyDescent="0.3">
      <c r="A16" s="54">
        <v>12</v>
      </c>
      <c r="B16" s="19">
        <v>46269</v>
      </c>
      <c r="C16" s="63">
        <v>0.5</v>
      </c>
      <c r="D16" s="40">
        <v>2268519</v>
      </c>
      <c r="E16" s="55">
        <f t="shared" si="0"/>
        <v>1134260</v>
      </c>
      <c r="F16" s="55">
        <f t="shared" si="1"/>
        <v>90741</v>
      </c>
      <c r="G16" s="55">
        <f t="shared" si="2"/>
        <v>1225001</v>
      </c>
      <c r="H16" s="64"/>
      <c r="I16" s="40">
        <v>2268519</v>
      </c>
      <c r="J16" s="42">
        <f t="shared" si="3"/>
        <v>0</v>
      </c>
      <c r="K16" s="42">
        <f t="shared" si="4"/>
        <v>0</v>
      </c>
      <c r="L16" s="42">
        <f t="shared" si="5"/>
        <v>0</v>
      </c>
      <c r="M16" s="15"/>
      <c r="N16" s="44">
        <v>6363.6360000000004</v>
      </c>
      <c r="O16" s="42">
        <f t="shared" si="6"/>
        <v>0</v>
      </c>
      <c r="P16" s="42">
        <f t="shared" si="7"/>
        <v>0</v>
      </c>
      <c r="Q16" s="42">
        <f t="shared" si="8"/>
        <v>0</v>
      </c>
      <c r="R16" s="49"/>
      <c r="S16" s="56">
        <v>4545.4544999999998</v>
      </c>
      <c r="T16" s="42">
        <f t="shared" si="9"/>
        <v>0</v>
      </c>
      <c r="U16" s="42">
        <f t="shared" si="10"/>
        <v>0</v>
      </c>
      <c r="V16" s="42">
        <f t="shared" si="11"/>
        <v>0</v>
      </c>
      <c r="W16" s="46">
        <f t="shared" si="12"/>
        <v>1225001</v>
      </c>
    </row>
    <row r="17" spans="1:23" s="9" customFormat="1" x14ac:dyDescent="0.3">
      <c r="A17" s="54">
        <v>13</v>
      </c>
      <c r="B17" s="19">
        <v>46270</v>
      </c>
      <c r="C17" s="63">
        <v>0.75</v>
      </c>
      <c r="D17" s="40">
        <v>2268519</v>
      </c>
      <c r="E17" s="55">
        <f t="shared" si="0"/>
        <v>1701389</v>
      </c>
      <c r="F17" s="55">
        <f t="shared" si="1"/>
        <v>136111</v>
      </c>
      <c r="G17" s="55">
        <f t="shared" si="2"/>
        <v>1837500</v>
      </c>
      <c r="H17" s="64">
        <v>0.13</v>
      </c>
      <c r="I17" s="40">
        <v>2268519</v>
      </c>
      <c r="J17" s="42">
        <f t="shared" si="3"/>
        <v>294907</v>
      </c>
      <c r="K17" s="42">
        <f t="shared" si="4"/>
        <v>23593</v>
      </c>
      <c r="L17" s="42">
        <f t="shared" si="5"/>
        <v>318500</v>
      </c>
      <c r="M17" s="15"/>
      <c r="N17" s="44">
        <v>6363.6360000000004</v>
      </c>
      <c r="O17" s="42">
        <f t="shared" si="6"/>
        <v>0</v>
      </c>
      <c r="P17" s="42">
        <f t="shared" si="7"/>
        <v>0</v>
      </c>
      <c r="Q17" s="42">
        <f t="shared" si="8"/>
        <v>0</v>
      </c>
      <c r="R17" s="48"/>
      <c r="S17" s="56">
        <v>4545.4544999999998</v>
      </c>
      <c r="T17" s="42">
        <f t="shared" si="9"/>
        <v>0</v>
      </c>
      <c r="U17" s="42">
        <f t="shared" si="10"/>
        <v>0</v>
      </c>
      <c r="V17" s="42">
        <f t="shared" si="11"/>
        <v>0</v>
      </c>
      <c r="W17" s="46">
        <f t="shared" si="12"/>
        <v>2156000</v>
      </c>
    </row>
    <row r="18" spans="1:23" s="21" customFormat="1" x14ac:dyDescent="0.3">
      <c r="A18" s="54">
        <v>14</v>
      </c>
      <c r="B18" s="19">
        <v>46271</v>
      </c>
      <c r="C18" s="63">
        <v>0.5</v>
      </c>
      <c r="D18" s="40">
        <v>2268519</v>
      </c>
      <c r="E18" s="55">
        <f t="shared" si="0"/>
        <v>1134260</v>
      </c>
      <c r="F18" s="55">
        <f t="shared" si="1"/>
        <v>90741</v>
      </c>
      <c r="G18" s="55">
        <f t="shared" si="2"/>
        <v>1225001</v>
      </c>
      <c r="H18" s="64"/>
      <c r="I18" s="40">
        <v>2268519</v>
      </c>
      <c r="J18" s="42">
        <f t="shared" si="3"/>
        <v>0</v>
      </c>
      <c r="K18" s="42">
        <f t="shared" si="4"/>
        <v>0</v>
      </c>
      <c r="L18" s="42">
        <f t="shared" si="5"/>
        <v>0</v>
      </c>
      <c r="M18" s="15"/>
      <c r="N18" s="44">
        <v>6363.6360000000004</v>
      </c>
      <c r="O18" s="42">
        <f t="shared" si="6"/>
        <v>0</v>
      </c>
      <c r="P18" s="42">
        <f t="shared" si="7"/>
        <v>0</v>
      </c>
      <c r="Q18" s="42">
        <f t="shared" si="8"/>
        <v>0</v>
      </c>
      <c r="R18" s="49"/>
      <c r="S18" s="56">
        <v>4545.4544999999998</v>
      </c>
      <c r="T18" s="42">
        <f t="shared" si="9"/>
        <v>0</v>
      </c>
      <c r="U18" s="42">
        <f t="shared" si="10"/>
        <v>0</v>
      </c>
      <c r="V18" s="42">
        <f t="shared" si="11"/>
        <v>0</v>
      </c>
      <c r="W18" s="46">
        <f>G18+L18+Q18+V18</f>
        <v>1225001</v>
      </c>
    </row>
    <row r="19" spans="1:23" s="21" customFormat="1" x14ac:dyDescent="0.3">
      <c r="A19" s="54">
        <v>15</v>
      </c>
      <c r="B19" s="19">
        <v>46272</v>
      </c>
      <c r="C19" s="63"/>
      <c r="D19" s="40">
        <v>2268519</v>
      </c>
      <c r="E19" s="55">
        <f t="shared" si="0"/>
        <v>0</v>
      </c>
      <c r="F19" s="55">
        <f t="shared" si="1"/>
        <v>0</v>
      </c>
      <c r="G19" s="55">
        <f t="shared" si="2"/>
        <v>0</v>
      </c>
      <c r="H19" s="64"/>
      <c r="I19" s="40">
        <v>2268519</v>
      </c>
      <c r="J19" s="42">
        <f t="shared" si="3"/>
        <v>0</v>
      </c>
      <c r="K19" s="42">
        <f t="shared" si="4"/>
        <v>0</v>
      </c>
      <c r="L19" s="42">
        <f t="shared" si="5"/>
        <v>0</v>
      </c>
      <c r="M19" s="15"/>
      <c r="N19" s="44">
        <v>6363.6360000000004</v>
      </c>
      <c r="O19" s="42">
        <f t="shared" si="6"/>
        <v>0</v>
      </c>
      <c r="P19" s="42">
        <f t="shared" si="7"/>
        <v>0</v>
      </c>
      <c r="Q19" s="42">
        <f t="shared" si="8"/>
        <v>0</v>
      </c>
      <c r="R19" s="49"/>
      <c r="S19" s="56">
        <v>4545.4544999999998</v>
      </c>
      <c r="T19" s="42">
        <f t="shared" si="9"/>
        <v>0</v>
      </c>
      <c r="U19" s="42">
        <f t="shared" si="10"/>
        <v>0</v>
      </c>
      <c r="V19" s="42">
        <f t="shared" si="11"/>
        <v>0</v>
      </c>
      <c r="W19" s="46">
        <f t="shared" si="12"/>
        <v>0</v>
      </c>
    </row>
    <row r="20" spans="1:23" s="9" customFormat="1" x14ac:dyDescent="0.3">
      <c r="A20" s="54">
        <v>16</v>
      </c>
      <c r="B20" s="19">
        <v>46273</v>
      </c>
      <c r="C20" s="63"/>
      <c r="D20" s="40">
        <v>2268519</v>
      </c>
      <c r="E20" s="55">
        <f t="shared" si="0"/>
        <v>0</v>
      </c>
      <c r="F20" s="55">
        <f t="shared" si="1"/>
        <v>0</v>
      </c>
      <c r="G20" s="55">
        <f t="shared" si="2"/>
        <v>0</v>
      </c>
      <c r="H20" s="64"/>
      <c r="I20" s="40">
        <v>2268519</v>
      </c>
      <c r="J20" s="42">
        <f t="shared" si="3"/>
        <v>0</v>
      </c>
      <c r="K20" s="42">
        <f t="shared" si="4"/>
        <v>0</v>
      </c>
      <c r="L20" s="42">
        <f t="shared" si="5"/>
        <v>0</v>
      </c>
      <c r="M20" s="15"/>
      <c r="N20" s="44">
        <v>6363.6360000000004</v>
      </c>
      <c r="O20" s="42">
        <f t="shared" si="6"/>
        <v>0</v>
      </c>
      <c r="P20" s="42">
        <f t="shared" si="7"/>
        <v>0</v>
      </c>
      <c r="Q20" s="42">
        <f t="shared" si="8"/>
        <v>0</v>
      </c>
      <c r="R20" s="48"/>
      <c r="S20" s="56">
        <v>4545.4544999999998</v>
      </c>
      <c r="T20" s="42">
        <f t="shared" si="9"/>
        <v>0</v>
      </c>
      <c r="U20" s="42">
        <f t="shared" si="10"/>
        <v>0</v>
      </c>
      <c r="V20" s="42">
        <f t="shared" si="11"/>
        <v>0</v>
      </c>
      <c r="W20" s="46">
        <f t="shared" si="12"/>
        <v>0</v>
      </c>
    </row>
    <row r="21" spans="1:23" s="21" customFormat="1" x14ac:dyDescent="0.3">
      <c r="A21" s="54">
        <v>17</v>
      </c>
      <c r="B21" s="19">
        <v>46274</v>
      </c>
      <c r="C21" s="63"/>
      <c r="D21" s="40">
        <v>2268519</v>
      </c>
      <c r="E21" s="55">
        <f t="shared" si="0"/>
        <v>0</v>
      </c>
      <c r="F21" s="55">
        <f t="shared" si="1"/>
        <v>0</v>
      </c>
      <c r="G21" s="55">
        <f t="shared" si="2"/>
        <v>0</v>
      </c>
      <c r="H21" s="64"/>
      <c r="I21" s="40">
        <v>2268519</v>
      </c>
      <c r="J21" s="42">
        <f t="shared" si="3"/>
        <v>0</v>
      </c>
      <c r="K21" s="42">
        <f t="shared" si="4"/>
        <v>0</v>
      </c>
      <c r="L21" s="42">
        <f t="shared" si="5"/>
        <v>0</v>
      </c>
      <c r="M21" s="15"/>
      <c r="N21" s="44">
        <v>6363.6360000000004</v>
      </c>
      <c r="O21" s="42">
        <f t="shared" si="6"/>
        <v>0</v>
      </c>
      <c r="P21" s="42">
        <f t="shared" si="7"/>
        <v>0</v>
      </c>
      <c r="Q21" s="42">
        <f t="shared" si="8"/>
        <v>0</v>
      </c>
      <c r="R21" s="49"/>
      <c r="S21" s="56">
        <v>4545.4544999999998</v>
      </c>
      <c r="T21" s="42">
        <f t="shared" si="9"/>
        <v>0</v>
      </c>
      <c r="U21" s="42">
        <f t="shared" si="10"/>
        <v>0</v>
      </c>
      <c r="V21" s="42">
        <f t="shared" si="11"/>
        <v>0</v>
      </c>
      <c r="W21" s="46">
        <f t="shared" si="12"/>
        <v>0</v>
      </c>
    </row>
    <row r="22" spans="1:23" s="9" customFormat="1" x14ac:dyDescent="0.3">
      <c r="A22" s="54">
        <v>18</v>
      </c>
      <c r="B22" s="19">
        <v>46275</v>
      </c>
      <c r="C22" s="63"/>
      <c r="D22" s="40">
        <v>2268519</v>
      </c>
      <c r="E22" s="55">
        <f t="shared" si="0"/>
        <v>0</v>
      </c>
      <c r="F22" s="55">
        <f t="shared" si="1"/>
        <v>0</v>
      </c>
      <c r="G22" s="55">
        <f t="shared" si="2"/>
        <v>0</v>
      </c>
      <c r="H22" s="64"/>
      <c r="I22" s="40">
        <v>2268519</v>
      </c>
      <c r="J22" s="42">
        <f t="shared" si="3"/>
        <v>0</v>
      </c>
      <c r="K22" s="42">
        <f t="shared" si="4"/>
        <v>0</v>
      </c>
      <c r="L22" s="42">
        <f t="shared" si="5"/>
        <v>0</v>
      </c>
      <c r="M22" s="15"/>
      <c r="N22" s="44">
        <v>6363.6360000000004</v>
      </c>
      <c r="O22" s="42">
        <f t="shared" si="6"/>
        <v>0</v>
      </c>
      <c r="P22" s="42">
        <f t="shared" si="7"/>
        <v>0</v>
      </c>
      <c r="Q22" s="42">
        <f t="shared" si="8"/>
        <v>0</v>
      </c>
      <c r="R22" s="48"/>
      <c r="S22" s="56">
        <v>4545.4544999999998</v>
      </c>
      <c r="T22" s="42">
        <f t="shared" si="9"/>
        <v>0</v>
      </c>
      <c r="U22" s="42">
        <f t="shared" si="10"/>
        <v>0</v>
      </c>
      <c r="V22" s="42">
        <f t="shared" si="11"/>
        <v>0</v>
      </c>
      <c r="W22" s="46">
        <f t="shared" si="12"/>
        <v>0</v>
      </c>
    </row>
    <row r="23" spans="1:23" s="9" customFormat="1" x14ac:dyDescent="0.3">
      <c r="A23" s="54">
        <v>19</v>
      </c>
      <c r="B23" s="19">
        <v>46276</v>
      </c>
      <c r="C23" s="63"/>
      <c r="D23" s="40">
        <v>2268519</v>
      </c>
      <c r="E23" s="55">
        <f t="shared" si="0"/>
        <v>0</v>
      </c>
      <c r="F23" s="55">
        <f t="shared" si="1"/>
        <v>0</v>
      </c>
      <c r="G23" s="55">
        <f t="shared" si="2"/>
        <v>0</v>
      </c>
      <c r="H23" s="64"/>
      <c r="I23" s="40">
        <v>2268519</v>
      </c>
      <c r="J23" s="42">
        <f t="shared" si="3"/>
        <v>0</v>
      </c>
      <c r="K23" s="42">
        <f t="shared" si="4"/>
        <v>0</v>
      </c>
      <c r="L23" s="42">
        <f t="shared" si="5"/>
        <v>0</v>
      </c>
      <c r="M23" s="15"/>
      <c r="N23" s="44">
        <v>6363.6360000000004</v>
      </c>
      <c r="O23" s="42">
        <f t="shared" si="6"/>
        <v>0</v>
      </c>
      <c r="P23" s="42">
        <f t="shared" si="7"/>
        <v>0</v>
      </c>
      <c r="Q23" s="42">
        <f t="shared" si="8"/>
        <v>0</v>
      </c>
      <c r="R23" s="48"/>
      <c r="S23" s="56">
        <v>4545.4544999999998</v>
      </c>
      <c r="T23" s="42">
        <f t="shared" si="9"/>
        <v>0</v>
      </c>
      <c r="U23" s="42">
        <f t="shared" si="10"/>
        <v>0</v>
      </c>
      <c r="V23" s="42">
        <f t="shared" si="11"/>
        <v>0</v>
      </c>
      <c r="W23" s="46">
        <f t="shared" si="12"/>
        <v>0</v>
      </c>
    </row>
    <row r="24" spans="1:23" s="21" customFormat="1" x14ac:dyDescent="0.3">
      <c r="A24" s="54">
        <v>20</v>
      </c>
      <c r="B24" s="19">
        <v>46277</v>
      </c>
      <c r="C24" s="63"/>
      <c r="D24" s="40">
        <v>2268519</v>
      </c>
      <c r="E24" s="55">
        <f t="shared" si="0"/>
        <v>0</v>
      </c>
      <c r="F24" s="55">
        <f t="shared" si="1"/>
        <v>0</v>
      </c>
      <c r="G24" s="55">
        <f t="shared" si="2"/>
        <v>0</v>
      </c>
      <c r="H24" s="64"/>
      <c r="I24" s="40">
        <v>2268519</v>
      </c>
      <c r="J24" s="42">
        <f t="shared" si="3"/>
        <v>0</v>
      </c>
      <c r="K24" s="42">
        <f t="shared" si="4"/>
        <v>0</v>
      </c>
      <c r="L24" s="42">
        <f t="shared" si="5"/>
        <v>0</v>
      </c>
      <c r="M24" s="15"/>
      <c r="N24" s="44">
        <v>6363.6360000000004</v>
      </c>
      <c r="O24" s="42">
        <f t="shared" si="6"/>
        <v>0</v>
      </c>
      <c r="P24" s="42">
        <f t="shared" si="7"/>
        <v>0</v>
      </c>
      <c r="Q24" s="42">
        <f t="shared" si="8"/>
        <v>0</v>
      </c>
      <c r="R24" s="49"/>
      <c r="S24" s="56">
        <v>4545.4544999999998</v>
      </c>
      <c r="T24" s="42">
        <f t="shared" si="9"/>
        <v>0</v>
      </c>
      <c r="U24" s="42">
        <f t="shared" si="10"/>
        <v>0</v>
      </c>
      <c r="V24" s="42">
        <f t="shared" si="11"/>
        <v>0</v>
      </c>
      <c r="W24" s="46">
        <f t="shared" si="12"/>
        <v>0</v>
      </c>
    </row>
    <row r="25" spans="1:23" s="9" customFormat="1" x14ac:dyDescent="0.3">
      <c r="A25" s="54">
        <v>21</v>
      </c>
      <c r="B25" s="19">
        <v>46278</v>
      </c>
      <c r="C25" s="63"/>
      <c r="D25" s="40">
        <v>2268519</v>
      </c>
      <c r="E25" s="55">
        <f t="shared" si="0"/>
        <v>0</v>
      </c>
      <c r="F25" s="55">
        <f t="shared" si="1"/>
        <v>0</v>
      </c>
      <c r="G25" s="55">
        <f t="shared" si="2"/>
        <v>0</v>
      </c>
      <c r="H25" s="64"/>
      <c r="I25" s="40">
        <v>2268519</v>
      </c>
      <c r="J25" s="42">
        <f t="shared" si="3"/>
        <v>0</v>
      </c>
      <c r="K25" s="42">
        <f t="shared" si="4"/>
        <v>0</v>
      </c>
      <c r="L25" s="42">
        <f t="shared" si="5"/>
        <v>0</v>
      </c>
      <c r="M25" s="15"/>
      <c r="N25" s="44">
        <v>6363.6360000000004</v>
      </c>
      <c r="O25" s="42">
        <f t="shared" si="6"/>
        <v>0</v>
      </c>
      <c r="P25" s="42">
        <f t="shared" si="7"/>
        <v>0</v>
      </c>
      <c r="Q25" s="42">
        <f t="shared" si="8"/>
        <v>0</v>
      </c>
      <c r="R25" s="48"/>
      <c r="S25" s="56">
        <v>4545.4544999999998</v>
      </c>
      <c r="T25" s="42">
        <f t="shared" si="9"/>
        <v>0</v>
      </c>
      <c r="U25" s="42">
        <f t="shared" si="10"/>
        <v>0</v>
      </c>
      <c r="V25" s="42">
        <f t="shared" si="11"/>
        <v>0</v>
      </c>
      <c r="W25" s="46">
        <f t="shared" si="12"/>
        <v>0</v>
      </c>
    </row>
    <row r="26" spans="1:23" s="9" customFormat="1" x14ac:dyDescent="0.3">
      <c r="A26" s="54">
        <v>22</v>
      </c>
      <c r="B26" s="19">
        <v>46279</v>
      </c>
      <c r="C26" s="63"/>
      <c r="D26" s="40">
        <v>2268519</v>
      </c>
      <c r="E26" s="55">
        <f t="shared" si="0"/>
        <v>0</v>
      </c>
      <c r="F26" s="55">
        <f t="shared" si="1"/>
        <v>0</v>
      </c>
      <c r="G26" s="55">
        <f t="shared" si="2"/>
        <v>0</v>
      </c>
      <c r="H26" s="64"/>
      <c r="I26" s="40">
        <v>2268519</v>
      </c>
      <c r="J26" s="42">
        <f t="shared" si="3"/>
        <v>0</v>
      </c>
      <c r="K26" s="42">
        <f t="shared" si="4"/>
        <v>0</v>
      </c>
      <c r="L26" s="42">
        <f t="shared" si="5"/>
        <v>0</v>
      </c>
      <c r="M26" s="15"/>
      <c r="N26" s="44">
        <v>6363.6360000000004</v>
      </c>
      <c r="O26" s="42">
        <f t="shared" si="6"/>
        <v>0</v>
      </c>
      <c r="P26" s="42">
        <f t="shared" si="7"/>
        <v>0</v>
      </c>
      <c r="Q26" s="42">
        <f t="shared" si="8"/>
        <v>0</v>
      </c>
      <c r="R26" s="48"/>
      <c r="S26" s="56">
        <v>4545.4544999999998</v>
      </c>
      <c r="T26" s="42">
        <f t="shared" si="9"/>
        <v>0</v>
      </c>
      <c r="U26" s="42">
        <f t="shared" si="10"/>
        <v>0</v>
      </c>
      <c r="V26" s="42">
        <f t="shared" si="11"/>
        <v>0</v>
      </c>
      <c r="W26" s="46">
        <f t="shared" si="12"/>
        <v>0</v>
      </c>
    </row>
    <row r="27" spans="1:23" s="21" customFormat="1" x14ac:dyDescent="0.3">
      <c r="A27" s="54">
        <v>23</v>
      </c>
      <c r="B27" s="19">
        <v>46280</v>
      </c>
      <c r="C27" s="63"/>
      <c r="D27" s="40">
        <v>2268519</v>
      </c>
      <c r="E27" s="55">
        <f t="shared" si="0"/>
        <v>0</v>
      </c>
      <c r="F27" s="55">
        <f t="shared" si="1"/>
        <v>0</v>
      </c>
      <c r="G27" s="55">
        <f t="shared" si="2"/>
        <v>0</v>
      </c>
      <c r="H27" s="64"/>
      <c r="I27" s="40">
        <v>2268519</v>
      </c>
      <c r="J27" s="42">
        <f t="shared" si="3"/>
        <v>0</v>
      </c>
      <c r="K27" s="42">
        <f t="shared" si="4"/>
        <v>0</v>
      </c>
      <c r="L27" s="42">
        <f t="shared" si="5"/>
        <v>0</v>
      </c>
      <c r="M27" s="15"/>
      <c r="N27" s="44">
        <v>6363.6360000000004</v>
      </c>
      <c r="O27" s="42">
        <f t="shared" si="6"/>
        <v>0</v>
      </c>
      <c r="P27" s="42">
        <f t="shared" si="7"/>
        <v>0</v>
      </c>
      <c r="Q27" s="42">
        <f t="shared" si="8"/>
        <v>0</v>
      </c>
      <c r="R27" s="49"/>
      <c r="S27" s="56">
        <v>4545.4544999999998</v>
      </c>
      <c r="T27" s="42">
        <f t="shared" si="9"/>
        <v>0</v>
      </c>
      <c r="U27" s="42">
        <f t="shared" si="10"/>
        <v>0</v>
      </c>
      <c r="V27" s="42">
        <f t="shared" si="11"/>
        <v>0</v>
      </c>
      <c r="W27" s="46">
        <f t="shared" si="12"/>
        <v>0</v>
      </c>
    </row>
    <row r="28" spans="1:23" s="21" customFormat="1" x14ac:dyDescent="0.3">
      <c r="A28" s="54">
        <v>24</v>
      </c>
      <c r="B28" s="19">
        <v>46281</v>
      </c>
      <c r="C28" s="63"/>
      <c r="D28" s="40">
        <v>2268519</v>
      </c>
      <c r="E28" s="55">
        <f t="shared" si="0"/>
        <v>0</v>
      </c>
      <c r="F28" s="55">
        <f t="shared" si="1"/>
        <v>0</v>
      </c>
      <c r="G28" s="55">
        <f t="shared" si="2"/>
        <v>0</v>
      </c>
      <c r="H28" s="64"/>
      <c r="I28" s="40">
        <v>2268519</v>
      </c>
      <c r="J28" s="42">
        <f t="shared" si="3"/>
        <v>0</v>
      </c>
      <c r="K28" s="42">
        <f t="shared" si="4"/>
        <v>0</v>
      </c>
      <c r="L28" s="42">
        <f t="shared" si="5"/>
        <v>0</v>
      </c>
      <c r="M28" s="15"/>
      <c r="N28" s="44">
        <v>6363.6360000000004</v>
      </c>
      <c r="O28" s="42">
        <f t="shared" si="6"/>
        <v>0</v>
      </c>
      <c r="P28" s="42">
        <f t="shared" si="7"/>
        <v>0</v>
      </c>
      <c r="Q28" s="42">
        <f t="shared" si="8"/>
        <v>0</v>
      </c>
      <c r="R28" s="49"/>
      <c r="S28" s="56">
        <v>4545.4544999999998</v>
      </c>
      <c r="T28" s="42">
        <f t="shared" si="9"/>
        <v>0</v>
      </c>
      <c r="U28" s="42">
        <f t="shared" si="10"/>
        <v>0</v>
      </c>
      <c r="V28" s="42">
        <f t="shared" si="11"/>
        <v>0</v>
      </c>
      <c r="W28" s="46">
        <f t="shared" si="12"/>
        <v>0</v>
      </c>
    </row>
    <row r="29" spans="1:23" s="9" customFormat="1" x14ac:dyDescent="0.3">
      <c r="A29" s="54">
        <v>25</v>
      </c>
      <c r="B29" s="19">
        <v>46282</v>
      </c>
      <c r="C29" s="63"/>
      <c r="D29" s="40">
        <v>2268519</v>
      </c>
      <c r="E29" s="55">
        <f t="shared" si="0"/>
        <v>0</v>
      </c>
      <c r="F29" s="55">
        <f t="shared" si="1"/>
        <v>0</v>
      </c>
      <c r="G29" s="55">
        <f t="shared" si="2"/>
        <v>0</v>
      </c>
      <c r="H29" s="64"/>
      <c r="I29" s="40">
        <v>2268519</v>
      </c>
      <c r="J29" s="42">
        <f t="shared" si="3"/>
        <v>0</v>
      </c>
      <c r="K29" s="42">
        <f t="shared" si="4"/>
        <v>0</v>
      </c>
      <c r="L29" s="42">
        <f t="shared" si="5"/>
        <v>0</v>
      </c>
      <c r="M29" s="15"/>
      <c r="N29" s="44">
        <v>6363.6360000000004</v>
      </c>
      <c r="O29" s="42">
        <f t="shared" si="6"/>
        <v>0</v>
      </c>
      <c r="P29" s="42">
        <f t="shared" si="7"/>
        <v>0</v>
      </c>
      <c r="Q29" s="42">
        <f t="shared" si="8"/>
        <v>0</v>
      </c>
      <c r="R29" s="48"/>
      <c r="S29" s="56">
        <v>4545.4544999999998</v>
      </c>
      <c r="T29" s="42">
        <f t="shared" si="9"/>
        <v>0</v>
      </c>
      <c r="U29" s="42">
        <f t="shared" si="10"/>
        <v>0</v>
      </c>
      <c r="V29" s="42">
        <f t="shared" si="11"/>
        <v>0</v>
      </c>
      <c r="W29" s="46">
        <f t="shared" si="12"/>
        <v>0</v>
      </c>
    </row>
    <row r="30" spans="1:23" s="21" customFormat="1" x14ac:dyDescent="0.3">
      <c r="A30" s="54">
        <v>26</v>
      </c>
      <c r="B30" s="19">
        <v>46283</v>
      </c>
      <c r="C30" s="63"/>
      <c r="D30" s="40">
        <v>2268519</v>
      </c>
      <c r="E30" s="55">
        <f t="shared" si="0"/>
        <v>0</v>
      </c>
      <c r="F30" s="55">
        <f t="shared" si="1"/>
        <v>0</v>
      </c>
      <c r="G30" s="55">
        <f t="shared" si="2"/>
        <v>0</v>
      </c>
      <c r="H30" s="64"/>
      <c r="I30" s="40">
        <v>2268519</v>
      </c>
      <c r="J30" s="42">
        <f t="shared" si="3"/>
        <v>0</v>
      </c>
      <c r="K30" s="42">
        <f t="shared" si="4"/>
        <v>0</v>
      </c>
      <c r="L30" s="42">
        <f t="shared" si="5"/>
        <v>0</v>
      </c>
      <c r="M30" s="15"/>
      <c r="N30" s="44">
        <v>6363.6360000000004</v>
      </c>
      <c r="O30" s="42">
        <f t="shared" si="6"/>
        <v>0</v>
      </c>
      <c r="P30" s="42">
        <f t="shared" si="7"/>
        <v>0</v>
      </c>
      <c r="Q30" s="42">
        <f t="shared" si="8"/>
        <v>0</v>
      </c>
      <c r="R30" s="49"/>
      <c r="S30" s="56">
        <v>4545.4544999999998</v>
      </c>
      <c r="T30" s="42">
        <f t="shared" si="9"/>
        <v>0</v>
      </c>
      <c r="U30" s="42">
        <f t="shared" si="10"/>
        <v>0</v>
      </c>
      <c r="V30" s="42">
        <f t="shared" si="11"/>
        <v>0</v>
      </c>
      <c r="W30" s="46">
        <f t="shared" si="12"/>
        <v>0</v>
      </c>
    </row>
    <row r="31" spans="1:23" s="9" customFormat="1" x14ac:dyDescent="0.3">
      <c r="A31" s="54">
        <v>27</v>
      </c>
      <c r="B31" s="19">
        <v>46284</v>
      </c>
      <c r="C31" s="63"/>
      <c r="D31" s="40">
        <v>2268519</v>
      </c>
      <c r="E31" s="55">
        <f t="shared" si="0"/>
        <v>0</v>
      </c>
      <c r="F31" s="55">
        <f t="shared" si="1"/>
        <v>0</v>
      </c>
      <c r="G31" s="55">
        <f t="shared" si="2"/>
        <v>0</v>
      </c>
      <c r="H31" s="64"/>
      <c r="I31" s="40">
        <v>2268519</v>
      </c>
      <c r="J31" s="42">
        <f t="shared" si="3"/>
        <v>0</v>
      </c>
      <c r="K31" s="42">
        <f t="shared" si="4"/>
        <v>0</v>
      </c>
      <c r="L31" s="42">
        <f t="shared" si="5"/>
        <v>0</v>
      </c>
      <c r="M31" s="15"/>
      <c r="N31" s="44">
        <v>6363.6360000000004</v>
      </c>
      <c r="O31" s="42">
        <f t="shared" si="6"/>
        <v>0</v>
      </c>
      <c r="P31" s="42">
        <f t="shared" si="7"/>
        <v>0</v>
      </c>
      <c r="Q31" s="42">
        <f t="shared" si="8"/>
        <v>0</v>
      </c>
      <c r="R31" s="48"/>
      <c r="S31" s="56">
        <v>4545.4544999999998</v>
      </c>
      <c r="T31" s="42">
        <f t="shared" si="9"/>
        <v>0</v>
      </c>
      <c r="U31" s="42">
        <f t="shared" si="10"/>
        <v>0</v>
      </c>
      <c r="V31" s="42">
        <f t="shared" si="11"/>
        <v>0</v>
      </c>
      <c r="W31" s="46">
        <f t="shared" si="12"/>
        <v>0</v>
      </c>
    </row>
    <row r="32" spans="1:23" s="9" customFormat="1" x14ac:dyDescent="0.3">
      <c r="A32" s="54">
        <v>28</v>
      </c>
      <c r="B32" s="19">
        <v>46285</v>
      </c>
      <c r="C32" s="63"/>
      <c r="D32" s="40">
        <v>2268519</v>
      </c>
      <c r="E32" s="55">
        <f t="shared" si="0"/>
        <v>0</v>
      </c>
      <c r="F32" s="55">
        <f t="shared" si="1"/>
        <v>0</v>
      </c>
      <c r="G32" s="55">
        <f t="shared" si="2"/>
        <v>0</v>
      </c>
      <c r="H32" s="64"/>
      <c r="I32" s="40">
        <v>2268519</v>
      </c>
      <c r="J32" s="42">
        <f t="shared" si="3"/>
        <v>0</v>
      </c>
      <c r="K32" s="42">
        <f t="shared" si="4"/>
        <v>0</v>
      </c>
      <c r="L32" s="42">
        <f t="shared" si="5"/>
        <v>0</v>
      </c>
      <c r="M32" s="15"/>
      <c r="N32" s="44">
        <v>6363.6360000000004</v>
      </c>
      <c r="O32" s="42">
        <f t="shared" si="6"/>
        <v>0</v>
      </c>
      <c r="P32" s="42">
        <f t="shared" si="7"/>
        <v>0</v>
      </c>
      <c r="Q32" s="42">
        <f t="shared" si="8"/>
        <v>0</v>
      </c>
      <c r="R32" s="48"/>
      <c r="S32" s="56">
        <v>4545.4544999999998</v>
      </c>
      <c r="T32" s="42">
        <f t="shared" si="9"/>
        <v>0</v>
      </c>
      <c r="U32" s="42">
        <f t="shared" si="10"/>
        <v>0</v>
      </c>
      <c r="V32" s="42">
        <f t="shared" si="11"/>
        <v>0</v>
      </c>
      <c r="W32" s="46">
        <f t="shared" si="12"/>
        <v>0</v>
      </c>
    </row>
    <row r="33" spans="1:23" s="9" customFormat="1" x14ac:dyDescent="0.3">
      <c r="A33" s="54">
        <v>29</v>
      </c>
      <c r="B33" s="19">
        <v>46286</v>
      </c>
      <c r="C33" s="63"/>
      <c r="D33" s="40">
        <v>2268519</v>
      </c>
      <c r="E33" s="55">
        <f t="shared" si="0"/>
        <v>0</v>
      </c>
      <c r="F33" s="55">
        <f t="shared" si="1"/>
        <v>0</v>
      </c>
      <c r="G33" s="55">
        <f t="shared" si="2"/>
        <v>0</v>
      </c>
      <c r="H33" s="64"/>
      <c r="I33" s="40">
        <v>2268519</v>
      </c>
      <c r="J33" s="42">
        <f t="shared" si="3"/>
        <v>0</v>
      </c>
      <c r="K33" s="42">
        <f t="shared" si="4"/>
        <v>0</v>
      </c>
      <c r="L33" s="42">
        <f t="shared" si="5"/>
        <v>0</v>
      </c>
      <c r="M33" s="15"/>
      <c r="N33" s="44">
        <v>6363.6360000000004</v>
      </c>
      <c r="O33" s="42">
        <f t="shared" si="6"/>
        <v>0</v>
      </c>
      <c r="P33" s="42">
        <f t="shared" si="7"/>
        <v>0</v>
      </c>
      <c r="Q33" s="42">
        <f t="shared" si="8"/>
        <v>0</v>
      </c>
      <c r="R33" s="48"/>
      <c r="S33" s="56">
        <v>4545.4544999999998</v>
      </c>
      <c r="T33" s="42">
        <f t="shared" si="9"/>
        <v>0</v>
      </c>
      <c r="U33" s="42">
        <f t="shared" si="10"/>
        <v>0</v>
      </c>
      <c r="V33" s="42">
        <f t="shared" si="11"/>
        <v>0</v>
      </c>
      <c r="W33" s="46">
        <f t="shared" si="12"/>
        <v>0</v>
      </c>
    </row>
    <row r="34" spans="1:23" s="9" customFormat="1" x14ac:dyDescent="0.3">
      <c r="A34" s="54">
        <v>30</v>
      </c>
      <c r="B34" s="19">
        <v>46287</v>
      </c>
      <c r="C34" s="63"/>
      <c r="D34" s="40">
        <v>2268519</v>
      </c>
      <c r="E34" s="55">
        <f t="shared" si="0"/>
        <v>0</v>
      </c>
      <c r="F34" s="55">
        <f t="shared" si="1"/>
        <v>0</v>
      </c>
      <c r="G34" s="55">
        <f t="shared" si="2"/>
        <v>0</v>
      </c>
      <c r="H34" s="64"/>
      <c r="I34" s="40">
        <v>2268519</v>
      </c>
      <c r="J34" s="42">
        <f t="shared" si="3"/>
        <v>0</v>
      </c>
      <c r="K34" s="42">
        <f t="shared" si="4"/>
        <v>0</v>
      </c>
      <c r="L34" s="42">
        <f t="shared" si="5"/>
        <v>0</v>
      </c>
      <c r="M34" s="15"/>
      <c r="N34" s="44">
        <v>6363.6360000000004</v>
      </c>
      <c r="O34" s="42">
        <f t="shared" si="6"/>
        <v>0</v>
      </c>
      <c r="P34" s="42">
        <f t="shared" si="7"/>
        <v>0</v>
      </c>
      <c r="Q34" s="42">
        <f t="shared" si="8"/>
        <v>0</v>
      </c>
      <c r="R34" s="48"/>
      <c r="S34" s="56">
        <v>4545.4544999999998</v>
      </c>
      <c r="T34" s="42">
        <f t="shared" si="9"/>
        <v>0</v>
      </c>
      <c r="U34" s="42">
        <f t="shared" si="10"/>
        <v>0</v>
      </c>
      <c r="V34" s="42">
        <f t="shared" si="11"/>
        <v>0</v>
      </c>
      <c r="W34" s="46">
        <f t="shared" si="12"/>
        <v>0</v>
      </c>
    </row>
    <row r="35" spans="1:23" s="9" customFormat="1" x14ac:dyDescent="0.3">
      <c r="A35" s="54">
        <v>31</v>
      </c>
      <c r="B35" s="19">
        <v>46288</v>
      </c>
      <c r="C35" s="63"/>
      <c r="D35" s="40">
        <v>2268519</v>
      </c>
      <c r="E35" s="55">
        <f>ROUND(D35*C35,0)</f>
        <v>0</v>
      </c>
      <c r="F35" s="55">
        <f t="shared" si="1"/>
        <v>0</v>
      </c>
      <c r="G35" s="55">
        <f t="shared" si="2"/>
        <v>0</v>
      </c>
      <c r="H35" s="64"/>
      <c r="I35" s="40">
        <v>2268519</v>
      </c>
      <c r="J35" s="42">
        <f t="shared" si="3"/>
        <v>0</v>
      </c>
      <c r="K35" s="42">
        <f t="shared" si="4"/>
        <v>0</v>
      </c>
      <c r="L35" s="42">
        <f t="shared" si="5"/>
        <v>0</v>
      </c>
      <c r="M35" s="15"/>
      <c r="N35" s="44">
        <v>6363.6360000000004</v>
      </c>
      <c r="O35" s="42">
        <f t="shared" si="6"/>
        <v>0</v>
      </c>
      <c r="P35" s="42">
        <f t="shared" si="7"/>
        <v>0</v>
      </c>
      <c r="Q35" s="42">
        <f t="shared" si="8"/>
        <v>0</v>
      </c>
      <c r="R35" s="48"/>
      <c r="S35" s="56">
        <v>4545.4544999999998</v>
      </c>
      <c r="T35" s="42">
        <f t="shared" si="9"/>
        <v>0</v>
      </c>
      <c r="U35" s="42">
        <f t="shared" si="10"/>
        <v>0</v>
      </c>
      <c r="V35" s="42">
        <f t="shared" si="11"/>
        <v>0</v>
      </c>
      <c r="W35" s="46">
        <f t="shared" si="12"/>
        <v>0</v>
      </c>
    </row>
    <row r="36" spans="1:23" s="9" customFormat="1" x14ac:dyDescent="0.3">
      <c r="A36" s="54">
        <v>32</v>
      </c>
      <c r="B36" s="19">
        <v>46289</v>
      </c>
      <c r="C36" s="63"/>
      <c r="D36" s="40">
        <v>2268519</v>
      </c>
      <c r="E36" s="55">
        <f>ROUND(D36*C36,0)</f>
        <v>0</v>
      </c>
      <c r="F36" s="55">
        <f>ROUND(E36*8%,0)</f>
        <v>0</v>
      </c>
      <c r="G36" s="55">
        <f>E36+F36</f>
        <v>0</v>
      </c>
      <c r="H36" s="64"/>
      <c r="I36" s="40">
        <v>2268519</v>
      </c>
      <c r="J36" s="42">
        <f>ROUND(I36*H36,0)</f>
        <v>0</v>
      </c>
      <c r="K36" s="42">
        <f t="shared" si="4"/>
        <v>0</v>
      </c>
      <c r="L36" s="42">
        <f>J36+K36</f>
        <v>0</v>
      </c>
      <c r="M36" s="15"/>
      <c r="N36" s="44">
        <v>6363.6360000000004</v>
      </c>
      <c r="O36" s="42">
        <f>ROUND(N36*M36,0)</f>
        <v>0</v>
      </c>
      <c r="P36" s="42">
        <f>ROUND(O36*8%,0)</f>
        <v>0</v>
      </c>
      <c r="Q36" s="42">
        <f>O36+P36</f>
        <v>0</v>
      </c>
      <c r="R36" s="48"/>
      <c r="S36" s="56">
        <v>4545.4544999999998</v>
      </c>
      <c r="T36" s="42">
        <f>ROUND(R36*S36,0)</f>
        <v>0</v>
      </c>
      <c r="U36" s="42">
        <f>ROUND(T36*10%,0)</f>
        <v>0</v>
      </c>
      <c r="V36" s="42">
        <f>T36+U36</f>
        <v>0</v>
      </c>
      <c r="W36" s="46">
        <f>G36+L36+Q36+V36</f>
        <v>0</v>
      </c>
    </row>
    <row r="37" spans="1:23" x14ac:dyDescent="0.3">
      <c r="A37" s="65"/>
      <c r="B37" s="66"/>
      <c r="C37" s="8">
        <v>0</v>
      </c>
      <c r="D37" s="7"/>
      <c r="E37" s="57">
        <f>SUM(E5:E34)</f>
        <v>14359727</v>
      </c>
      <c r="F37" s="57">
        <f>SUM(F5:F35)</f>
        <v>1148778</v>
      </c>
      <c r="G37" s="59">
        <f>SUM(G5:G36)</f>
        <v>15508505</v>
      </c>
      <c r="H37" s="8">
        <v>0</v>
      </c>
      <c r="I37" s="58"/>
      <c r="J37" s="58">
        <f>SUM(J5:J35)</f>
        <v>1814812</v>
      </c>
      <c r="K37" s="58">
        <f>SUM(K5:K35)</f>
        <v>145188</v>
      </c>
      <c r="L37" s="60">
        <f>SUM(L5:L36)</f>
        <v>1960000</v>
      </c>
      <c r="M37" s="7">
        <f>SUM(M5:M35)</f>
        <v>0</v>
      </c>
      <c r="N37" s="58"/>
      <c r="O37" s="58">
        <f>SUM(O5:O35)</f>
        <v>0</v>
      </c>
      <c r="P37" s="58">
        <f>SUM(P5:P35)</f>
        <v>0</v>
      </c>
      <c r="Q37" s="60">
        <f>SUM(Q5:Q36)</f>
        <v>0</v>
      </c>
      <c r="R37" s="7">
        <f>SUM(R5:R35)</f>
        <v>0</v>
      </c>
      <c r="S37" s="7"/>
      <c r="T37" s="58">
        <f>SUM(T5:T35)</f>
        <v>0</v>
      </c>
      <c r="U37" s="58">
        <f>SUM(U5:U35)</f>
        <v>0</v>
      </c>
      <c r="V37" s="60">
        <f>SUM(V5:V36)</f>
        <v>0</v>
      </c>
      <c r="W37" s="60">
        <f>Q37+L37+G37+V37</f>
        <v>17468505</v>
      </c>
    </row>
    <row r="38" spans="1:23" x14ac:dyDescent="0.3">
      <c r="A38" s="3"/>
      <c r="B38" s="67" t="s">
        <v>1</v>
      </c>
      <c r="C38" s="67"/>
      <c r="D38" s="67"/>
      <c r="E38" s="67"/>
      <c r="F38" s="52"/>
      <c r="G38" s="52"/>
      <c r="H38" s="61"/>
      <c r="I38" s="5"/>
      <c r="J38" s="4"/>
      <c r="K38" s="4"/>
      <c r="L38" s="4"/>
      <c r="M38" s="4"/>
      <c r="N38" s="4"/>
      <c r="O38" s="4"/>
      <c r="P38" s="4"/>
      <c r="Q38" s="4"/>
      <c r="R38" s="67" t="s">
        <v>1</v>
      </c>
      <c r="S38" s="67"/>
      <c r="T38" s="67"/>
      <c r="U38" s="67"/>
      <c r="V38" s="67"/>
      <c r="W38" s="67"/>
    </row>
    <row r="39" spans="1:23" x14ac:dyDescent="0.3">
      <c r="A39" s="3"/>
      <c r="B39" s="68" t="s">
        <v>32</v>
      </c>
      <c r="C39" s="68"/>
      <c r="D39" s="68"/>
      <c r="E39" s="68"/>
      <c r="F39" s="53"/>
      <c r="G39" s="53"/>
      <c r="H39" s="1"/>
      <c r="I39" s="2"/>
      <c r="J39" s="1"/>
      <c r="K39" s="1"/>
      <c r="L39" s="1"/>
      <c r="M39" s="1"/>
      <c r="N39" s="1"/>
      <c r="O39" s="68" t="s">
        <v>15</v>
      </c>
      <c r="P39" s="68"/>
      <c r="Q39" s="68"/>
      <c r="R39" s="68"/>
      <c r="S39" s="68"/>
      <c r="T39" s="68"/>
      <c r="U39" s="68"/>
      <c r="V39" s="68"/>
      <c r="W39" s="68"/>
    </row>
  </sheetData>
  <mergeCells count="12">
    <mergeCell ref="A1:W1"/>
    <mergeCell ref="C3:G3"/>
    <mergeCell ref="H3:L3"/>
    <mergeCell ref="M3:Q3"/>
    <mergeCell ref="R3:V3"/>
    <mergeCell ref="W3:W4"/>
    <mergeCell ref="A4:B4"/>
    <mergeCell ref="A37:B37"/>
    <mergeCell ref="B38:E38"/>
    <mergeCell ref="R38:W38"/>
    <mergeCell ref="B39:E39"/>
    <mergeCell ref="O39:W39"/>
  </mergeCells>
  <conditionalFormatting sqref="B5:B36">
    <cfRule type="expression" dxfId="12" priority="1" stopIfTrue="1">
      <formula>WEEKDAY($B5)=1</formula>
    </cfRule>
  </conditionalFormatting>
  <dataValidations count="1">
    <dataValidation type="decimal" showInputMessage="1" showErrorMessage="1" sqref="C38:C1048576 C1:C36" xr:uid="{2F0C6FA4-729B-4060-9286-AAE587875C3E}">
      <formula1>0</formula1>
      <formula2>1</formula2>
    </dataValidation>
  </dataValidations>
  <pageMargins left="0.23622047244094491" right="0.19685039370078741" top="0.35433070866141736" bottom="0.74803149606299213" header="0.31496062992125984" footer="0.31496062992125984"/>
  <pageSetup paperSize="9" scale="6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49CF1-ACAF-46C3-96D8-DC440EC3B5E4}">
  <sheetPr codeName="Sheet14">
    <pageSetUpPr fitToPage="1"/>
  </sheetPr>
  <dimension ref="A1:W37"/>
  <sheetViews>
    <sheetView view="pageBreakPreview" zoomScale="115" zoomScaleNormal="115" zoomScaleSheetLayoutView="115" workbookViewId="0">
      <pane ySplit="4" topLeftCell="A5" activePane="bottomLeft" state="frozen"/>
      <selection pane="bottomLeft" activeCell="K5" sqref="K5:K20"/>
    </sheetView>
  </sheetViews>
  <sheetFormatPr defaultRowHeight="14" x14ac:dyDescent="0.3"/>
  <cols>
    <col min="5" max="5" width="10.1640625" bestFit="1" customWidth="1"/>
    <col min="6" max="7" width="10.1640625" customWidth="1"/>
    <col min="10" max="10" width="9.9140625" bestFit="1" customWidth="1"/>
    <col min="11" max="12" width="9.9140625" customWidth="1"/>
    <col min="15" max="15" width="9.9140625" bestFit="1" customWidth="1"/>
    <col min="16" max="17" width="9.9140625" customWidth="1"/>
    <col min="20" max="20" width="9.9140625" bestFit="1" customWidth="1"/>
    <col min="21" max="22" width="9.9140625" customWidth="1"/>
    <col min="23" max="23" width="10.6640625" bestFit="1" customWidth="1"/>
  </cols>
  <sheetData>
    <row r="1" spans="1:23" ht="44.25" customHeight="1" x14ac:dyDescent="0.3">
      <c r="A1" s="69" t="s">
        <v>35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</row>
    <row r="2" spans="1:23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7"/>
      <c r="V2" s="27"/>
      <c r="W2" s="27"/>
    </row>
    <row r="3" spans="1:23" ht="26.25" customHeight="1" x14ac:dyDescent="0.3">
      <c r="A3" s="26" t="s">
        <v>13</v>
      </c>
      <c r="B3" s="25" t="s">
        <v>12</v>
      </c>
      <c r="C3" s="71" t="s">
        <v>11</v>
      </c>
      <c r="D3" s="72"/>
      <c r="E3" s="72"/>
      <c r="F3" s="72"/>
      <c r="G3" s="73"/>
      <c r="H3" s="74" t="s">
        <v>10</v>
      </c>
      <c r="I3" s="72"/>
      <c r="J3" s="72"/>
      <c r="K3" s="72"/>
      <c r="L3" s="73"/>
      <c r="M3" s="74" t="s">
        <v>9</v>
      </c>
      <c r="N3" s="72"/>
      <c r="O3" s="72"/>
      <c r="P3" s="72"/>
      <c r="Q3" s="73"/>
      <c r="R3" s="75" t="s">
        <v>8</v>
      </c>
      <c r="S3" s="76"/>
      <c r="T3" s="76"/>
      <c r="U3" s="76"/>
      <c r="V3" s="77"/>
      <c r="W3" s="78" t="s">
        <v>7</v>
      </c>
    </row>
    <row r="4" spans="1:23" ht="60.5" customHeight="1" x14ac:dyDescent="0.3">
      <c r="A4" s="80" t="s">
        <v>17</v>
      </c>
      <c r="B4" s="81"/>
      <c r="C4" s="24" t="s">
        <v>5</v>
      </c>
      <c r="D4" s="24" t="s">
        <v>28</v>
      </c>
      <c r="E4" s="24" t="s">
        <v>29</v>
      </c>
      <c r="F4" s="24" t="s">
        <v>23</v>
      </c>
      <c r="G4" s="24" t="s">
        <v>27</v>
      </c>
      <c r="H4" s="24" t="s">
        <v>5</v>
      </c>
      <c r="I4" s="24" t="s">
        <v>28</v>
      </c>
      <c r="J4" s="24" t="s">
        <v>29</v>
      </c>
      <c r="K4" s="24" t="s">
        <v>23</v>
      </c>
      <c r="L4" s="24" t="s">
        <v>27</v>
      </c>
      <c r="M4" s="24" t="s">
        <v>4</v>
      </c>
      <c r="N4" s="24" t="s">
        <v>28</v>
      </c>
      <c r="O4" s="24" t="s">
        <v>29</v>
      </c>
      <c r="P4" s="24" t="s">
        <v>23</v>
      </c>
      <c r="Q4" s="24" t="s">
        <v>27</v>
      </c>
      <c r="R4" s="24" t="s">
        <v>4</v>
      </c>
      <c r="S4" s="24" t="s">
        <v>28</v>
      </c>
      <c r="T4" s="24" t="s">
        <v>29</v>
      </c>
      <c r="U4" s="24" t="s">
        <v>26</v>
      </c>
      <c r="V4" s="24" t="s">
        <v>27</v>
      </c>
      <c r="W4" s="79"/>
    </row>
    <row r="5" spans="1:23" s="9" customFormat="1" x14ac:dyDescent="0.3">
      <c r="A5" s="54">
        <v>1</v>
      </c>
      <c r="B5" s="19">
        <v>46228</v>
      </c>
      <c r="C5" s="63">
        <v>0.75</v>
      </c>
      <c r="D5" s="40">
        <v>2268519</v>
      </c>
      <c r="E5" s="55">
        <f t="shared" ref="E5:E34" si="0">ROUND(D5*C5,0)</f>
        <v>1701389</v>
      </c>
      <c r="F5" s="55">
        <f t="shared" ref="F5:F34" si="1">ROUND(E5*8%,0)</f>
        <v>136111</v>
      </c>
      <c r="G5" s="55">
        <f t="shared" ref="G5:G34" si="2">E5+F5</f>
        <v>1837500</v>
      </c>
      <c r="H5" s="64">
        <v>0.13</v>
      </c>
      <c r="I5" s="40">
        <v>2268519</v>
      </c>
      <c r="J5" s="42">
        <f t="shared" ref="J5:J34" si="3">ROUND(I5*H5,0)</f>
        <v>294907</v>
      </c>
      <c r="K5" s="42">
        <f t="shared" ref="K5:K34" si="4">ROUND(J5*8%,0)</f>
        <v>23593</v>
      </c>
      <c r="L5" s="42">
        <f t="shared" ref="L5:L34" si="5">J5+K5</f>
        <v>318500</v>
      </c>
      <c r="M5" s="15"/>
      <c r="N5" s="44">
        <v>6363.6360000000004</v>
      </c>
      <c r="O5" s="42">
        <f t="shared" ref="O5:O34" si="6">ROUND(N5*M5,0)</f>
        <v>0</v>
      </c>
      <c r="P5" s="42">
        <f t="shared" ref="P5:P34" si="7">ROUND(O5*8%,0)</f>
        <v>0</v>
      </c>
      <c r="Q5" s="42">
        <f t="shared" ref="Q5:Q34" si="8">O5+P5</f>
        <v>0</v>
      </c>
      <c r="R5" s="48">
        <v>96</v>
      </c>
      <c r="S5" s="56">
        <v>4545.4544999999998</v>
      </c>
      <c r="T5" s="42">
        <f t="shared" ref="T5:T34" si="9">ROUND(R5*S5,0)</f>
        <v>436364</v>
      </c>
      <c r="U5" s="42">
        <f t="shared" ref="U5:U34" si="10">ROUND(T5*10%,0)</f>
        <v>43636</v>
      </c>
      <c r="V5" s="42">
        <f t="shared" ref="V5:V34" si="11">T5+U5</f>
        <v>480000</v>
      </c>
      <c r="W5" s="46">
        <f t="shared" ref="W5:W34" si="12">G5+L5+Q5+V5</f>
        <v>2636000</v>
      </c>
    </row>
    <row r="6" spans="1:23" s="21" customFormat="1" x14ac:dyDescent="0.3">
      <c r="A6" s="54">
        <v>2</v>
      </c>
      <c r="B6" s="19">
        <v>46229</v>
      </c>
      <c r="C6" s="63">
        <v>0.25</v>
      </c>
      <c r="D6" s="40">
        <v>2268519</v>
      </c>
      <c r="E6" s="55">
        <f t="shared" si="0"/>
        <v>567130</v>
      </c>
      <c r="F6" s="55">
        <f t="shared" si="1"/>
        <v>45370</v>
      </c>
      <c r="G6" s="55">
        <f t="shared" si="2"/>
        <v>612500</v>
      </c>
      <c r="H6" s="64"/>
      <c r="I6" s="40">
        <v>2268519</v>
      </c>
      <c r="J6" s="42">
        <f t="shared" si="3"/>
        <v>0</v>
      </c>
      <c r="K6" s="42">
        <f t="shared" si="4"/>
        <v>0</v>
      </c>
      <c r="L6" s="42">
        <f t="shared" si="5"/>
        <v>0</v>
      </c>
      <c r="M6" s="15"/>
      <c r="N6" s="44">
        <v>6363.6360000000004</v>
      </c>
      <c r="O6" s="42">
        <f t="shared" si="6"/>
        <v>0</v>
      </c>
      <c r="P6" s="42">
        <f t="shared" si="7"/>
        <v>0</v>
      </c>
      <c r="Q6" s="42">
        <f t="shared" si="8"/>
        <v>0</v>
      </c>
      <c r="R6" s="49"/>
      <c r="S6" s="56">
        <v>4545.4544999999998</v>
      </c>
      <c r="T6" s="42">
        <f t="shared" si="9"/>
        <v>0</v>
      </c>
      <c r="U6" s="42">
        <f t="shared" si="10"/>
        <v>0</v>
      </c>
      <c r="V6" s="42">
        <f t="shared" si="11"/>
        <v>0</v>
      </c>
      <c r="W6" s="46">
        <f t="shared" si="12"/>
        <v>612500</v>
      </c>
    </row>
    <row r="7" spans="1:23" s="9" customFormat="1" x14ac:dyDescent="0.3">
      <c r="A7" s="54">
        <v>3</v>
      </c>
      <c r="B7" s="19">
        <v>46230</v>
      </c>
      <c r="C7" s="63">
        <v>1</v>
      </c>
      <c r="D7" s="40">
        <v>2268519</v>
      </c>
      <c r="E7" s="55">
        <f t="shared" si="0"/>
        <v>2268519</v>
      </c>
      <c r="F7" s="55">
        <f t="shared" si="1"/>
        <v>181482</v>
      </c>
      <c r="G7" s="55">
        <f t="shared" si="2"/>
        <v>2450001</v>
      </c>
      <c r="H7" s="64">
        <v>0.13</v>
      </c>
      <c r="I7" s="40">
        <v>2268519</v>
      </c>
      <c r="J7" s="42">
        <f t="shared" si="3"/>
        <v>294907</v>
      </c>
      <c r="K7" s="42">
        <f t="shared" si="4"/>
        <v>23593</v>
      </c>
      <c r="L7" s="42">
        <f t="shared" si="5"/>
        <v>318500</v>
      </c>
      <c r="M7" s="15"/>
      <c r="N7" s="44">
        <v>6363.6360000000004</v>
      </c>
      <c r="O7" s="42">
        <f t="shared" si="6"/>
        <v>0</v>
      </c>
      <c r="P7" s="42">
        <f t="shared" si="7"/>
        <v>0</v>
      </c>
      <c r="Q7" s="42">
        <f t="shared" si="8"/>
        <v>0</v>
      </c>
      <c r="R7" s="48"/>
      <c r="S7" s="56">
        <v>4545.4544999999998</v>
      </c>
      <c r="T7" s="42">
        <f t="shared" si="9"/>
        <v>0</v>
      </c>
      <c r="U7" s="42">
        <f t="shared" si="10"/>
        <v>0</v>
      </c>
      <c r="V7" s="42">
        <f t="shared" si="11"/>
        <v>0</v>
      </c>
      <c r="W7" s="46">
        <f t="shared" si="12"/>
        <v>2768501</v>
      </c>
    </row>
    <row r="8" spans="1:23" s="9" customFormat="1" x14ac:dyDescent="0.3">
      <c r="A8" s="54">
        <v>4</v>
      </c>
      <c r="B8" s="19">
        <v>46231</v>
      </c>
      <c r="C8" s="63">
        <v>1</v>
      </c>
      <c r="D8" s="40">
        <v>2268519</v>
      </c>
      <c r="E8" s="55">
        <f t="shared" si="0"/>
        <v>2268519</v>
      </c>
      <c r="F8" s="55">
        <f t="shared" si="1"/>
        <v>181482</v>
      </c>
      <c r="G8" s="55">
        <f t="shared" si="2"/>
        <v>2450001</v>
      </c>
      <c r="H8" s="64">
        <v>7.0000000000000007E-2</v>
      </c>
      <c r="I8" s="40">
        <v>2268519</v>
      </c>
      <c r="J8" s="42">
        <f t="shared" si="3"/>
        <v>158796</v>
      </c>
      <c r="K8" s="42">
        <f t="shared" si="4"/>
        <v>12704</v>
      </c>
      <c r="L8" s="42">
        <f t="shared" si="5"/>
        <v>171500</v>
      </c>
      <c r="M8" s="15"/>
      <c r="N8" s="44">
        <v>6363.6360000000004</v>
      </c>
      <c r="O8" s="42">
        <f t="shared" si="6"/>
        <v>0</v>
      </c>
      <c r="P8" s="42">
        <f t="shared" si="7"/>
        <v>0</v>
      </c>
      <c r="Q8" s="42">
        <f t="shared" si="8"/>
        <v>0</v>
      </c>
      <c r="R8" s="48"/>
      <c r="S8" s="56">
        <v>4545.4544999999998</v>
      </c>
      <c r="T8" s="42">
        <f t="shared" si="9"/>
        <v>0</v>
      </c>
      <c r="U8" s="42">
        <f t="shared" si="10"/>
        <v>0</v>
      </c>
      <c r="V8" s="42">
        <f t="shared" si="11"/>
        <v>0</v>
      </c>
      <c r="W8" s="46">
        <f t="shared" si="12"/>
        <v>2621501</v>
      </c>
    </row>
    <row r="9" spans="1:23" s="21" customFormat="1" x14ac:dyDescent="0.3">
      <c r="A9" s="54">
        <v>5</v>
      </c>
      <c r="B9" s="19">
        <v>46232</v>
      </c>
      <c r="C9" s="63">
        <v>0.75</v>
      </c>
      <c r="D9" s="40">
        <v>2268519</v>
      </c>
      <c r="E9" s="55">
        <f t="shared" si="0"/>
        <v>1701389</v>
      </c>
      <c r="F9" s="55">
        <f t="shared" si="1"/>
        <v>136111</v>
      </c>
      <c r="G9" s="55">
        <f t="shared" si="2"/>
        <v>1837500</v>
      </c>
      <c r="H9" s="64"/>
      <c r="I9" s="40">
        <v>2268519</v>
      </c>
      <c r="J9" s="42">
        <f t="shared" si="3"/>
        <v>0</v>
      </c>
      <c r="K9" s="42">
        <f t="shared" si="4"/>
        <v>0</v>
      </c>
      <c r="L9" s="42">
        <f t="shared" si="5"/>
        <v>0</v>
      </c>
      <c r="M9" s="15"/>
      <c r="N9" s="44">
        <v>6363.6360000000004</v>
      </c>
      <c r="O9" s="42">
        <f t="shared" si="6"/>
        <v>0</v>
      </c>
      <c r="P9" s="42">
        <f t="shared" si="7"/>
        <v>0</v>
      </c>
      <c r="Q9" s="42">
        <f t="shared" si="8"/>
        <v>0</v>
      </c>
      <c r="R9" s="49"/>
      <c r="S9" s="56">
        <v>4545.4544999999998</v>
      </c>
      <c r="T9" s="42">
        <f t="shared" si="9"/>
        <v>0</v>
      </c>
      <c r="U9" s="42">
        <f t="shared" si="10"/>
        <v>0</v>
      </c>
      <c r="V9" s="42">
        <f t="shared" si="11"/>
        <v>0</v>
      </c>
      <c r="W9" s="46">
        <f t="shared" si="12"/>
        <v>1837500</v>
      </c>
    </row>
    <row r="10" spans="1:23" s="21" customFormat="1" x14ac:dyDescent="0.3">
      <c r="A10" s="54">
        <v>6</v>
      </c>
      <c r="B10" s="19">
        <v>46233</v>
      </c>
      <c r="C10" s="63">
        <v>1</v>
      </c>
      <c r="D10" s="40">
        <v>2268519</v>
      </c>
      <c r="E10" s="55">
        <f t="shared" si="0"/>
        <v>2268519</v>
      </c>
      <c r="F10" s="55">
        <f t="shared" si="1"/>
        <v>181482</v>
      </c>
      <c r="G10" s="55">
        <f t="shared" si="2"/>
        <v>2450001</v>
      </c>
      <c r="H10" s="64">
        <v>7.0000000000000007E-2</v>
      </c>
      <c r="I10" s="40">
        <v>2268519</v>
      </c>
      <c r="J10" s="42">
        <f t="shared" si="3"/>
        <v>158796</v>
      </c>
      <c r="K10" s="42">
        <f t="shared" si="4"/>
        <v>12704</v>
      </c>
      <c r="L10" s="42">
        <f t="shared" si="5"/>
        <v>171500</v>
      </c>
      <c r="M10" s="15"/>
      <c r="N10" s="44">
        <v>6363.6360000000004</v>
      </c>
      <c r="O10" s="42">
        <f t="shared" si="6"/>
        <v>0</v>
      </c>
      <c r="P10" s="42">
        <f t="shared" si="7"/>
        <v>0</v>
      </c>
      <c r="Q10" s="42">
        <f t="shared" si="8"/>
        <v>0</v>
      </c>
      <c r="R10" s="49"/>
      <c r="S10" s="56">
        <v>4545.4544999999998</v>
      </c>
      <c r="T10" s="42">
        <f t="shared" si="9"/>
        <v>0</v>
      </c>
      <c r="U10" s="42">
        <f t="shared" si="10"/>
        <v>0</v>
      </c>
      <c r="V10" s="42">
        <f t="shared" si="11"/>
        <v>0</v>
      </c>
      <c r="W10" s="46">
        <f t="shared" si="12"/>
        <v>2621501</v>
      </c>
    </row>
    <row r="11" spans="1:23" s="9" customFormat="1" x14ac:dyDescent="0.3">
      <c r="A11" s="54">
        <v>7</v>
      </c>
      <c r="B11" s="19">
        <v>46234</v>
      </c>
      <c r="C11" s="63">
        <v>1</v>
      </c>
      <c r="D11" s="40">
        <v>2268519</v>
      </c>
      <c r="E11" s="55">
        <f t="shared" si="0"/>
        <v>2268519</v>
      </c>
      <c r="F11" s="55">
        <f t="shared" si="1"/>
        <v>181482</v>
      </c>
      <c r="G11" s="55">
        <f t="shared" si="2"/>
        <v>2450001</v>
      </c>
      <c r="H11" s="64">
        <v>7.0000000000000007E-2</v>
      </c>
      <c r="I11" s="40">
        <v>2268519</v>
      </c>
      <c r="J11" s="42">
        <f t="shared" si="3"/>
        <v>158796</v>
      </c>
      <c r="K11" s="42">
        <f t="shared" si="4"/>
        <v>12704</v>
      </c>
      <c r="L11" s="42">
        <f t="shared" si="5"/>
        <v>171500</v>
      </c>
      <c r="M11" s="15"/>
      <c r="N11" s="44">
        <v>6363.6360000000004</v>
      </c>
      <c r="O11" s="42">
        <f t="shared" si="6"/>
        <v>0</v>
      </c>
      <c r="P11" s="42">
        <f t="shared" si="7"/>
        <v>0</v>
      </c>
      <c r="Q11" s="42">
        <f t="shared" si="8"/>
        <v>0</v>
      </c>
      <c r="R11" s="48"/>
      <c r="S11" s="56">
        <v>4545.4544999999998</v>
      </c>
      <c r="T11" s="42">
        <f t="shared" si="9"/>
        <v>0</v>
      </c>
      <c r="U11" s="42">
        <f t="shared" si="10"/>
        <v>0</v>
      </c>
      <c r="V11" s="42">
        <f t="shared" si="11"/>
        <v>0</v>
      </c>
      <c r="W11" s="46">
        <f t="shared" si="12"/>
        <v>2621501</v>
      </c>
    </row>
    <row r="12" spans="1:23" s="21" customFormat="1" x14ac:dyDescent="0.3">
      <c r="A12" s="54">
        <v>8</v>
      </c>
      <c r="B12" s="19">
        <v>46235</v>
      </c>
      <c r="C12" s="63">
        <v>0.75</v>
      </c>
      <c r="D12" s="40">
        <v>2268519</v>
      </c>
      <c r="E12" s="55">
        <f t="shared" si="0"/>
        <v>1701389</v>
      </c>
      <c r="F12" s="55">
        <f t="shared" si="1"/>
        <v>136111</v>
      </c>
      <c r="G12" s="55">
        <f t="shared" si="2"/>
        <v>1837500</v>
      </c>
      <c r="H12" s="64">
        <v>7.0000000000000007E-2</v>
      </c>
      <c r="I12" s="40">
        <v>2268519</v>
      </c>
      <c r="J12" s="42">
        <f t="shared" si="3"/>
        <v>158796</v>
      </c>
      <c r="K12" s="42">
        <f t="shared" si="4"/>
        <v>12704</v>
      </c>
      <c r="L12" s="42">
        <f t="shared" si="5"/>
        <v>171500</v>
      </c>
      <c r="M12" s="15"/>
      <c r="N12" s="44">
        <v>6363.6360000000004</v>
      </c>
      <c r="O12" s="42">
        <f t="shared" si="6"/>
        <v>0</v>
      </c>
      <c r="P12" s="42">
        <f t="shared" si="7"/>
        <v>0</v>
      </c>
      <c r="Q12" s="42">
        <f t="shared" si="8"/>
        <v>0</v>
      </c>
      <c r="R12" s="49"/>
      <c r="S12" s="56">
        <v>4545.4544999999998</v>
      </c>
      <c r="T12" s="42">
        <f t="shared" si="9"/>
        <v>0</v>
      </c>
      <c r="U12" s="42">
        <f t="shared" si="10"/>
        <v>0</v>
      </c>
      <c r="V12" s="42">
        <f t="shared" si="11"/>
        <v>0</v>
      </c>
      <c r="W12" s="46">
        <f t="shared" si="12"/>
        <v>2009000</v>
      </c>
    </row>
    <row r="13" spans="1:23" s="9" customFormat="1" x14ac:dyDescent="0.3">
      <c r="A13" s="54">
        <v>9</v>
      </c>
      <c r="B13" s="19">
        <v>46236</v>
      </c>
      <c r="C13" s="63"/>
      <c r="D13" s="40">
        <v>2268519</v>
      </c>
      <c r="E13" s="55">
        <f t="shared" si="0"/>
        <v>0</v>
      </c>
      <c r="F13" s="55">
        <f t="shared" si="1"/>
        <v>0</v>
      </c>
      <c r="G13" s="55">
        <f t="shared" si="2"/>
        <v>0</v>
      </c>
      <c r="H13" s="64"/>
      <c r="I13" s="40">
        <v>2268519</v>
      </c>
      <c r="J13" s="42">
        <f t="shared" si="3"/>
        <v>0</v>
      </c>
      <c r="K13" s="42">
        <f t="shared" si="4"/>
        <v>0</v>
      </c>
      <c r="L13" s="42">
        <f t="shared" si="5"/>
        <v>0</v>
      </c>
      <c r="M13" s="15"/>
      <c r="N13" s="44">
        <v>6363.6360000000004</v>
      </c>
      <c r="O13" s="42">
        <f t="shared" si="6"/>
        <v>0</v>
      </c>
      <c r="P13" s="42">
        <f t="shared" si="7"/>
        <v>0</v>
      </c>
      <c r="Q13" s="42">
        <f t="shared" si="8"/>
        <v>0</v>
      </c>
      <c r="R13" s="48"/>
      <c r="S13" s="56">
        <v>4545.4544999999998</v>
      </c>
      <c r="T13" s="42">
        <f t="shared" si="9"/>
        <v>0</v>
      </c>
      <c r="U13" s="42">
        <f t="shared" si="10"/>
        <v>0</v>
      </c>
      <c r="V13" s="42">
        <f t="shared" si="11"/>
        <v>0</v>
      </c>
      <c r="W13" s="46">
        <f t="shared" si="12"/>
        <v>0</v>
      </c>
    </row>
    <row r="14" spans="1:23" s="9" customFormat="1" x14ac:dyDescent="0.3">
      <c r="A14" s="54">
        <v>10</v>
      </c>
      <c r="B14" s="19">
        <v>46237</v>
      </c>
      <c r="C14" s="63">
        <v>0.75</v>
      </c>
      <c r="D14" s="40">
        <v>2268519</v>
      </c>
      <c r="E14" s="55">
        <f t="shared" si="0"/>
        <v>1701389</v>
      </c>
      <c r="F14" s="55">
        <f t="shared" si="1"/>
        <v>136111</v>
      </c>
      <c r="G14" s="55">
        <f t="shared" si="2"/>
        <v>1837500</v>
      </c>
      <c r="H14" s="64"/>
      <c r="I14" s="40">
        <v>2268519</v>
      </c>
      <c r="J14" s="42">
        <f t="shared" si="3"/>
        <v>0</v>
      </c>
      <c r="K14" s="42">
        <f t="shared" si="4"/>
        <v>0</v>
      </c>
      <c r="L14" s="42">
        <f t="shared" si="5"/>
        <v>0</v>
      </c>
      <c r="M14" s="15"/>
      <c r="N14" s="44">
        <v>6363.6360000000004</v>
      </c>
      <c r="O14" s="42">
        <f t="shared" si="6"/>
        <v>0</v>
      </c>
      <c r="P14" s="42">
        <f t="shared" si="7"/>
        <v>0</v>
      </c>
      <c r="Q14" s="42">
        <f t="shared" si="8"/>
        <v>0</v>
      </c>
      <c r="R14" s="48"/>
      <c r="S14" s="56">
        <v>4545.4544999999998</v>
      </c>
      <c r="T14" s="42">
        <f t="shared" si="9"/>
        <v>0</v>
      </c>
      <c r="U14" s="42">
        <f t="shared" si="10"/>
        <v>0</v>
      </c>
      <c r="V14" s="42">
        <f t="shared" si="11"/>
        <v>0</v>
      </c>
      <c r="W14" s="46">
        <f t="shared" si="12"/>
        <v>1837500</v>
      </c>
    </row>
    <row r="15" spans="1:23" s="21" customFormat="1" x14ac:dyDescent="0.3">
      <c r="A15" s="54">
        <v>11</v>
      </c>
      <c r="B15" s="19">
        <v>46238</v>
      </c>
      <c r="C15" s="63">
        <v>0.75</v>
      </c>
      <c r="D15" s="40">
        <v>2268519</v>
      </c>
      <c r="E15" s="55">
        <f t="shared" si="0"/>
        <v>1701389</v>
      </c>
      <c r="F15" s="55">
        <f t="shared" si="1"/>
        <v>136111</v>
      </c>
      <c r="G15" s="55">
        <f t="shared" si="2"/>
        <v>1837500</v>
      </c>
      <c r="H15" s="64">
        <v>7.0000000000000007E-2</v>
      </c>
      <c r="I15" s="40">
        <v>2268519</v>
      </c>
      <c r="J15" s="42">
        <f t="shared" si="3"/>
        <v>158796</v>
      </c>
      <c r="K15" s="42">
        <f t="shared" si="4"/>
        <v>12704</v>
      </c>
      <c r="L15" s="42">
        <f t="shared" si="5"/>
        <v>171500</v>
      </c>
      <c r="M15" s="15">
        <v>240</v>
      </c>
      <c r="N15" s="44">
        <v>6363.6360000000004</v>
      </c>
      <c r="O15" s="42">
        <f t="shared" si="6"/>
        <v>1527273</v>
      </c>
      <c r="P15" s="42">
        <f t="shared" si="7"/>
        <v>122182</v>
      </c>
      <c r="Q15" s="42">
        <f t="shared" si="8"/>
        <v>1649455</v>
      </c>
      <c r="R15" s="49"/>
      <c r="S15" s="56">
        <v>4545.4544999999998</v>
      </c>
      <c r="T15" s="42">
        <f t="shared" si="9"/>
        <v>0</v>
      </c>
      <c r="U15" s="42">
        <f t="shared" si="10"/>
        <v>0</v>
      </c>
      <c r="V15" s="42">
        <f t="shared" si="11"/>
        <v>0</v>
      </c>
      <c r="W15" s="46">
        <f t="shared" si="12"/>
        <v>3658455</v>
      </c>
    </row>
    <row r="16" spans="1:23" s="21" customFormat="1" x14ac:dyDescent="0.3">
      <c r="A16" s="54">
        <v>12</v>
      </c>
      <c r="B16" s="19">
        <v>46239</v>
      </c>
      <c r="C16" s="63">
        <v>0.75</v>
      </c>
      <c r="D16" s="40">
        <v>2268519</v>
      </c>
      <c r="E16" s="55">
        <f t="shared" si="0"/>
        <v>1701389</v>
      </c>
      <c r="F16" s="55">
        <f t="shared" si="1"/>
        <v>136111</v>
      </c>
      <c r="G16" s="55">
        <f t="shared" si="2"/>
        <v>1837500</v>
      </c>
      <c r="H16" s="64">
        <v>7.0000000000000007E-2</v>
      </c>
      <c r="I16" s="40">
        <v>2268519</v>
      </c>
      <c r="J16" s="42">
        <f t="shared" si="3"/>
        <v>158796</v>
      </c>
      <c r="K16" s="42">
        <f t="shared" si="4"/>
        <v>12704</v>
      </c>
      <c r="L16" s="42">
        <f t="shared" si="5"/>
        <v>171500</v>
      </c>
      <c r="M16" s="15"/>
      <c r="N16" s="44">
        <v>6363.6360000000004</v>
      </c>
      <c r="O16" s="42">
        <f t="shared" si="6"/>
        <v>0</v>
      </c>
      <c r="P16" s="42">
        <f t="shared" si="7"/>
        <v>0</v>
      </c>
      <c r="Q16" s="42">
        <f t="shared" si="8"/>
        <v>0</v>
      </c>
      <c r="R16" s="49"/>
      <c r="S16" s="56">
        <v>4545.4544999999998</v>
      </c>
      <c r="T16" s="42">
        <f t="shared" si="9"/>
        <v>0</v>
      </c>
      <c r="U16" s="42">
        <f t="shared" si="10"/>
        <v>0</v>
      </c>
      <c r="V16" s="42">
        <f t="shared" si="11"/>
        <v>0</v>
      </c>
      <c r="W16" s="46">
        <f t="shared" si="12"/>
        <v>2009000</v>
      </c>
    </row>
    <row r="17" spans="1:23" s="9" customFormat="1" x14ac:dyDescent="0.3">
      <c r="A17" s="54">
        <v>13</v>
      </c>
      <c r="B17" s="19">
        <v>46240</v>
      </c>
      <c r="C17" s="63">
        <v>0.75</v>
      </c>
      <c r="D17" s="40">
        <v>2268519</v>
      </c>
      <c r="E17" s="55">
        <f t="shared" si="0"/>
        <v>1701389</v>
      </c>
      <c r="F17" s="55">
        <f t="shared" si="1"/>
        <v>136111</v>
      </c>
      <c r="G17" s="55">
        <f t="shared" si="2"/>
        <v>1837500</v>
      </c>
      <c r="H17" s="64"/>
      <c r="I17" s="40">
        <v>2268519</v>
      </c>
      <c r="J17" s="42">
        <f t="shared" si="3"/>
        <v>0</v>
      </c>
      <c r="K17" s="42">
        <f t="shared" si="4"/>
        <v>0</v>
      </c>
      <c r="L17" s="42">
        <f t="shared" si="5"/>
        <v>0</v>
      </c>
      <c r="M17" s="15"/>
      <c r="N17" s="44">
        <v>6363.6360000000004</v>
      </c>
      <c r="O17" s="42">
        <f t="shared" si="6"/>
        <v>0</v>
      </c>
      <c r="P17" s="42">
        <f t="shared" si="7"/>
        <v>0</v>
      </c>
      <c r="Q17" s="42">
        <f t="shared" si="8"/>
        <v>0</v>
      </c>
      <c r="R17" s="48">
        <v>48</v>
      </c>
      <c r="S17" s="56">
        <v>4545.4544999999998</v>
      </c>
      <c r="T17" s="42">
        <f t="shared" si="9"/>
        <v>218182</v>
      </c>
      <c r="U17" s="42">
        <f t="shared" si="10"/>
        <v>21818</v>
      </c>
      <c r="V17" s="42">
        <f t="shared" si="11"/>
        <v>240000</v>
      </c>
      <c r="W17" s="46">
        <f t="shared" si="12"/>
        <v>2077500</v>
      </c>
    </row>
    <row r="18" spans="1:23" s="21" customFormat="1" x14ac:dyDescent="0.3">
      <c r="A18" s="54">
        <v>14</v>
      </c>
      <c r="B18" s="19">
        <v>46241</v>
      </c>
      <c r="C18" s="63">
        <v>0.75</v>
      </c>
      <c r="D18" s="40">
        <v>2268519</v>
      </c>
      <c r="E18" s="55">
        <f t="shared" si="0"/>
        <v>1701389</v>
      </c>
      <c r="F18" s="55">
        <f t="shared" si="1"/>
        <v>136111</v>
      </c>
      <c r="G18" s="55">
        <f t="shared" si="2"/>
        <v>1837500</v>
      </c>
      <c r="H18" s="64">
        <v>0.27</v>
      </c>
      <c r="I18" s="40">
        <v>2268519</v>
      </c>
      <c r="J18" s="42">
        <f t="shared" si="3"/>
        <v>612500</v>
      </c>
      <c r="K18" s="42">
        <f t="shared" si="4"/>
        <v>49000</v>
      </c>
      <c r="L18" s="42">
        <f t="shared" si="5"/>
        <v>661500</v>
      </c>
      <c r="M18" s="15"/>
      <c r="N18" s="44">
        <v>6363.6360000000004</v>
      </c>
      <c r="O18" s="42">
        <f t="shared" si="6"/>
        <v>0</v>
      </c>
      <c r="P18" s="42">
        <f t="shared" si="7"/>
        <v>0</v>
      </c>
      <c r="Q18" s="42">
        <f t="shared" si="8"/>
        <v>0</v>
      </c>
      <c r="R18" s="49"/>
      <c r="S18" s="56">
        <v>4545.4544999999998</v>
      </c>
      <c r="T18" s="42">
        <f t="shared" si="9"/>
        <v>0</v>
      </c>
      <c r="U18" s="42">
        <f t="shared" si="10"/>
        <v>0</v>
      </c>
      <c r="V18" s="42">
        <f t="shared" si="11"/>
        <v>0</v>
      </c>
      <c r="W18" s="46">
        <f>G18+L18+Q18+V18</f>
        <v>2499000</v>
      </c>
    </row>
    <row r="19" spans="1:23" s="21" customFormat="1" x14ac:dyDescent="0.3">
      <c r="A19" s="54">
        <v>15</v>
      </c>
      <c r="B19" s="19">
        <v>46242</v>
      </c>
      <c r="C19" s="63">
        <v>0.75</v>
      </c>
      <c r="D19" s="40">
        <v>2268519</v>
      </c>
      <c r="E19" s="55">
        <f t="shared" si="0"/>
        <v>1701389</v>
      </c>
      <c r="F19" s="55">
        <f t="shared" si="1"/>
        <v>136111</v>
      </c>
      <c r="G19" s="55">
        <f t="shared" si="2"/>
        <v>1837500</v>
      </c>
      <c r="H19" s="64">
        <v>7.0000000000000007E-2</v>
      </c>
      <c r="I19" s="40">
        <v>2268519</v>
      </c>
      <c r="J19" s="42">
        <f t="shared" si="3"/>
        <v>158796</v>
      </c>
      <c r="K19" s="42">
        <f t="shared" si="4"/>
        <v>12704</v>
      </c>
      <c r="L19" s="42">
        <f t="shared" si="5"/>
        <v>171500</v>
      </c>
      <c r="M19" s="15"/>
      <c r="N19" s="44">
        <v>6363.6360000000004</v>
      </c>
      <c r="O19" s="42">
        <f t="shared" si="6"/>
        <v>0</v>
      </c>
      <c r="P19" s="42">
        <f t="shared" si="7"/>
        <v>0</v>
      </c>
      <c r="Q19" s="42">
        <f t="shared" si="8"/>
        <v>0</v>
      </c>
      <c r="R19" s="49">
        <v>682</v>
      </c>
      <c r="S19" s="56">
        <v>4545.4544999999998</v>
      </c>
      <c r="T19" s="42">
        <f t="shared" si="9"/>
        <v>3100000</v>
      </c>
      <c r="U19" s="42">
        <f t="shared" si="10"/>
        <v>310000</v>
      </c>
      <c r="V19" s="42">
        <f t="shared" si="11"/>
        <v>3410000</v>
      </c>
      <c r="W19" s="46">
        <f t="shared" si="12"/>
        <v>5419000</v>
      </c>
    </row>
    <row r="20" spans="1:23" s="9" customFormat="1" x14ac:dyDescent="0.3">
      <c r="A20" s="54">
        <v>16</v>
      </c>
      <c r="B20" s="19">
        <v>46243</v>
      </c>
      <c r="C20" s="63">
        <v>0.25</v>
      </c>
      <c r="D20" s="40">
        <v>2268519</v>
      </c>
      <c r="E20" s="55">
        <f t="shared" si="0"/>
        <v>567130</v>
      </c>
      <c r="F20" s="55">
        <f t="shared" si="1"/>
        <v>45370</v>
      </c>
      <c r="G20" s="55">
        <f t="shared" si="2"/>
        <v>612500</v>
      </c>
      <c r="H20" s="64"/>
      <c r="I20" s="40">
        <v>2268519</v>
      </c>
      <c r="J20" s="42">
        <f t="shared" si="3"/>
        <v>0</v>
      </c>
      <c r="K20" s="42">
        <f t="shared" si="4"/>
        <v>0</v>
      </c>
      <c r="L20" s="42">
        <f t="shared" si="5"/>
        <v>0</v>
      </c>
      <c r="M20" s="15"/>
      <c r="N20" s="44">
        <v>6363.6360000000004</v>
      </c>
      <c r="O20" s="42">
        <f t="shared" si="6"/>
        <v>0</v>
      </c>
      <c r="P20" s="42">
        <f t="shared" si="7"/>
        <v>0</v>
      </c>
      <c r="Q20" s="42">
        <f t="shared" si="8"/>
        <v>0</v>
      </c>
      <c r="R20" s="48"/>
      <c r="S20" s="56">
        <v>4545.4544999999998</v>
      </c>
      <c r="T20" s="42">
        <f t="shared" si="9"/>
        <v>0</v>
      </c>
      <c r="U20" s="42">
        <f t="shared" si="10"/>
        <v>0</v>
      </c>
      <c r="V20" s="42">
        <f t="shared" si="11"/>
        <v>0</v>
      </c>
      <c r="W20" s="46">
        <f t="shared" si="12"/>
        <v>612500</v>
      </c>
    </row>
    <row r="21" spans="1:23" s="21" customFormat="1" x14ac:dyDescent="0.3">
      <c r="A21" s="54">
        <v>17</v>
      </c>
      <c r="B21" s="19">
        <v>46244</v>
      </c>
      <c r="C21" s="63">
        <v>0.75</v>
      </c>
      <c r="D21" s="40">
        <v>2268519</v>
      </c>
      <c r="E21" s="55">
        <f t="shared" si="0"/>
        <v>1701389</v>
      </c>
      <c r="F21" s="55">
        <f t="shared" si="1"/>
        <v>136111</v>
      </c>
      <c r="G21" s="55">
        <f t="shared" si="2"/>
        <v>1837500</v>
      </c>
      <c r="H21" s="64">
        <v>7.0000000000000007E-2</v>
      </c>
      <c r="I21" s="40">
        <v>2268519</v>
      </c>
      <c r="J21" s="42">
        <f t="shared" si="3"/>
        <v>158796</v>
      </c>
      <c r="K21" s="42">
        <f t="shared" si="4"/>
        <v>12704</v>
      </c>
      <c r="L21" s="42">
        <f t="shared" si="5"/>
        <v>171500</v>
      </c>
      <c r="M21" s="15"/>
      <c r="N21" s="44">
        <v>6363.6360000000004</v>
      </c>
      <c r="O21" s="42">
        <f t="shared" si="6"/>
        <v>0</v>
      </c>
      <c r="P21" s="42">
        <f t="shared" si="7"/>
        <v>0</v>
      </c>
      <c r="Q21" s="42">
        <f t="shared" si="8"/>
        <v>0</v>
      </c>
      <c r="R21" s="49"/>
      <c r="S21" s="56">
        <v>4545.4544999999998</v>
      </c>
      <c r="T21" s="42">
        <f t="shared" si="9"/>
        <v>0</v>
      </c>
      <c r="U21" s="42">
        <f t="shared" si="10"/>
        <v>0</v>
      </c>
      <c r="V21" s="42">
        <f t="shared" si="11"/>
        <v>0</v>
      </c>
      <c r="W21" s="46">
        <f t="shared" si="12"/>
        <v>2009000</v>
      </c>
    </row>
    <row r="22" spans="1:23" s="9" customFormat="1" x14ac:dyDescent="0.3">
      <c r="A22" s="54">
        <v>18</v>
      </c>
      <c r="B22" s="19">
        <v>46245</v>
      </c>
      <c r="C22" s="63">
        <v>0.75</v>
      </c>
      <c r="D22" s="40">
        <v>2268519</v>
      </c>
      <c r="E22" s="55">
        <f t="shared" si="0"/>
        <v>1701389</v>
      </c>
      <c r="F22" s="55">
        <f t="shared" si="1"/>
        <v>136111</v>
      </c>
      <c r="G22" s="55">
        <f t="shared" si="2"/>
        <v>1837500</v>
      </c>
      <c r="H22" s="64">
        <v>0.13</v>
      </c>
      <c r="I22" s="40">
        <v>2268519</v>
      </c>
      <c r="J22" s="42">
        <f t="shared" si="3"/>
        <v>294907</v>
      </c>
      <c r="K22" s="42">
        <f t="shared" si="4"/>
        <v>23593</v>
      </c>
      <c r="L22" s="42">
        <f t="shared" si="5"/>
        <v>318500</v>
      </c>
      <c r="M22" s="15"/>
      <c r="N22" s="44">
        <v>6363.6360000000004</v>
      </c>
      <c r="O22" s="42">
        <f t="shared" si="6"/>
        <v>0</v>
      </c>
      <c r="P22" s="42">
        <f t="shared" si="7"/>
        <v>0</v>
      </c>
      <c r="Q22" s="42">
        <f t="shared" si="8"/>
        <v>0</v>
      </c>
      <c r="R22" s="48"/>
      <c r="S22" s="56">
        <v>4545.4544999999998</v>
      </c>
      <c r="T22" s="42">
        <f t="shared" si="9"/>
        <v>0</v>
      </c>
      <c r="U22" s="42">
        <f t="shared" si="10"/>
        <v>0</v>
      </c>
      <c r="V22" s="42">
        <f t="shared" si="11"/>
        <v>0</v>
      </c>
      <c r="W22" s="46">
        <f t="shared" si="12"/>
        <v>2156000</v>
      </c>
    </row>
    <row r="23" spans="1:23" s="9" customFormat="1" x14ac:dyDescent="0.3">
      <c r="A23" s="54">
        <v>19</v>
      </c>
      <c r="B23" s="19">
        <v>46246</v>
      </c>
      <c r="C23" s="63">
        <v>0.75</v>
      </c>
      <c r="D23" s="40">
        <v>2268519</v>
      </c>
      <c r="E23" s="55">
        <f t="shared" si="0"/>
        <v>1701389</v>
      </c>
      <c r="F23" s="55">
        <f t="shared" si="1"/>
        <v>136111</v>
      </c>
      <c r="G23" s="55">
        <f t="shared" si="2"/>
        <v>1837500</v>
      </c>
      <c r="H23" s="64"/>
      <c r="I23" s="40">
        <v>2268519</v>
      </c>
      <c r="J23" s="42">
        <f t="shared" si="3"/>
        <v>0</v>
      </c>
      <c r="K23" s="42">
        <f t="shared" si="4"/>
        <v>0</v>
      </c>
      <c r="L23" s="42">
        <f t="shared" si="5"/>
        <v>0</v>
      </c>
      <c r="M23" s="15"/>
      <c r="N23" s="44">
        <v>6363.6360000000004</v>
      </c>
      <c r="O23" s="42">
        <f t="shared" si="6"/>
        <v>0</v>
      </c>
      <c r="P23" s="42">
        <f t="shared" si="7"/>
        <v>0</v>
      </c>
      <c r="Q23" s="42">
        <f t="shared" si="8"/>
        <v>0</v>
      </c>
      <c r="R23" s="48"/>
      <c r="S23" s="56">
        <v>4545.4544999999998</v>
      </c>
      <c r="T23" s="42">
        <f t="shared" si="9"/>
        <v>0</v>
      </c>
      <c r="U23" s="42">
        <f t="shared" si="10"/>
        <v>0</v>
      </c>
      <c r="V23" s="42">
        <f t="shared" si="11"/>
        <v>0</v>
      </c>
      <c r="W23" s="46">
        <f t="shared" si="12"/>
        <v>1837500</v>
      </c>
    </row>
    <row r="24" spans="1:23" s="21" customFormat="1" x14ac:dyDescent="0.3">
      <c r="A24" s="54">
        <v>20</v>
      </c>
      <c r="B24" s="19">
        <v>46247</v>
      </c>
      <c r="C24" s="63">
        <v>0.75</v>
      </c>
      <c r="D24" s="40">
        <v>2268519</v>
      </c>
      <c r="E24" s="55">
        <f t="shared" si="0"/>
        <v>1701389</v>
      </c>
      <c r="F24" s="55">
        <f t="shared" si="1"/>
        <v>136111</v>
      </c>
      <c r="G24" s="55">
        <f t="shared" si="2"/>
        <v>1837500</v>
      </c>
      <c r="H24" s="64"/>
      <c r="I24" s="40">
        <v>2268519</v>
      </c>
      <c r="J24" s="42">
        <f t="shared" si="3"/>
        <v>0</v>
      </c>
      <c r="K24" s="42">
        <f t="shared" si="4"/>
        <v>0</v>
      </c>
      <c r="L24" s="42">
        <f t="shared" si="5"/>
        <v>0</v>
      </c>
      <c r="M24" s="15"/>
      <c r="N24" s="44">
        <v>6363.6360000000004</v>
      </c>
      <c r="O24" s="42">
        <f t="shared" si="6"/>
        <v>0</v>
      </c>
      <c r="P24" s="42">
        <f t="shared" si="7"/>
        <v>0</v>
      </c>
      <c r="Q24" s="42">
        <f t="shared" si="8"/>
        <v>0</v>
      </c>
      <c r="R24" s="49"/>
      <c r="S24" s="56">
        <v>4545.4544999999998</v>
      </c>
      <c r="T24" s="42">
        <f t="shared" si="9"/>
        <v>0</v>
      </c>
      <c r="U24" s="42">
        <f t="shared" si="10"/>
        <v>0</v>
      </c>
      <c r="V24" s="42">
        <f t="shared" si="11"/>
        <v>0</v>
      </c>
      <c r="W24" s="46">
        <f t="shared" si="12"/>
        <v>1837500</v>
      </c>
    </row>
    <row r="25" spans="1:23" s="9" customFormat="1" x14ac:dyDescent="0.3">
      <c r="A25" s="54">
        <v>21</v>
      </c>
      <c r="B25" s="19">
        <v>46248</v>
      </c>
      <c r="C25" s="63">
        <v>1</v>
      </c>
      <c r="D25" s="40">
        <v>2268519</v>
      </c>
      <c r="E25" s="55">
        <f t="shared" si="0"/>
        <v>2268519</v>
      </c>
      <c r="F25" s="55">
        <f t="shared" si="1"/>
        <v>181482</v>
      </c>
      <c r="G25" s="55">
        <f t="shared" si="2"/>
        <v>2450001</v>
      </c>
      <c r="H25" s="64">
        <v>0.2</v>
      </c>
      <c r="I25" s="40">
        <v>2268519</v>
      </c>
      <c r="J25" s="42">
        <f t="shared" si="3"/>
        <v>453704</v>
      </c>
      <c r="K25" s="42">
        <f t="shared" si="4"/>
        <v>36296</v>
      </c>
      <c r="L25" s="42">
        <f t="shared" si="5"/>
        <v>490000</v>
      </c>
      <c r="M25" s="15"/>
      <c r="N25" s="44">
        <v>6363.6360000000004</v>
      </c>
      <c r="O25" s="42">
        <f t="shared" si="6"/>
        <v>0</v>
      </c>
      <c r="P25" s="42">
        <f t="shared" si="7"/>
        <v>0</v>
      </c>
      <c r="Q25" s="42">
        <f t="shared" si="8"/>
        <v>0</v>
      </c>
      <c r="R25" s="48"/>
      <c r="S25" s="56">
        <v>4545.4544999999998</v>
      </c>
      <c r="T25" s="42">
        <f t="shared" si="9"/>
        <v>0</v>
      </c>
      <c r="U25" s="42">
        <f t="shared" si="10"/>
        <v>0</v>
      </c>
      <c r="V25" s="42">
        <f t="shared" si="11"/>
        <v>0</v>
      </c>
      <c r="W25" s="46">
        <f t="shared" si="12"/>
        <v>2940001</v>
      </c>
    </row>
    <row r="26" spans="1:23" s="9" customFormat="1" x14ac:dyDescent="0.3">
      <c r="A26" s="54">
        <v>22</v>
      </c>
      <c r="B26" s="19">
        <v>46249</v>
      </c>
      <c r="C26" s="63">
        <v>0.75</v>
      </c>
      <c r="D26" s="40">
        <v>2268519</v>
      </c>
      <c r="E26" s="55">
        <f t="shared" si="0"/>
        <v>1701389</v>
      </c>
      <c r="F26" s="55">
        <f t="shared" si="1"/>
        <v>136111</v>
      </c>
      <c r="G26" s="55">
        <f t="shared" si="2"/>
        <v>1837500</v>
      </c>
      <c r="H26" s="64">
        <v>7.0000000000000007E-2</v>
      </c>
      <c r="I26" s="40">
        <v>2268519</v>
      </c>
      <c r="J26" s="42">
        <f t="shared" si="3"/>
        <v>158796</v>
      </c>
      <c r="K26" s="42">
        <f t="shared" si="4"/>
        <v>12704</v>
      </c>
      <c r="L26" s="42">
        <f t="shared" si="5"/>
        <v>171500</v>
      </c>
      <c r="M26" s="15"/>
      <c r="N26" s="44">
        <v>6363.6360000000004</v>
      </c>
      <c r="O26" s="42">
        <f t="shared" si="6"/>
        <v>0</v>
      </c>
      <c r="P26" s="42">
        <f t="shared" si="7"/>
        <v>0</v>
      </c>
      <c r="Q26" s="42">
        <f t="shared" si="8"/>
        <v>0</v>
      </c>
      <c r="R26" s="48"/>
      <c r="S26" s="56">
        <v>4545.4544999999998</v>
      </c>
      <c r="T26" s="42">
        <f t="shared" si="9"/>
        <v>0</v>
      </c>
      <c r="U26" s="42">
        <f t="shared" si="10"/>
        <v>0</v>
      </c>
      <c r="V26" s="42">
        <f t="shared" si="11"/>
        <v>0</v>
      </c>
      <c r="W26" s="46">
        <f t="shared" si="12"/>
        <v>2009000</v>
      </c>
    </row>
    <row r="27" spans="1:23" s="21" customFormat="1" x14ac:dyDescent="0.3">
      <c r="A27" s="54">
        <v>23</v>
      </c>
      <c r="B27" s="19">
        <v>46250</v>
      </c>
      <c r="C27" s="63">
        <v>0.25</v>
      </c>
      <c r="D27" s="40">
        <v>2268519</v>
      </c>
      <c r="E27" s="55">
        <f t="shared" si="0"/>
        <v>567130</v>
      </c>
      <c r="F27" s="55">
        <f t="shared" si="1"/>
        <v>45370</v>
      </c>
      <c r="G27" s="55">
        <f t="shared" si="2"/>
        <v>612500</v>
      </c>
      <c r="H27" s="64"/>
      <c r="I27" s="40">
        <v>2268519</v>
      </c>
      <c r="J27" s="42">
        <f t="shared" si="3"/>
        <v>0</v>
      </c>
      <c r="K27" s="42">
        <f t="shared" si="4"/>
        <v>0</v>
      </c>
      <c r="L27" s="42">
        <f t="shared" si="5"/>
        <v>0</v>
      </c>
      <c r="M27" s="15"/>
      <c r="N27" s="44">
        <v>6363.6360000000004</v>
      </c>
      <c r="O27" s="42">
        <f t="shared" si="6"/>
        <v>0</v>
      </c>
      <c r="P27" s="42">
        <f t="shared" si="7"/>
        <v>0</v>
      </c>
      <c r="Q27" s="42">
        <f t="shared" si="8"/>
        <v>0</v>
      </c>
      <c r="R27" s="49"/>
      <c r="S27" s="56">
        <v>4545.4544999999998</v>
      </c>
      <c r="T27" s="42">
        <f t="shared" si="9"/>
        <v>0</v>
      </c>
      <c r="U27" s="42">
        <f t="shared" si="10"/>
        <v>0</v>
      </c>
      <c r="V27" s="42">
        <f t="shared" si="11"/>
        <v>0</v>
      </c>
      <c r="W27" s="46">
        <f t="shared" si="12"/>
        <v>612500</v>
      </c>
    </row>
    <row r="28" spans="1:23" s="21" customFormat="1" x14ac:dyDescent="0.3">
      <c r="A28" s="54">
        <v>24</v>
      </c>
      <c r="B28" s="19">
        <v>46251</v>
      </c>
      <c r="C28" s="63">
        <v>1</v>
      </c>
      <c r="D28" s="40">
        <v>2268519</v>
      </c>
      <c r="E28" s="55">
        <f t="shared" si="0"/>
        <v>2268519</v>
      </c>
      <c r="F28" s="55">
        <f t="shared" si="1"/>
        <v>181482</v>
      </c>
      <c r="G28" s="55">
        <f t="shared" si="2"/>
        <v>2450001</v>
      </c>
      <c r="H28" s="64">
        <v>0.13</v>
      </c>
      <c r="I28" s="40">
        <v>2268519</v>
      </c>
      <c r="J28" s="42">
        <f t="shared" si="3"/>
        <v>294907</v>
      </c>
      <c r="K28" s="42">
        <f t="shared" si="4"/>
        <v>23593</v>
      </c>
      <c r="L28" s="42">
        <f t="shared" si="5"/>
        <v>318500</v>
      </c>
      <c r="M28" s="15"/>
      <c r="N28" s="44">
        <v>6363.6360000000004</v>
      </c>
      <c r="O28" s="42">
        <f t="shared" si="6"/>
        <v>0</v>
      </c>
      <c r="P28" s="42">
        <f t="shared" si="7"/>
        <v>0</v>
      </c>
      <c r="Q28" s="42">
        <f t="shared" si="8"/>
        <v>0</v>
      </c>
      <c r="R28" s="49"/>
      <c r="S28" s="56">
        <v>4545.4544999999998</v>
      </c>
      <c r="T28" s="42">
        <f t="shared" si="9"/>
        <v>0</v>
      </c>
      <c r="U28" s="42">
        <f t="shared" si="10"/>
        <v>0</v>
      </c>
      <c r="V28" s="42">
        <f t="shared" si="11"/>
        <v>0</v>
      </c>
      <c r="W28" s="46">
        <f t="shared" si="12"/>
        <v>2768501</v>
      </c>
    </row>
    <row r="29" spans="1:23" s="9" customFormat="1" x14ac:dyDescent="0.3">
      <c r="A29" s="54">
        <v>25</v>
      </c>
      <c r="B29" s="19">
        <v>46252</v>
      </c>
      <c r="C29" s="63">
        <v>1</v>
      </c>
      <c r="D29" s="40">
        <v>2268519</v>
      </c>
      <c r="E29" s="55">
        <f t="shared" si="0"/>
        <v>2268519</v>
      </c>
      <c r="F29" s="55">
        <f t="shared" si="1"/>
        <v>181482</v>
      </c>
      <c r="G29" s="55">
        <f t="shared" si="2"/>
        <v>2450001</v>
      </c>
      <c r="H29" s="64">
        <v>7.0000000000000007E-2</v>
      </c>
      <c r="I29" s="40">
        <v>2268519</v>
      </c>
      <c r="J29" s="42">
        <f t="shared" si="3"/>
        <v>158796</v>
      </c>
      <c r="K29" s="42">
        <f t="shared" si="4"/>
        <v>12704</v>
      </c>
      <c r="L29" s="42">
        <f t="shared" si="5"/>
        <v>171500</v>
      </c>
      <c r="M29" s="15"/>
      <c r="N29" s="44">
        <v>6363.6360000000004</v>
      </c>
      <c r="O29" s="42">
        <f t="shared" si="6"/>
        <v>0</v>
      </c>
      <c r="P29" s="42">
        <f t="shared" si="7"/>
        <v>0</v>
      </c>
      <c r="Q29" s="42">
        <f t="shared" si="8"/>
        <v>0</v>
      </c>
      <c r="R29" s="48"/>
      <c r="S29" s="56">
        <v>4545.4544999999998</v>
      </c>
      <c r="T29" s="42">
        <f t="shared" si="9"/>
        <v>0</v>
      </c>
      <c r="U29" s="42">
        <f t="shared" si="10"/>
        <v>0</v>
      </c>
      <c r="V29" s="42">
        <f t="shared" si="11"/>
        <v>0</v>
      </c>
      <c r="W29" s="46">
        <f t="shared" si="12"/>
        <v>2621501</v>
      </c>
    </row>
    <row r="30" spans="1:23" s="21" customFormat="1" x14ac:dyDescent="0.3">
      <c r="A30" s="54">
        <v>26</v>
      </c>
      <c r="B30" s="19">
        <v>46253</v>
      </c>
      <c r="C30" s="63">
        <v>0.75</v>
      </c>
      <c r="D30" s="40">
        <v>2268519</v>
      </c>
      <c r="E30" s="55">
        <f t="shared" si="0"/>
        <v>1701389</v>
      </c>
      <c r="F30" s="55">
        <f t="shared" si="1"/>
        <v>136111</v>
      </c>
      <c r="G30" s="55">
        <f t="shared" si="2"/>
        <v>1837500</v>
      </c>
      <c r="H30" s="64">
        <v>7.0000000000000007E-2</v>
      </c>
      <c r="I30" s="40">
        <v>2268519</v>
      </c>
      <c r="J30" s="42">
        <f t="shared" si="3"/>
        <v>158796</v>
      </c>
      <c r="K30" s="42">
        <f t="shared" si="4"/>
        <v>12704</v>
      </c>
      <c r="L30" s="42">
        <f t="shared" si="5"/>
        <v>171500</v>
      </c>
      <c r="M30" s="15"/>
      <c r="N30" s="44">
        <v>6363.6360000000004</v>
      </c>
      <c r="O30" s="42">
        <f t="shared" si="6"/>
        <v>0</v>
      </c>
      <c r="P30" s="42">
        <f t="shared" si="7"/>
        <v>0</v>
      </c>
      <c r="Q30" s="42">
        <f t="shared" si="8"/>
        <v>0</v>
      </c>
      <c r="R30" s="49"/>
      <c r="S30" s="56">
        <v>4545.4544999999998</v>
      </c>
      <c r="T30" s="42">
        <f t="shared" si="9"/>
        <v>0</v>
      </c>
      <c r="U30" s="42">
        <f t="shared" si="10"/>
        <v>0</v>
      </c>
      <c r="V30" s="42">
        <f t="shared" si="11"/>
        <v>0</v>
      </c>
      <c r="W30" s="46">
        <f t="shared" si="12"/>
        <v>2009000</v>
      </c>
    </row>
    <row r="31" spans="1:23" s="9" customFormat="1" x14ac:dyDescent="0.3">
      <c r="A31" s="54">
        <v>27</v>
      </c>
      <c r="B31" s="19">
        <v>46254</v>
      </c>
      <c r="C31" s="63">
        <v>0.75</v>
      </c>
      <c r="D31" s="40">
        <v>2268519</v>
      </c>
      <c r="E31" s="55">
        <f t="shared" si="0"/>
        <v>1701389</v>
      </c>
      <c r="F31" s="55">
        <f t="shared" si="1"/>
        <v>136111</v>
      </c>
      <c r="G31" s="55">
        <f t="shared" si="2"/>
        <v>1837500</v>
      </c>
      <c r="H31" s="64">
        <v>0.27</v>
      </c>
      <c r="I31" s="40">
        <v>2268519</v>
      </c>
      <c r="J31" s="42">
        <f t="shared" si="3"/>
        <v>612500</v>
      </c>
      <c r="K31" s="42">
        <f t="shared" si="4"/>
        <v>49000</v>
      </c>
      <c r="L31" s="42">
        <f t="shared" si="5"/>
        <v>661500</v>
      </c>
      <c r="M31" s="15"/>
      <c r="N31" s="44">
        <v>6363.6360000000004</v>
      </c>
      <c r="O31" s="42">
        <f t="shared" si="6"/>
        <v>0</v>
      </c>
      <c r="P31" s="42">
        <f t="shared" si="7"/>
        <v>0</v>
      </c>
      <c r="Q31" s="42">
        <f t="shared" si="8"/>
        <v>0</v>
      </c>
      <c r="R31" s="48"/>
      <c r="S31" s="56">
        <v>4545.4544999999998</v>
      </c>
      <c r="T31" s="42">
        <f t="shared" si="9"/>
        <v>0</v>
      </c>
      <c r="U31" s="42">
        <f t="shared" si="10"/>
        <v>0</v>
      </c>
      <c r="V31" s="42">
        <f t="shared" si="11"/>
        <v>0</v>
      </c>
      <c r="W31" s="46">
        <f t="shared" si="12"/>
        <v>2499000</v>
      </c>
    </row>
    <row r="32" spans="1:23" s="9" customFormat="1" x14ac:dyDescent="0.3">
      <c r="A32" s="54">
        <v>28</v>
      </c>
      <c r="B32" s="19">
        <v>46255</v>
      </c>
      <c r="C32" s="63">
        <v>1</v>
      </c>
      <c r="D32" s="40">
        <v>2268519</v>
      </c>
      <c r="E32" s="55">
        <f t="shared" si="0"/>
        <v>2268519</v>
      </c>
      <c r="F32" s="55">
        <f t="shared" si="1"/>
        <v>181482</v>
      </c>
      <c r="G32" s="55">
        <f t="shared" si="2"/>
        <v>2450001</v>
      </c>
      <c r="H32" s="64"/>
      <c r="I32" s="40">
        <v>2268519</v>
      </c>
      <c r="J32" s="42">
        <f t="shared" si="3"/>
        <v>0</v>
      </c>
      <c r="K32" s="42">
        <f t="shared" si="4"/>
        <v>0</v>
      </c>
      <c r="L32" s="42">
        <f t="shared" si="5"/>
        <v>0</v>
      </c>
      <c r="M32" s="15"/>
      <c r="N32" s="44">
        <v>6363.6360000000004</v>
      </c>
      <c r="O32" s="42">
        <f t="shared" si="6"/>
        <v>0</v>
      </c>
      <c r="P32" s="42">
        <f t="shared" si="7"/>
        <v>0</v>
      </c>
      <c r="Q32" s="42">
        <f t="shared" si="8"/>
        <v>0</v>
      </c>
      <c r="R32" s="48"/>
      <c r="S32" s="56">
        <v>4545.4544999999998</v>
      </c>
      <c r="T32" s="42">
        <f t="shared" si="9"/>
        <v>0</v>
      </c>
      <c r="U32" s="42">
        <f t="shared" si="10"/>
        <v>0</v>
      </c>
      <c r="V32" s="42">
        <f t="shared" si="11"/>
        <v>0</v>
      </c>
      <c r="W32" s="46">
        <f t="shared" si="12"/>
        <v>2450001</v>
      </c>
    </row>
    <row r="33" spans="1:23" s="9" customFormat="1" x14ac:dyDescent="0.3">
      <c r="A33" s="54">
        <v>29</v>
      </c>
      <c r="B33" s="19">
        <v>46256</v>
      </c>
      <c r="C33" s="63">
        <v>0.75</v>
      </c>
      <c r="D33" s="40">
        <v>2268519</v>
      </c>
      <c r="E33" s="55">
        <f t="shared" si="0"/>
        <v>1701389</v>
      </c>
      <c r="F33" s="55">
        <f t="shared" si="1"/>
        <v>136111</v>
      </c>
      <c r="G33" s="55">
        <f t="shared" si="2"/>
        <v>1837500</v>
      </c>
      <c r="H33" s="64"/>
      <c r="I33" s="40">
        <v>2268519</v>
      </c>
      <c r="J33" s="42">
        <f t="shared" si="3"/>
        <v>0</v>
      </c>
      <c r="K33" s="42">
        <f t="shared" si="4"/>
        <v>0</v>
      </c>
      <c r="L33" s="42">
        <f t="shared" si="5"/>
        <v>0</v>
      </c>
      <c r="M33" s="15"/>
      <c r="N33" s="44">
        <v>6363.6360000000004</v>
      </c>
      <c r="O33" s="42">
        <f t="shared" si="6"/>
        <v>0</v>
      </c>
      <c r="P33" s="42">
        <f t="shared" si="7"/>
        <v>0</v>
      </c>
      <c r="Q33" s="42">
        <f t="shared" si="8"/>
        <v>0</v>
      </c>
      <c r="R33" s="48"/>
      <c r="S33" s="56">
        <v>4545.4544999999998</v>
      </c>
      <c r="T33" s="42">
        <f t="shared" si="9"/>
        <v>0</v>
      </c>
      <c r="U33" s="42">
        <f t="shared" si="10"/>
        <v>0</v>
      </c>
      <c r="V33" s="42">
        <f t="shared" si="11"/>
        <v>0</v>
      </c>
      <c r="W33" s="46">
        <f t="shared" si="12"/>
        <v>1837500</v>
      </c>
    </row>
    <row r="34" spans="1:23" s="9" customFormat="1" x14ac:dyDescent="0.3">
      <c r="A34" s="54">
        <v>30</v>
      </c>
      <c r="B34" s="19">
        <v>46257</v>
      </c>
      <c r="C34" s="63">
        <v>0.25</v>
      </c>
      <c r="D34" s="40">
        <v>2268519</v>
      </c>
      <c r="E34" s="55">
        <f t="shared" si="0"/>
        <v>567130</v>
      </c>
      <c r="F34" s="55">
        <f t="shared" si="1"/>
        <v>45370</v>
      </c>
      <c r="G34" s="55">
        <f t="shared" si="2"/>
        <v>612500</v>
      </c>
      <c r="H34" s="64"/>
      <c r="I34" s="40">
        <v>2268519</v>
      </c>
      <c r="J34" s="42">
        <f t="shared" si="3"/>
        <v>0</v>
      </c>
      <c r="K34" s="42">
        <f t="shared" si="4"/>
        <v>0</v>
      </c>
      <c r="L34" s="42">
        <f t="shared" si="5"/>
        <v>0</v>
      </c>
      <c r="M34" s="15"/>
      <c r="N34" s="44">
        <v>6363.6360000000004</v>
      </c>
      <c r="O34" s="42">
        <f t="shared" si="6"/>
        <v>0</v>
      </c>
      <c r="P34" s="42">
        <f t="shared" si="7"/>
        <v>0</v>
      </c>
      <c r="Q34" s="42">
        <f t="shared" si="8"/>
        <v>0</v>
      </c>
      <c r="R34" s="48"/>
      <c r="S34" s="56">
        <v>4545.4544999999998</v>
      </c>
      <c r="T34" s="42">
        <f t="shared" si="9"/>
        <v>0</v>
      </c>
      <c r="U34" s="42">
        <f t="shared" si="10"/>
        <v>0</v>
      </c>
      <c r="V34" s="42">
        <f t="shared" si="11"/>
        <v>0</v>
      </c>
      <c r="W34" s="46">
        <f t="shared" si="12"/>
        <v>612500</v>
      </c>
    </row>
    <row r="35" spans="1:23" x14ac:dyDescent="0.3">
      <c r="A35" s="65"/>
      <c r="B35" s="66"/>
      <c r="C35" s="8">
        <v>21.75</v>
      </c>
      <c r="D35" s="7"/>
      <c r="E35" s="57">
        <f>SUM(E5:E34)</f>
        <v>49340285</v>
      </c>
      <c r="F35" s="57">
        <f>SUM(F5:F34)</f>
        <v>3947223</v>
      </c>
      <c r="G35" s="59">
        <f>SUM(G5:G34)</f>
        <v>53287508</v>
      </c>
      <c r="H35" s="8">
        <v>2.0299999999999998</v>
      </c>
      <c r="I35" s="58"/>
      <c r="J35" s="58">
        <f>SUM(J5:J34)</f>
        <v>4605088</v>
      </c>
      <c r="K35" s="58">
        <f>SUM(K5:K34)</f>
        <v>368412</v>
      </c>
      <c r="L35" s="60">
        <f>SUM(L5:L34)</f>
        <v>4973500</v>
      </c>
      <c r="M35" s="7">
        <f>SUM(M5:M34)</f>
        <v>240</v>
      </c>
      <c r="N35" s="58"/>
      <c r="O35" s="58">
        <f>SUM(O5:O34)</f>
        <v>1527273</v>
      </c>
      <c r="P35" s="58">
        <f>SUM(P5:P34)</f>
        <v>122182</v>
      </c>
      <c r="Q35" s="60">
        <f>SUM(Q5:Q34)</f>
        <v>1649455</v>
      </c>
      <c r="R35" s="7">
        <f>SUM(R5:R34)</f>
        <v>826</v>
      </c>
      <c r="S35" s="7"/>
      <c r="T35" s="58">
        <f>SUM(T5:T34)</f>
        <v>3754546</v>
      </c>
      <c r="U35" s="58">
        <f>SUM(U5:U34)</f>
        <v>375454</v>
      </c>
      <c r="V35" s="60">
        <f>SUM(V5:V34)</f>
        <v>4130000</v>
      </c>
      <c r="W35" s="60">
        <f>Q35+L35+G35+V35</f>
        <v>64040463</v>
      </c>
    </row>
    <row r="36" spans="1:23" x14ac:dyDescent="0.3">
      <c r="A36" s="3"/>
      <c r="B36" s="67" t="s">
        <v>1</v>
      </c>
      <c r="C36" s="67"/>
      <c r="D36" s="67"/>
      <c r="E36" s="67"/>
      <c r="F36" s="52"/>
      <c r="G36" s="52"/>
      <c r="H36" s="61"/>
      <c r="I36" s="5"/>
      <c r="J36" s="4"/>
      <c r="K36" s="4"/>
      <c r="L36" s="4"/>
      <c r="M36" s="4"/>
      <c r="N36" s="4"/>
      <c r="O36" s="4"/>
      <c r="P36" s="4"/>
      <c r="Q36" s="4"/>
      <c r="R36" s="67" t="s">
        <v>1</v>
      </c>
      <c r="S36" s="67"/>
      <c r="T36" s="67"/>
      <c r="U36" s="67"/>
      <c r="V36" s="67"/>
      <c r="W36" s="67"/>
    </row>
    <row r="37" spans="1:23" x14ac:dyDescent="0.3">
      <c r="A37" s="3"/>
      <c r="B37" s="68" t="s">
        <v>32</v>
      </c>
      <c r="C37" s="68"/>
      <c r="D37" s="68"/>
      <c r="E37" s="68"/>
      <c r="F37" s="53"/>
      <c r="G37" s="53"/>
      <c r="H37" s="1"/>
      <c r="I37" s="2"/>
      <c r="J37" s="1"/>
      <c r="K37" s="1"/>
      <c r="L37" s="1"/>
      <c r="M37" s="1"/>
      <c r="N37" s="1"/>
      <c r="O37" s="68" t="s">
        <v>15</v>
      </c>
      <c r="P37" s="68"/>
      <c r="Q37" s="68"/>
      <c r="R37" s="68"/>
      <c r="S37" s="68"/>
      <c r="T37" s="68"/>
      <c r="U37" s="68"/>
      <c r="V37" s="68"/>
      <c r="W37" s="68"/>
    </row>
  </sheetData>
  <mergeCells count="12">
    <mergeCell ref="A1:W1"/>
    <mergeCell ref="C3:G3"/>
    <mergeCell ref="H3:L3"/>
    <mergeCell ref="M3:Q3"/>
    <mergeCell ref="R3:V3"/>
    <mergeCell ref="W3:W4"/>
    <mergeCell ref="A4:B4"/>
    <mergeCell ref="A35:B35"/>
    <mergeCell ref="B36:E36"/>
    <mergeCell ref="R36:W36"/>
    <mergeCell ref="B37:E37"/>
    <mergeCell ref="O37:W37"/>
  </mergeCells>
  <conditionalFormatting sqref="B5:B34">
    <cfRule type="expression" dxfId="10" priority="1" stopIfTrue="1">
      <formula>WEEKDAY($B5)=1</formula>
    </cfRule>
  </conditionalFormatting>
  <dataValidations count="1">
    <dataValidation type="decimal" showInputMessage="1" showErrorMessage="1" sqref="C36:C1048576 C1:C34" xr:uid="{10CB7B7D-3D05-42F6-A189-470F546C3AA9}">
      <formula1>0</formula1>
      <formula2>1</formula2>
    </dataValidation>
  </dataValidations>
  <pageMargins left="0.23622047244094491" right="0.19685039370078741" top="0.35433070866141736" bottom="0.74803149606299213" header="0.31496062992125984" footer="0.31496062992125984"/>
  <pageSetup paperSize="9" scale="60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D49E4-D998-43D5-86FC-3ECE19719201}">
  <sheetPr codeName="Sheet13">
    <pageSetUpPr fitToPage="1"/>
  </sheetPr>
  <dimension ref="A1:W37"/>
  <sheetViews>
    <sheetView view="pageBreakPreview" topLeftCell="C1" zoomScale="115" zoomScaleNormal="115" zoomScaleSheetLayoutView="115" workbookViewId="0">
      <pane ySplit="4" topLeftCell="A23" activePane="bottomLeft" state="frozen"/>
      <selection pane="bottomLeft" activeCell="G36" sqref="G36"/>
    </sheetView>
  </sheetViews>
  <sheetFormatPr defaultRowHeight="14" x14ac:dyDescent="0.3"/>
  <cols>
    <col min="5" max="5" width="10.1640625" bestFit="1" customWidth="1"/>
    <col min="6" max="7" width="10.1640625" customWidth="1"/>
    <col min="10" max="10" width="9.9140625" bestFit="1" customWidth="1"/>
    <col min="11" max="12" width="9.9140625" customWidth="1"/>
    <col min="15" max="15" width="9.9140625" bestFit="1" customWidth="1"/>
    <col min="16" max="17" width="9.9140625" customWidth="1"/>
    <col min="20" max="20" width="9.9140625" bestFit="1" customWidth="1"/>
    <col min="21" max="22" width="9.9140625" customWidth="1"/>
    <col min="23" max="23" width="10.6640625" bestFit="1" customWidth="1"/>
  </cols>
  <sheetData>
    <row r="1" spans="1:23" ht="44.25" customHeight="1" x14ac:dyDescent="0.3">
      <c r="A1" s="69" t="s">
        <v>34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</row>
    <row r="2" spans="1:23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7"/>
      <c r="V2" s="27"/>
      <c r="W2" s="27"/>
    </row>
    <row r="3" spans="1:23" ht="26.25" customHeight="1" x14ac:dyDescent="0.3">
      <c r="A3" s="26" t="s">
        <v>13</v>
      </c>
      <c r="B3" s="25" t="s">
        <v>12</v>
      </c>
      <c r="C3" s="71" t="s">
        <v>11</v>
      </c>
      <c r="D3" s="72"/>
      <c r="E3" s="72"/>
      <c r="F3" s="72"/>
      <c r="G3" s="73"/>
      <c r="H3" s="74" t="s">
        <v>10</v>
      </c>
      <c r="I3" s="72"/>
      <c r="J3" s="72"/>
      <c r="K3" s="72"/>
      <c r="L3" s="73"/>
      <c r="M3" s="74" t="s">
        <v>9</v>
      </c>
      <c r="N3" s="72"/>
      <c r="O3" s="72"/>
      <c r="P3" s="72"/>
      <c r="Q3" s="73"/>
      <c r="R3" s="75" t="s">
        <v>8</v>
      </c>
      <c r="S3" s="76"/>
      <c r="T3" s="76"/>
      <c r="U3" s="76"/>
      <c r="V3" s="77"/>
      <c r="W3" s="78" t="s">
        <v>7</v>
      </c>
    </row>
    <row r="4" spans="1:23" ht="60.5" customHeight="1" x14ac:dyDescent="0.3">
      <c r="A4" s="80" t="s">
        <v>17</v>
      </c>
      <c r="B4" s="81"/>
      <c r="C4" s="24" t="s">
        <v>5</v>
      </c>
      <c r="D4" s="24" t="s">
        <v>28</v>
      </c>
      <c r="E4" s="24" t="s">
        <v>29</v>
      </c>
      <c r="F4" s="24" t="s">
        <v>23</v>
      </c>
      <c r="G4" s="24" t="s">
        <v>27</v>
      </c>
      <c r="H4" s="24" t="s">
        <v>5</v>
      </c>
      <c r="I4" s="24" t="s">
        <v>28</v>
      </c>
      <c r="J4" s="24" t="s">
        <v>29</v>
      </c>
      <c r="K4" s="24" t="s">
        <v>23</v>
      </c>
      <c r="L4" s="24" t="s">
        <v>27</v>
      </c>
      <c r="M4" s="24" t="s">
        <v>4</v>
      </c>
      <c r="N4" s="24" t="s">
        <v>28</v>
      </c>
      <c r="O4" s="24" t="s">
        <v>29</v>
      </c>
      <c r="P4" s="24" t="s">
        <v>23</v>
      </c>
      <c r="Q4" s="24" t="s">
        <v>27</v>
      </c>
      <c r="R4" s="24" t="s">
        <v>4</v>
      </c>
      <c r="S4" s="24" t="s">
        <v>28</v>
      </c>
      <c r="T4" s="24" t="s">
        <v>29</v>
      </c>
      <c r="U4" s="24" t="s">
        <v>26</v>
      </c>
      <c r="V4" s="24" t="s">
        <v>27</v>
      </c>
      <c r="W4" s="79"/>
    </row>
    <row r="5" spans="1:23" s="9" customFormat="1" x14ac:dyDescent="0.3">
      <c r="A5" s="54">
        <v>1</v>
      </c>
      <c r="B5" s="19">
        <v>46198</v>
      </c>
      <c r="C5" s="63">
        <v>1</v>
      </c>
      <c r="D5" s="40">
        <v>2268519</v>
      </c>
      <c r="E5" s="55">
        <f t="shared" ref="E5:E34" si="0">ROUND(D5*C5,0)</f>
        <v>2268519</v>
      </c>
      <c r="F5" s="55">
        <f t="shared" ref="F5:F34" si="1">ROUND(E5*8%,0)</f>
        <v>181482</v>
      </c>
      <c r="G5" s="55">
        <f t="shared" ref="G5:G34" si="2">E5+F5</f>
        <v>2450001</v>
      </c>
      <c r="H5" s="64">
        <v>7.0000000000000007E-2</v>
      </c>
      <c r="I5" s="40">
        <v>2268519</v>
      </c>
      <c r="J5" s="42">
        <f t="shared" ref="J5:J34" si="3">ROUND(I5*H5,0)</f>
        <v>158796</v>
      </c>
      <c r="K5" s="42">
        <f t="shared" ref="K5:K34" si="4">ROUND(J5*8%,0)</f>
        <v>12704</v>
      </c>
      <c r="L5" s="42">
        <f t="shared" ref="L5:L34" si="5">J5+K5</f>
        <v>171500</v>
      </c>
      <c r="M5" s="15"/>
      <c r="N5" s="44">
        <v>6363.6360000000004</v>
      </c>
      <c r="O5" s="42">
        <f t="shared" ref="O5:O34" si="6">ROUND(N5*M5,0)</f>
        <v>0</v>
      </c>
      <c r="P5" s="42">
        <f t="shared" ref="P5:P34" si="7">ROUND(O5*8%,0)</f>
        <v>0</v>
      </c>
      <c r="Q5" s="42">
        <f t="shared" ref="Q5:Q34" si="8">O5+P5</f>
        <v>0</v>
      </c>
      <c r="R5" s="48"/>
      <c r="S5" s="56">
        <v>4545.4544999999998</v>
      </c>
      <c r="T5" s="42">
        <f t="shared" ref="T5:T34" si="9">ROUND(R5*S5,0)</f>
        <v>0</v>
      </c>
      <c r="U5" s="42">
        <f t="shared" ref="U5:U34" si="10">ROUND(T5*10%,0)</f>
        <v>0</v>
      </c>
      <c r="V5" s="42">
        <f t="shared" ref="V5:V34" si="11">T5+U5</f>
        <v>0</v>
      </c>
      <c r="W5" s="46">
        <f t="shared" ref="W5:W34" si="12">G5+L5+Q5+V5</f>
        <v>2621501</v>
      </c>
    </row>
    <row r="6" spans="1:23" s="21" customFormat="1" x14ac:dyDescent="0.3">
      <c r="A6" s="54">
        <v>2</v>
      </c>
      <c r="B6" s="19">
        <v>46199</v>
      </c>
      <c r="C6" s="63">
        <v>1</v>
      </c>
      <c r="D6" s="40">
        <v>2268519</v>
      </c>
      <c r="E6" s="55">
        <f t="shared" si="0"/>
        <v>2268519</v>
      </c>
      <c r="F6" s="55">
        <f t="shared" si="1"/>
        <v>181482</v>
      </c>
      <c r="G6" s="55">
        <f t="shared" si="2"/>
        <v>2450001</v>
      </c>
      <c r="H6" s="64">
        <v>7.0000000000000007E-2</v>
      </c>
      <c r="I6" s="40">
        <v>2268519</v>
      </c>
      <c r="J6" s="42">
        <f t="shared" si="3"/>
        <v>158796</v>
      </c>
      <c r="K6" s="42">
        <f t="shared" si="4"/>
        <v>12704</v>
      </c>
      <c r="L6" s="42">
        <f t="shared" si="5"/>
        <v>171500</v>
      </c>
      <c r="M6" s="15"/>
      <c r="N6" s="44">
        <v>6363.6360000000004</v>
      </c>
      <c r="O6" s="42">
        <f t="shared" si="6"/>
        <v>0</v>
      </c>
      <c r="P6" s="42">
        <f t="shared" si="7"/>
        <v>0</v>
      </c>
      <c r="Q6" s="42">
        <f t="shared" si="8"/>
        <v>0</v>
      </c>
      <c r="R6" s="49"/>
      <c r="S6" s="56">
        <v>4545.4544999999998</v>
      </c>
      <c r="T6" s="42">
        <f t="shared" si="9"/>
        <v>0</v>
      </c>
      <c r="U6" s="42">
        <f t="shared" si="10"/>
        <v>0</v>
      </c>
      <c r="V6" s="42">
        <f t="shared" si="11"/>
        <v>0</v>
      </c>
      <c r="W6" s="46">
        <f t="shared" si="12"/>
        <v>2621501</v>
      </c>
    </row>
    <row r="7" spans="1:23" s="9" customFormat="1" x14ac:dyDescent="0.3">
      <c r="A7" s="54">
        <v>3</v>
      </c>
      <c r="B7" s="19">
        <v>46200</v>
      </c>
      <c r="C7" s="63">
        <v>0.75</v>
      </c>
      <c r="D7" s="40">
        <v>2268519</v>
      </c>
      <c r="E7" s="55">
        <f t="shared" si="0"/>
        <v>1701389</v>
      </c>
      <c r="F7" s="55">
        <f t="shared" si="1"/>
        <v>136111</v>
      </c>
      <c r="G7" s="55">
        <f t="shared" si="2"/>
        <v>1837500</v>
      </c>
      <c r="H7" s="64">
        <v>0.13</v>
      </c>
      <c r="I7" s="40">
        <v>2268519</v>
      </c>
      <c r="J7" s="42">
        <f t="shared" si="3"/>
        <v>294907</v>
      </c>
      <c r="K7" s="42">
        <f t="shared" si="4"/>
        <v>23593</v>
      </c>
      <c r="L7" s="42">
        <f t="shared" si="5"/>
        <v>318500</v>
      </c>
      <c r="M7" s="15"/>
      <c r="N7" s="44">
        <v>6363.6360000000004</v>
      </c>
      <c r="O7" s="42">
        <f t="shared" si="6"/>
        <v>0</v>
      </c>
      <c r="P7" s="42">
        <f t="shared" si="7"/>
        <v>0</v>
      </c>
      <c r="Q7" s="42">
        <f t="shared" si="8"/>
        <v>0</v>
      </c>
      <c r="R7" s="48"/>
      <c r="S7" s="56">
        <v>4545.4544999999998</v>
      </c>
      <c r="T7" s="42">
        <f t="shared" si="9"/>
        <v>0</v>
      </c>
      <c r="U7" s="42">
        <f t="shared" si="10"/>
        <v>0</v>
      </c>
      <c r="V7" s="42">
        <f t="shared" si="11"/>
        <v>0</v>
      </c>
      <c r="W7" s="46">
        <f t="shared" si="12"/>
        <v>2156000</v>
      </c>
    </row>
    <row r="8" spans="1:23" s="9" customFormat="1" x14ac:dyDescent="0.3">
      <c r="A8" s="54">
        <v>4</v>
      </c>
      <c r="B8" s="19">
        <v>46201</v>
      </c>
      <c r="C8" s="63">
        <v>0.75</v>
      </c>
      <c r="D8" s="40">
        <v>2268519</v>
      </c>
      <c r="E8" s="55">
        <f t="shared" si="0"/>
        <v>1701389</v>
      </c>
      <c r="F8" s="55">
        <f t="shared" si="1"/>
        <v>136111</v>
      </c>
      <c r="G8" s="55">
        <f t="shared" si="2"/>
        <v>1837500</v>
      </c>
      <c r="H8" s="64"/>
      <c r="I8" s="40">
        <v>2268519</v>
      </c>
      <c r="J8" s="42">
        <f t="shared" si="3"/>
        <v>0</v>
      </c>
      <c r="K8" s="42">
        <f t="shared" si="4"/>
        <v>0</v>
      </c>
      <c r="L8" s="42">
        <f t="shared" si="5"/>
        <v>0</v>
      </c>
      <c r="M8" s="15"/>
      <c r="N8" s="44">
        <v>6363.6360000000004</v>
      </c>
      <c r="O8" s="42">
        <f t="shared" si="6"/>
        <v>0</v>
      </c>
      <c r="P8" s="42">
        <f t="shared" si="7"/>
        <v>0</v>
      </c>
      <c r="Q8" s="42">
        <f t="shared" si="8"/>
        <v>0</v>
      </c>
      <c r="R8" s="48"/>
      <c r="S8" s="56">
        <v>4545.4544999999998</v>
      </c>
      <c r="T8" s="42">
        <f t="shared" si="9"/>
        <v>0</v>
      </c>
      <c r="U8" s="42">
        <f t="shared" si="10"/>
        <v>0</v>
      </c>
      <c r="V8" s="42">
        <f t="shared" si="11"/>
        <v>0</v>
      </c>
      <c r="W8" s="46">
        <f t="shared" si="12"/>
        <v>1837500</v>
      </c>
    </row>
    <row r="9" spans="1:23" s="21" customFormat="1" x14ac:dyDescent="0.3">
      <c r="A9" s="54">
        <v>5</v>
      </c>
      <c r="B9" s="19">
        <v>46202</v>
      </c>
      <c r="C9" s="63">
        <v>0.75</v>
      </c>
      <c r="D9" s="40">
        <v>2268519</v>
      </c>
      <c r="E9" s="55">
        <f t="shared" si="0"/>
        <v>1701389</v>
      </c>
      <c r="F9" s="55">
        <f t="shared" si="1"/>
        <v>136111</v>
      </c>
      <c r="G9" s="55">
        <f t="shared" si="2"/>
        <v>1837500</v>
      </c>
      <c r="H9" s="64">
        <v>0.13</v>
      </c>
      <c r="I9" s="40">
        <v>2268519</v>
      </c>
      <c r="J9" s="42">
        <f t="shared" si="3"/>
        <v>294907</v>
      </c>
      <c r="K9" s="42">
        <f t="shared" si="4"/>
        <v>23593</v>
      </c>
      <c r="L9" s="42">
        <f t="shared" si="5"/>
        <v>318500</v>
      </c>
      <c r="M9" s="15"/>
      <c r="N9" s="44">
        <v>6363.6360000000004</v>
      </c>
      <c r="O9" s="42">
        <f t="shared" si="6"/>
        <v>0</v>
      </c>
      <c r="P9" s="42">
        <f t="shared" si="7"/>
        <v>0</v>
      </c>
      <c r="Q9" s="42">
        <f t="shared" si="8"/>
        <v>0</v>
      </c>
      <c r="R9" s="49"/>
      <c r="S9" s="56">
        <v>4545.4544999999998</v>
      </c>
      <c r="T9" s="42">
        <f t="shared" si="9"/>
        <v>0</v>
      </c>
      <c r="U9" s="42">
        <f t="shared" si="10"/>
        <v>0</v>
      </c>
      <c r="V9" s="42">
        <f t="shared" si="11"/>
        <v>0</v>
      </c>
      <c r="W9" s="46">
        <f t="shared" si="12"/>
        <v>2156000</v>
      </c>
    </row>
    <row r="10" spans="1:23" s="21" customFormat="1" x14ac:dyDescent="0.3">
      <c r="A10" s="54">
        <v>6</v>
      </c>
      <c r="B10" s="19">
        <v>46203</v>
      </c>
      <c r="C10" s="63">
        <v>0.75</v>
      </c>
      <c r="D10" s="40">
        <v>2268519</v>
      </c>
      <c r="E10" s="55">
        <f t="shared" si="0"/>
        <v>1701389</v>
      </c>
      <c r="F10" s="55">
        <f t="shared" si="1"/>
        <v>136111</v>
      </c>
      <c r="G10" s="55">
        <f t="shared" si="2"/>
        <v>1837500</v>
      </c>
      <c r="H10" s="64">
        <v>7.0000000000000007E-2</v>
      </c>
      <c r="I10" s="40">
        <v>2268519</v>
      </c>
      <c r="J10" s="42">
        <f t="shared" si="3"/>
        <v>158796</v>
      </c>
      <c r="K10" s="42">
        <f t="shared" si="4"/>
        <v>12704</v>
      </c>
      <c r="L10" s="42">
        <f t="shared" si="5"/>
        <v>171500</v>
      </c>
      <c r="M10" s="15"/>
      <c r="N10" s="44">
        <v>6363.6360000000004</v>
      </c>
      <c r="O10" s="42">
        <f t="shared" si="6"/>
        <v>0</v>
      </c>
      <c r="P10" s="42">
        <f t="shared" si="7"/>
        <v>0</v>
      </c>
      <c r="Q10" s="42">
        <f t="shared" si="8"/>
        <v>0</v>
      </c>
      <c r="R10" s="49"/>
      <c r="S10" s="56">
        <v>4545.4544999999998</v>
      </c>
      <c r="T10" s="42">
        <f t="shared" si="9"/>
        <v>0</v>
      </c>
      <c r="U10" s="42">
        <f t="shared" si="10"/>
        <v>0</v>
      </c>
      <c r="V10" s="42">
        <f t="shared" si="11"/>
        <v>0</v>
      </c>
      <c r="W10" s="46">
        <f t="shared" si="12"/>
        <v>2009000</v>
      </c>
    </row>
    <row r="11" spans="1:23" s="9" customFormat="1" x14ac:dyDescent="0.3">
      <c r="A11" s="54">
        <v>7</v>
      </c>
      <c r="B11" s="19">
        <v>46204</v>
      </c>
      <c r="C11" s="63">
        <v>0.5</v>
      </c>
      <c r="D11" s="40">
        <v>2268519</v>
      </c>
      <c r="E11" s="55">
        <f t="shared" si="0"/>
        <v>1134260</v>
      </c>
      <c r="F11" s="55">
        <f t="shared" si="1"/>
        <v>90741</v>
      </c>
      <c r="G11" s="55">
        <f t="shared" si="2"/>
        <v>1225001</v>
      </c>
      <c r="H11" s="64"/>
      <c r="I11" s="40">
        <v>2268519</v>
      </c>
      <c r="J11" s="42">
        <f t="shared" si="3"/>
        <v>0</v>
      </c>
      <c r="K11" s="42">
        <f t="shared" si="4"/>
        <v>0</v>
      </c>
      <c r="L11" s="42">
        <f t="shared" si="5"/>
        <v>0</v>
      </c>
      <c r="M11" s="15"/>
      <c r="N11" s="44">
        <v>6363.6360000000004</v>
      </c>
      <c r="O11" s="42">
        <f t="shared" si="6"/>
        <v>0</v>
      </c>
      <c r="P11" s="42">
        <f t="shared" si="7"/>
        <v>0</v>
      </c>
      <c r="Q11" s="42">
        <f t="shared" si="8"/>
        <v>0</v>
      </c>
      <c r="R11" s="48"/>
      <c r="S11" s="56">
        <v>4545.4544999999998</v>
      </c>
      <c r="T11" s="42">
        <f t="shared" si="9"/>
        <v>0</v>
      </c>
      <c r="U11" s="42">
        <f t="shared" si="10"/>
        <v>0</v>
      </c>
      <c r="V11" s="42">
        <f t="shared" si="11"/>
        <v>0</v>
      </c>
      <c r="W11" s="46">
        <f t="shared" si="12"/>
        <v>1225001</v>
      </c>
    </row>
    <row r="12" spans="1:23" s="21" customFormat="1" x14ac:dyDescent="0.3">
      <c r="A12" s="54">
        <v>8</v>
      </c>
      <c r="B12" s="19">
        <v>46205</v>
      </c>
      <c r="C12" s="63">
        <v>0.75</v>
      </c>
      <c r="D12" s="40">
        <v>2268519</v>
      </c>
      <c r="E12" s="55">
        <f t="shared" si="0"/>
        <v>1701389</v>
      </c>
      <c r="F12" s="55">
        <f t="shared" si="1"/>
        <v>136111</v>
      </c>
      <c r="G12" s="55">
        <f t="shared" si="2"/>
        <v>1837500</v>
      </c>
      <c r="H12" s="64">
        <v>7.0000000000000007E-2</v>
      </c>
      <c r="I12" s="40">
        <v>2268519</v>
      </c>
      <c r="J12" s="42">
        <f t="shared" si="3"/>
        <v>158796</v>
      </c>
      <c r="K12" s="42">
        <f t="shared" si="4"/>
        <v>12704</v>
      </c>
      <c r="L12" s="42">
        <f t="shared" si="5"/>
        <v>171500</v>
      </c>
      <c r="M12" s="15"/>
      <c r="N12" s="44">
        <v>6363.6360000000004</v>
      </c>
      <c r="O12" s="42">
        <f t="shared" si="6"/>
        <v>0</v>
      </c>
      <c r="P12" s="42">
        <f t="shared" si="7"/>
        <v>0</v>
      </c>
      <c r="Q12" s="42">
        <f t="shared" si="8"/>
        <v>0</v>
      </c>
      <c r="R12" s="49"/>
      <c r="S12" s="56">
        <v>4545.4544999999998</v>
      </c>
      <c r="T12" s="42">
        <f t="shared" si="9"/>
        <v>0</v>
      </c>
      <c r="U12" s="42">
        <f t="shared" si="10"/>
        <v>0</v>
      </c>
      <c r="V12" s="42">
        <f t="shared" si="11"/>
        <v>0</v>
      </c>
      <c r="W12" s="46">
        <f t="shared" si="12"/>
        <v>2009000</v>
      </c>
    </row>
    <row r="13" spans="1:23" s="9" customFormat="1" x14ac:dyDescent="0.3">
      <c r="A13" s="54">
        <v>9</v>
      </c>
      <c r="B13" s="19">
        <v>46206</v>
      </c>
      <c r="C13" s="63">
        <v>0.75</v>
      </c>
      <c r="D13" s="40">
        <v>2268519</v>
      </c>
      <c r="E13" s="55">
        <f t="shared" si="0"/>
        <v>1701389</v>
      </c>
      <c r="F13" s="55">
        <f t="shared" si="1"/>
        <v>136111</v>
      </c>
      <c r="G13" s="55">
        <f t="shared" si="2"/>
        <v>1837500</v>
      </c>
      <c r="H13" s="64">
        <v>0.2</v>
      </c>
      <c r="I13" s="40">
        <v>2268519</v>
      </c>
      <c r="J13" s="42">
        <f t="shared" si="3"/>
        <v>453704</v>
      </c>
      <c r="K13" s="42">
        <f t="shared" si="4"/>
        <v>36296</v>
      </c>
      <c r="L13" s="42">
        <f t="shared" si="5"/>
        <v>490000</v>
      </c>
      <c r="M13" s="15"/>
      <c r="N13" s="44">
        <v>6363.6360000000004</v>
      </c>
      <c r="O13" s="42">
        <f t="shared" si="6"/>
        <v>0</v>
      </c>
      <c r="P13" s="42">
        <f t="shared" si="7"/>
        <v>0</v>
      </c>
      <c r="Q13" s="42">
        <f t="shared" si="8"/>
        <v>0</v>
      </c>
      <c r="R13" s="48"/>
      <c r="S13" s="56">
        <v>4545.4544999999998</v>
      </c>
      <c r="T13" s="42">
        <f t="shared" si="9"/>
        <v>0</v>
      </c>
      <c r="U13" s="42">
        <f t="shared" si="10"/>
        <v>0</v>
      </c>
      <c r="V13" s="42">
        <f t="shared" si="11"/>
        <v>0</v>
      </c>
      <c r="W13" s="46">
        <f t="shared" si="12"/>
        <v>2327500</v>
      </c>
    </row>
    <row r="14" spans="1:23" s="9" customFormat="1" x14ac:dyDescent="0.3">
      <c r="A14" s="54">
        <v>10</v>
      </c>
      <c r="B14" s="19">
        <v>46207</v>
      </c>
      <c r="C14" s="63">
        <v>0.75</v>
      </c>
      <c r="D14" s="40">
        <v>2268519</v>
      </c>
      <c r="E14" s="55">
        <f t="shared" si="0"/>
        <v>1701389</v>
      </c>
      <c r="F14" s="55">
        <f t="shared" si="1"/>
        <v>136111</v>
      </c>
      <c r="G14" s="55">
        <f t="shared" si="2"/>
        <v>1837500</v>
      </c>
      <c r="H14" s="64"/>
      <c r="I14" s="40">
        <v>2268519</v>
      </c>
      <c r="J14" s="42">
        <f t="shared" si="3"/>
        <v>0</v>
      </c>
      <c r="K14" s="42">
        <f t="shared" si="4"/>
        <v>0</v>
      </c>
      <c r="L14" s="42">
        <f t="shared" si="5"/>
        <v>0</v>
      </c>
      <c r="M14" s="15"/>
      <c r="N14" s="44">
        <v>6363.6360000000004</v>
      </c>
      <c r="O14" s="42">
        <f t="shared" si="6"/>
        <v>0</v>
      </c>
      <c r="P14" s="42">
        <f t="shared" si="7"/>
        <v>0</v>
      </c>
      <c r="Q14" s="42">
        <f t="shared" si="8"/>
        <v>0</v>
      </c>
      <c r="R14" s="48"/>
      <c r="S14" s="56">
        <v>4545.4544999999998</v>
      </c>
      <c r="T14" s="42">
        <f t="shared" si="9"/>
        <v>0</v>
      </c>
      <c r="U14" s="42">
        <f t="shared" si="10"/>
        <v>0</v>
      </c>
      <c r="V14" s="42">
        <f t="shared" si="11"/>
        <v>0</v>
      </c>
      <c r="W14" s="46">
        <f t="shared" si="12"/>
        <v>1837500</v>
      </c>
    </row>
    <row r="15" spans="1:23" s="21" customFormat="1" x14ac:dyDescent="0.3">
      <c r="A15" s="54">
        <v>11</v>
      </c>
      <c r="B15" s="19">
        <v>46208</v>
      </c>
      <c r="C15" s="63">
        <v>0.25</v>
      </c>
      <c r="D15" s="40">
        <v>2268519</v>
      </c>
      <c r="E15" s="55">
        <f t="shared" si="0"/>
        <v>567130</v>
      </c>
      <c r="F15" s="55">
        <f t="shared" si="1"/>
        <v>45370</v>
      </c>
      <c r="G15" s="55">
        <f t="shared" si="2"/>
        <v>612500</v>
      </c>
      <c r="H15" s="64"/>
      <c r="I15" s="40">
        <v>2268519</v>
      </c>
      <c r="J15" s="42">
        <f t="shared" si="3"/>
        <v>0</v>
      </c>
      <c r="K15" s="42">
        <f t="shared" si="4"/>
        <v>0</v>
      </c>
      <c r="L15" s="42">
        <f t="shared" si="5"/>
        <v>0</v>
      </c>
      <c r="M15" s="15"/>
      <c r="N15" s="44">
        <v>6363.6360000000004</v>
      </c>
      <c r="O15" s="42">
        <f t="shared" si="6"/>
        <v>0</v>
      </c>
      <c r="P15" s="42">
        <f t="shared" si="7"/>
        <v>0</v>
      </c>
      <c r="Q15" s="42">
        <f t="shared" si="8"/>
        <v>0</v>
      </c>
      <c r="R15" s="49"/>
      <c r="S15" s="56">
        <v>4545.4544999999998</v>
      </c>
      <c r="T15" s="42">
        <f t="shared" si="9"/>
        <v>0</v>
      </c>
      <c r="U15" s="42">
        <f t="shared" si="10"/>
        <v>0</v>
      </c>
      <c r="V15" s="42">
        <f t="shared" si="11"/>
        <v>0</v>
      </c>
      <c r="W15" s="46">
        <f t="shared" si="12"/>
        <v>612500</v>
      </c>
    </row>
    <row r="16" spans="1:23" s="21" customFormat="1" x14ac:dyDescent="0.3">
      <c r="A16" s="54">
        <v>12</v>
      </c>
      <c r="B16" s="19">
        <v>46209</v>
      </c>
      <c r="C16" s="63">
        <v>0.75</v>
      </c>
      <c r="D16" s="40">
        <v>2268519</v>
      </c>
      <c r="E16" s="55">
        <f t="shared" si="0"/>
        <v>1701389</v>
      </c>
      <c r="F16" s="55">
        <f t="shared" si="1"/>
        <v>136111</v>
      </c>
      <c r="G16" s="55">
        <f t="shared" si="2"/>
        <v>1837500</v>
      </c>
      <c r="H16" s="64">
        <v>7.0000000000000007E-2</v>
      </c>
      <c r="I16" s="40">
        <v>2268519</v>
      </c>
      <c r="J16" s="42">
        <f t="shared" si="3"/>
        <v>158796</v>
      </c>
      <c r="K16" s="42">
        <f t="shared" si="4"/>
        <v>12704</v>
      </c>
      <c r="L16" s="42">
        <f t="shared" si="5"/>
        <v>171500</v>
      </c>
      <c r="M16" s="15"/>
      <c r="N16" s="44">
        <v>6363.6360000000004</v>
      </c>
      <c r="O16" s="42">
        <f t="shared" si="6"/>
        <v>0</v>
      </c>
      <c r="P16" s="42">
        <f t="shared" si="7"/>
        <v>0</v>
      </c>
      <c r="Q16" s="42">
        <f t="shared" si="8"/>
        <v>0</v>
      </c>
      <c r="R16" s="49"/>
      <c r="S16" s="56">
        <v>4545.4544999999998</v>
      </c>
      <c r="T16" s="42">
        <f t="shared" si="9"/>
        <v>0</v>
      </c>
      <c r="U16" s="42">
        <f t="shared" si="10"/>
        <v>0</v>
      </c>
      <c r="V16" s="42">
        <f t="shared" si="11"/>
        <v>0</v>
      </c>
      <c r="W16" s="46">
        <f t="shared" si="12"/>
        <v>2009000</v>
      </c>
    </row>
    <row r="17" spans="1:23" s="9" customFormat="1" x14ac:dyDescent="0.3">
      <c r="A17" s="54">
        <v>13</v>
      </c>
      <c r="B17" s="19">
        <v>46210</v>
      </c>
      <c r="C17" s="63">
        <v>0.75</v>
      </c>
      <c r="D17" s="40">
        <v>2268519</v>
      </c>
      <c r="E17" s="55">
        <f t="shared" si="0"/>
        <v>1701389</v>
      </c>
      <c r="F17" s="55">
        <f t="shared" si="1"/>
        <v>136111</v>
      </c>
      <c r="G17" s="55">
        <f t="shared" si="2"/>
        <v>1837500</v>
      </c>
      <c r="H17" s="64">
        <v>7.0000000000000007E-2</v>
      </c>
      <c r="I17" s="40">
        <v>2268519</v>
      </c>
      <c r="J17" s="42">
        <f t="shared" si="3"/>
        <v>158796</v>
      </c>
      <c r="K17" s="42">
        <f t="shared" si="4"/>
        <v>12704</v>
      </c>
      <c r="L17" s="42">
        <f t="shared" si="5"/>
        <v>171500</v>
      </c>
      <c r="M17" s="15"/>
      <c r="N17" s="44">
        <v>6363.6360000000004</v>
      </c>
      <c r="O17" s="42">
        <f t="shared" si="6"/>
        <v>0</v>
      </c>
      <c r="P17" s="42">
        <f t="shared" si="7"/>
        <v>0</v>
      </c>
      <c r="Q17" s="42">
        <f t="shared" si="8"/>
        <v>0</v>
      </c>
      <c r="R17" s="48"/>
      <c r="S17" s="56">
        <v>4545.4544999999998</v>
      </c>
      <c r="T17" s="42">
        <f t="shared" si="9"/>
        <v>0</v>
      </c>
      <c r="U17" s="42">
        <f t="shared" si="10"/>
        <v>0</v>
      </c>
      <c r="V17" s="42">
        <f t="shared" si="11"/>
        <v>0</v>
      </c>
      <c r="W17" s="46">
        <f t="shared" si="12"/>
        <v>2009000</v>
      </c>
    </row>
    <row r="18" spans="1:23" s="21" customFormat="1" x14ac:dyDescent="0.3">
      <c r="A18" s="54">
        <v>14</v>
      </c>
      <c r="B18" s="19">
        <v>46211</v>
      </c>
      <c r="C18" s="63">
        <v>0.75</v>
      </c>
      <c r="D18" s="40">
        <v>2268519</v>
      </c>
      <c r="E18" s="55">
        <f t="shared" si="0"/>
        <v>1701389</v>
      </c>
      <c r="F18" s="55">
        <f t="shared" si="1"/>
        <v>136111</v>
      </c>
      <c r="G18" s="55">
        <f t="shared" si="2"/>
        <v>1837500</v>
      </c>
      <c r="H18" s="64">
        <v>0.2</v>
      </c>
      <c r="I18" s="40">
        <v>2268519</v>
      </c>
      <c r="J18" s="42">
        <f t="shared" si="3"/>
        <v>453704</v>
      </c>
      <c r="K18" s="42">
        <f t="shared" si="4"/>
        <v>36296</v>
      </c>
      <c r="L18" s="42">
        <f t="shared" si="5"/>
        <v>490000</v>
      </c>
      <c r="M18" s="15"/>
      <c r="N18" s="44">
        <v>6363.6360000000004</v>
      </c>
      <c r="O18" s="42">
        <f t="shared" si="6"/>
        <v>0</v>
      </c>
      <c r="P18" s="42">
        <f t="shared" si="7"/>
        <v>0</v>
      </c>
      <c r="Q18" s="42">
        <f t="shared" si="8"/>
        <v>0</v>
      </c>
      <c r="R18" s="49"/>
      <c r="S18" s="56">
        <v>4545.4544999999998</v>
      </c>
      <c r="T18" s="42">
        <f t="shared" si="9"/>
        <v>0</v>
      </c>
      <c r="U18" s="42">
        <f t="shared" si="10"/>
        <v>0</v>
      </c>
      <c r="V18" s="42">
        <f t="shared" si="11"/>
        <v>0</v>
      </c>
      <c r="W18" s="46">
        <f>G18+L18+Q18+V18</f>
        <v>2327500</v>
      </c>
    </row>
    <row r="19" spans="1:23" s="21" customFormat="1" x14ac:dyDescent="0.3">
      <c r="A19" s="54">
        <v>15</v>
      </c>
      <c r="B19" s="19">
        <v>46212</v>
      </c>
      <c r="C19" s="63">
        <v>1</v>
      </c>
      <c r="D19" s="40">
        <v>2268519</v>
      </c>
      <c r="E19" s="55">
        <f t="shared" si="0"/>
        <v>2268519</v>
      </c>
      <c r="F19" s="55">
        <f t="shared" si="1"/>
        <v>181482</v>
      </c>
      <c r="G19" s="55">
        <f t="shared" si="2"/>
        <v>2450001</v>
      </c>
      <c r="H19" s="64"/>
      <c r="I19" s="40">
        <v>2268519</v>
      </c>
      <c r="J19" s="42">
        <f t="shared" si="3"/>
        <v>0</v>
      </c>
      <c r="K19" s="42">
        <f t="shared" si="4"/>
        <v>0</v>
      </c>
      <c r="L19" s="42">
        <f t="shared" si="5"/>
        <v>0</v>
      </c>
      <c r="M19" s="15"/>
      <c r="N19" s="44">
        <v>6363.6360000000004</v>
      </c>
      <c r="O19" s="42">
        <f t="shared" si="6"/>
        <v>0</v>
      </c>
      <c r="P19" s="42">
        <f t="shared" si="7"/>
        <v>0</v>
      </c>
      <c r="Q19" s="42">
        <f t="shared" si="8"/>
        <v>0</v>
      </c>
      <c r="R19" s="49"/>
      <c r="S19" s="56">
        <v>4545.4544999999998</v>
      </c>
      <c r="T19" s="42">
        <f t="shared" si="9"/>
        <v>0</v>
      </c>
      <c r="U19" s="42">
        <f t="shared" si="10"/>
        <v>0</v>
      </c>
      <c r="V19" s="42">
        <f t="shared" si="11"/>
        <v>0</v>
      </c>
      <c r="W19" s="46">
        <f t="shared" si="12"/>
        <v>2450001</v>
      </c>
    </row>
    <row r="20" spans="1:23" s="9" customFormat="1" x14ac:dyDescent="0.3">
      <c r="A20" s="54">
        <v>16</v>
      </c>
      <c r="B20" s="19">
        <v>46213</v>
      </c>
      <c r="C20" s="63">
        <v>0.75</v>
      </c>
      <c r="D20" s="40">
        <v>2268519</v>
      </c>
      <c r="E20" s="55">
        <f t="shared" si="0"/>
        <v>1701389</v>
      </c>
      <c r="F20" s="55">
        <f t="shared" si="1"/>
        <v>136111</v>
      </c>
      <c r="G20" s="55">
        <f t="shared" si="2"/>
        <v>1837500</v>
      </c>
      <c r="H20" s="64"/>
      <c r="I20" s="40">
        <v>2268519</v>
      </c>
      <c r="J20" s="42">
        <f t="shared" si="3"/>
        <v>0</v>
      </c>
      <c r="K20" s="42">
        <f t="shared" si="4"/>
        <v>0</v>
      </c>
      <c r="L20" s="42">
        <f t="shared" si="5"/>
        <v>0</v>
      </c>
      <c r="M20" s="15"/>
      <c r="N20" s="44">
        <v>6363.6360000000004</v>
      </c>
      <c r="O20" s="42">
        <f t="shared" si="6"/>
        <v>0</v>
      </c>
      <c r="P20" s="42">
        <f t="shared" si="7"/>
        <v>0</v>
      </c>
      <c r="Q20" s="42">
        <f t="shared" si="8"/>
        <v>0</v>
      </c>
      <c r="R20" s="48"/>
      <c r="S20" s="56">
        <v>4545.4544999999998</v>
      </c>
      <c r="T20" s="42">
        <f t="shared" si="9"/>
        <v>0</v>
      </c>
      <c r="U20" s="42">
        <f t="shared" si="10"/>
        <v>0</v>
      </c>
      <c r="V20" s="42">
        <f t="shared" si="11"/>
        <v>0</v>
      </c>
      <c r="W20" s="46">
        <f t="shared" si="12"/>
        <v>1837500</v>
      </c>
    </row>
    <row r="21" spans="1:23" s="21" customFormat="1" x14ac:dyDescent="0.3">
      <c r="A21" s="54">
        <v>17</v>
      </c>
      <c r="B21" s="19">
        <v>46214</v>
      </c>
      <c r="C21" s="63">
        <v>0.75</v>
      </c>
      <c r="D21" s="40">
        <v>2268519</v>
      </c>
      <c r="E21" s="55">
        <f t="shared" si="0"/>
        <v>1701389</v>
      </c>
      <c r="F21" s="55">
        <f t="shared" si="1"/>
        <v>136111</v>
      </c>
      <c r="G21" s="55">
        <f t="shared" si="2"/>
        <v>1837500</v>
      </c>
      <c r="H21" s="64">
        <v>0.2</v>
      </c>
      <c r="I21" s="40">
        <v>2268519</v>
      </c>
      <c r="J21" s="42">
        <f t="shared" si="3"/>
        <v>453704</v>
      </c>
      <c r="K21" s="42">
        <f t="shared" si="4"/>
        <v>36296</v>
      </c>
      <c r="L21" s="42">
        <f t="shared" si="5"/>
        <v>490000</v>
      </c>
      <c r="M21" s="15"/>
      <c r="N21" s="44">
        <v>6363.6360000000004</v>
      </c>
      <c r="O21" s="42">
        <f t="shared" si="6"/>
        <v>0</v>
      </c>
      <c r="P21" s="42">
        <f t="shared" si="7"/>
        <v>0</v>
      </c>
      <c r="Q21" s="42">
        <f t="shared" si="8"/>
        <v>0</v>
      </c>
      <c r="R21" s="49"/>
      <c r="S21" s="56">
        <v>4545.4544999999998</v>
      </c>
      <c r="T21" s="42">
        <f t="shared" si="9"/>
        <v>0</v>
      </c>
      <c r="U21" s="42">
        <f t="shared" si="10"/>
        <v>0</v>
      </c>
      <c r="V21" s="42">
        <f t="shared" si="11"/>
        <v>0</v>
      </c>
      <c r="W21" s="46">
        <f t="shared" si="12"/>
        <v>2327500</v>
      </c>
    </row>
    <row r="22" spans="1:23" s="9" customFormat="1" x14ac:dyDescent="0.3">
      <c r="A22" s="54">
        <v>18</v>
      </c>
      <c r="B22" s="19">
        <v>46215</v>
      </c>
      <c r="C22" s="63">
        <v>0.25</v>
      </c>
      <c r="D22" s="40">
        <v>2268519</v>
      </c>
      <c r="E22" s="55">
        <f t="shared" si="0"/>
        <v>567130</v>
      </c>
      <c r="F22" s="55">
        <f t="shared" si="1"/>
        <v>45370</v>
      </c>
      <c r="G22" s="55">
        <f t="shared" si="2"/>
        <v>612500</v>
      </c>
      <c r="H22" s="64"/>
      <c r="I22" s="40">
        <v>2268519</v>
      </c>
      <c r="J22" s="42">
        <f t="shared" si="3"/>
        <v>0</v>
      </c>
      <c r="K22" s="42">
        <f t="shared" si="4"/>
        <v>0</v>
      </c>
      <c r="L22" s="42">
        <f t="shared" si="5"/>
        <v>0</v>
      </c>
      <c r="M22" s="15"/>
      <c r="N22" s="44">
        <v>6363.6360000000004</v>
      </c>
      <c r="O22" s="42">
        <f t="shared" si="6"/>
        <v>0</v>
      </c>
      <c r="P22" s="42">
        <f t="shared" si="7"/>
        <v>0</v>
      </c>
      <c r="Q22" s="42">
        <f t="shared" si="8"/>
        <v>0</v>
      </c>
      <c r="R22" s="48"/>
      <c r="S22" s="56">
        <v>4545.4544999999998</v>
      </c>
      <c r="T22" s="42">
        <f t="shared" si="9"/>
        <v>0</v>
      </c>
      <c r="U22" s="42">
        <f t="shared" si="10"/>
        <v>0</v>
      </c>
      <c r="V22" s="42">
        <f t="shared" si="11"/>
        <v>0</v>
      </c>
      <c r="W22" s="46">
        <f t="shared" si="12"/>
        <v>612500</v>
      </c>
    </row>
    <row r="23" spans="1:23" s="9" customFormat="1" x14ac:dyDescent="0.3">
      <c r="A23" s="54">
        <v>19</v>
      </c>
      <c r="B23" s="19">
        <v>46216</v>
      </c>
      <c r="C23" s="63">
        <v>0.75</v>
      </c>
      <c r="D23" s="40">
        <v>2268519</v>
      </c>
      <c r="E23" s="55">
        <f t="shared" si="0"/>
        <v>1701389</v>
      </c>
      <c r="F23" s="55">
        <f t="shared" si="1"/>
        <v>136111</v>
      </c>
      <c r="G23" s="55">
        <f t="shared" si="2"/>
        <v>1837500</v>
      </c>
      <c r="H23" s="64"/>
      <c r="I23" s="40">
        <v>2268519</v>
      </c>
      <c r="J23" s="42">
        <f t="shared" si="3"/>
        <v>0</v>
      </c>
      <c r="K23" s="42">
        <f t="shared" si="4"/>
        <v>0</v>
      </c>
      <c r="L23" s="42">
        <f t="shared" si="5"/>
        <v>0</v>
      </c>
      <c r="M23" s="15"/>
      <c r="N23" s="44">
        <v>6363.6360000000004</v>
      </c>
      <c r="O23" s="42">
        <f t="shared" si="6"/>
        <v>0</v>
      </c>
      <c r="P23" s="42">
        <f t="shared" si="7"/>
        <v>0</v>
      </c>
      <c r="Q23" s="42">
        <f t="shared" si="8"/>
        <v>0</v>
      </c>
      <c r="R23" s="48"/>
      <c r="S23" s="56">
        <v>4545.4544999999998</v>
      </c>
      <c r="T23" s="42">
        <f t="shared" si="9"/>
        <v>0</v>
      </c>
      <c r="U23" s="42">
        <f t="shared" si="10"/>
        <v>0</v>
      </c>
      <c r="V23" s="42">
        <f t="shared" si="11"/>
        <v>0</v>
      </c>
      <c r="W23" s="46">
        <f t="shared" si="12"/>
        <v>1837500</v>
      </c>
    </row>
    <row r="24" spans="1:23" s="21" customFormat="1" x14ac:dyDescent="0.3">
      <c r="A24" s="54">
        <v>20</v>
      </c>
      <c r="B24" s="19">
        <v>46217</v>
      </c>
      <c r="C24" s="63">
        <v>0.5</v>
      </c>
      <c r="D24" s="40">
        <v>2268519</v>
      </c>
      <c r="E24" s="55">
        <f t="shared" si="0"/>
        <v>1134260</v>
      </c>
      <c r="F24" s="55">
        <f t="shared" si="1"/>
        <v>90741</v>
      </c>
      <c r="G24" s="55">
        <f t="shared" si="2"/>
        <v>1225001</v>
      </c>
      <c r="H24" s="64">
        <v>0.13</v>
      </c>
      <c r="I24" s="40">
        <v>2268519</v>
      </c>
      <c r="J24" s="42">
        <f t="shared" si="3"/>
        <v>294907</v>
      </c>
      <c r="K24" s="42">
        <f t="shared" si="4"/>
        <v>23593</v>
      </c>
      <c r="L24" s="42">
        <f t="shared" si="5"/>
        <v>318500</v>
      </c>
      <c r="M24" s="15"/>
      <c r="N24" s="44">
        <v>6363.6360000000004</v>
      </c>
      <c r="O24" s="42">
        <f t="shared" si="6"/>
        <v>0</v>
      </c>
      <c r="P24" s="42">
        <f t="shared" si="7"/>
        <v>0</v>
      </c>
      <c r="Q24" s="42">
        <f t="shared" si="8"/>
        <v>0</v>
      </c>
      <c r="R24" s="49">
        <v>1922</v>
      </c>
      <c r="S24" s="56">
        <v>4545.4544999999998</v>
      </c>
      <c r="T24" s="42">
        <f t="shared" si="9"/>
        <v>8736364</v>
      </c>
      <c r="U24" s="42">
        <f t="shared" si="10"/>
        <v>873636</v>
      </c>
      <c r="V24" s="42">
        <f t="shared" si="11"/>
        <v>9610000</v>
      </c>
      <c r="W24" s="46">
        <f t="shared" si="12"/>
        <v>11153501</v>
      </c>
    </row>
    <row r="25" spans="1:23" s="9" customFormat="1" x14ac:dyDescent="0.3">
      <c r="A25" s="54">
        <v>21</v>
      </c>
      <c r="B25" s="19">
        <v>46218</v>
      </c>
      <c r="C25" s="63">
        <v>0.75</v>
      </c>
      <c r="D25" s="40">
        <v>2268519</v>
      </c>
      <c r="E25" s="55">
        <f t="shared" si="0"/>
        <v>1701389</v>
      </c>
      <c r="F25" s="55">
        <f t="shared" si="1"/>
        <v>136111</v>
      </c>
      <c r="G25" s="55">
        <f t="shared" si="2"/>
        <v>1837500</v>
      </c>
      <c r="H25" s="64">
        <v>0.13</v>
      </c>
      <c r="I25" s="40">
        <v>2268519</v>
      </c>
      <c r="J25" s="42">
        <f t="shared" si="3"/>
        <v>294907</v>
      </c>
      <c r="K25" s="42">
        <f t="shared" si="4"/>
        <v>23593</v>
      </c>
      <c r="L25" s="42">
        <f t="shared" si="5"/>
        <v>318500</v>
      </c>
      <c r="M25" s="15"/>
      <c r="N25" s="44">
        <v>6363.6360000000004</v>
      </c>
      <c r="O25" s="42">
        <f t="shared" si="6"/>
        <v>0</v>
      </c>
      <c r="P25" s="42">
        <f t="shared" si="7"/>
        <v>0</v>
      </c>
      <c r="Q25" s="42">
        <f t="shared" si="8"/>
        <v>0</v>
      </c>
      <c r="R25" s="48"/>
      <c r="S25" s="56">
        <v>4545.4544999999998</v>
      </c>
      <c r="T25" s="42">
        <f t="shared" si="9"/>
        <v>0</v>
      </c>
      <c r="U25" s="42">
        <f t="shared" si="10"/>
        <v>0</v>
      </c>
      <c r="V25" s="42">
        <f t="shared" si="11"/>
        <v>0</v>
      </c>
      <c r="W25" s="46">
        <f t="shared" si="12"/>
        <v>2156000</v>
      </c>
    </row>
    <row r="26" spans="1:23" s="9" customFormat="1" x14ac:dyDescent="0.3">
      <c r="A26" s="54">
        <v>22</v>
      </c>
      <c r="B26" s="19">
        <v>46219</v>
      </c>
      <c r="C26" s="63">
        <v>0.75</v>
      </c>
      <c r="D26" s="40">
        <v>2268519</v>
      </c>
      <c r="E26" s="55">
        <f t="shared" si="0"/>
        <v>1701389</v>
      </c>
      <c r="F26" s="55">
        <f t="shared" si="1"/>
        <v>136111</v>
      </c>
      <c r="G26" s="55">
        <f t="shared" si="2"/>
        <v>1837500</v>
      </c>
      <c r="H26" s="64"/>
      <c r="I26" s="40">
        <v>2268519</v>
      </c>
      <c r="J26" s="42">
        <f t="shared" si="3"/>
        <v>0</v>
      </c>
      <c r="K26" s="42">
        <f t="shared" si="4"/>
        <v>0</v>
      </c>
      <c r="L26" s="42">
        <f t="shared" si="5"/>
        <v>0</v>
      </c>
      <c r="M26" s="15"/>
      <c r="N26" s="44">
        <v>6363.6360000000004</v>
      </c>
      <c r="O26" s="42">
        <f t="shared" si="6"/>
        <v>0</v>
      </c>
      <c r="P26" s="42">
        <f t="shared" si="7"/>
        <v>0</v>
      </c>
      <c r="Q26" s="42">
        <f t="shared" si="8"/>
        <v>0</v>
      </c>
      <c r="R26" s="48"/>
      <c r="S26" s="56">
        <v>4545.4544999999998</v>
      </c>
      <c r="T26" s="42">
        <f t="shared" si="9"/>
        <v>0</v>
      </c>
      <c r="U26" s="42">
        <f t="shared" si="10"/>
        <v>0</v>
      </c>
      <c r="V26" s="42">
        <f t="shared" si="11"/>
        <v>0</v>
      </c>
      <c r="W26" s="46">
        <f t="shared" si="12"/>
        <v>1837500</v>
      </c>
    </row>
    <row r="27" spans="1:23" s="21" customFormat="1" x14ac:dyDescent="0.3">
      <c r="A27" s="54">
        <v>23</v>
      </c>
      <c r="B27" s="19">
        <v>46220</v>
      </c>
      <c r="C27" s="63">
        <v>0.75</v>
      </c>
      <c r="D27" s="40">
        <v>2268519</v>
      </c>
      <c r="E27" s="55">
        <f t="shared" si="0"/>
        <v>1701389</v>
      </c>
      <c r="F27" s="55">
        <f t="shared" si="1"/>
        <v>136111</v>
      </c>
      <c r="G27" s="55">
        <f t="shared" si="2"/>
        <v>1837500</v>
      </c>
      <c r="H27" s="64"/>
      <c r="I27" s="40">
        <v>2268519</v>
      </c>
      <c r="J27" s="42">
        <f t="shared" si="3"/>
        <v>0</v>
      </c>
      <c r="K27" s="42">
        <f t="shared" si="4"/>
        <v>0</v>
      </c>
      <c r="L27" s="42">
        <f t="shared" si="5"/>
        <v>0</v>
      </c>
      <c r="M27" s="15"/>
      <c r="N27" s="44">
        <v>6363.6360000000004</v>
      </c>
      <c r="O27" s="42">
        <f t="shared" si="6"/>
        <v>0</v>
      </c>
      <c r="P27" s="42">
        <f t="shared" si="7"/>
        <v>0</v>
      </c>
      <c r="Q27" s="42">
        <f t="shared" si="8"/>
        <v>0</v>
      </c>
      <c r="R27" s="49"/>
      <c r="S27" s="56">
        <v>4545.4544999999998</v>
      </c>
      <c r="T27" s="42">
        <f t="shared" si="9"/>
        <v>0</v>
      </c>
      <c r="U27" s="42">
        <f t="shared" si="10"/>
        <v>0</v>
      </c>
      <c r="V27" s="42">
        <f t="shared" si="11"/>
        <v>0</v>
      </c>
      <c r="W27" s="46">
        <f t="shared" si="12"/>
        <v>1837500</v>
      </c>
    </row>
    <row r="28" spans="1:23" s="21" customFormat="1" x14ac:dyDescent="0.3">
      <c r="A28" s="54">
        <v>24</v>
      </c>
      <c r="B28" s="19">
        <v>46221</v>
      </c>
      <c r="C28" s="63">
        <v>0.5</v>
      </c>
      <c r="D28" s="40">
        <v>2268519</v>
      </c>
      <c r="E28" s="55">
        <f t="shared" si="0"/>
        <v>1134260</v>
      </c>
      <c r="F28" s="55">
        <f t="shared" si="1"/>
        <v>90741</v>
      </c>
      <c r="G28" s="55">
        <f t="shared" si="2"/>
        <v>1225001</v>
      </c>
      <c r="H28" s="64">
        <v>0.13</v>
      </c>
      <c r="I28" s="40">
        <v>2268519</v>
      </c>
      <c r="J28" s="42">
        <f t="shared" si="3"/>
        <v>294907</v>
      </c>
      <c r="K28" s="42">
        <f t="shared" si="4"/>
        <v>23593</v>
      </c>
      <c r="L28" s="42">
        <f t="shared" si="5"/>
        <v>318500</v>
      </c>
      <c r="M28" s="15"/>
      <c r="N28" s="44">
        <v>6363.6360000000004</v>
      </c>
      <c r="O28" s="42">
        <f t="shared" si="6"/>
        <v>0</v>
      </c>
      <c r="P28" s="42">
        <f t="shared" si="7"/>
        <v>0</v>
      </c>
      <c r="Q28" s="42">
        <f t="shared" si="8"/>
        <v>0</v>
      </c>
      <c r="R28" s="49"/>
      <c r="S28" s="56">
        <v>4545.4544999999998</v>
      </c>
      <c r="T28" s="42">
        <f t="shared" si="9"/>
        <v>0</v>
      </c>
      <c r="U28" s="42">
        <f t="shared" si="10"/>
        <v>0</v>
      </c>
      <c r="V28" s="42">
        <f t="shared" si="11"/>
        <v>0</v>
      </c>
      <c r="W28" s="46">
        <f t="shared" si="12"/>
        <v>1543501</v>
      </c>
    </row>
    <row r="29" spans="1:23" s="9" customFormat="1" x14ac:dyDescent="0.3">
      <c r="A29" s="54">
        <v>25</v>
      </c>
      <c r="B29" s="19">
        <v>46222</v>
      </c>
      <c r="C29" s="63">
        <v>0.25</v>
      </c>
      <c r="D29" s="40">
        <v>2268519</v>
      </c>
      <c r="E29" s="55">
        <f t="shared" si="0"/>
        <v>567130</v>
      </c>
      <c r="F29" s="55">
        <f t="shared" si="1"/>
        <v>45370</v>
      </c>
      <c r="G29" s="55">
        <f t="shared" si="2"/>
        <v>612500</v>
      </c>
      <c r="H29" s="64"/>
      <c r="I29" s="40">
        <v>2268519</v>
      </c>
      <c r="J29" s="42">
        <f t="shared" si="3"/>
        <v>0</v>
      </c>
      <c r="K29" s="42">
        <f t="shared" si="4"/>
        <v>0</v>
      </c>
      <c r="L29" s="42">
        <f t="shared" si="5"/>
        <v>0</v>
      </c>
      <c r="M29" s="15"/>
      <c r="N29" s="44">
        <v>6363.6360000000004</v>
      </c>
      <c r="O29" s="42">
        <f t="shared" si="6"/>
        <v>0</v>
      </c>
      <c r="P29" s="42">
        <f t="shared" si="7"/>
        <v>0</v>
      </c>
      <c r="Q29" s="42">
        <f t="shared" si="8"/>
        <v>0</v>
      </c>
      <c r="R29" s="48"/>
      <c r="S29" s="56">
        <v>4545.4544999999998</v>
      </c>
      <c r="T29" s="42">
        <f t="shared" si="9"/>
        <v>0</v>
      </c>
      <c r="U29" s="42">
        <f t="shared" si="10"/>
        <v>0</v>
      </c>
      <c r="V29" s="42">
        <f t="shared" si="11"/>
        <v>0</v>
      </c>
      <c r="W29" s="46">
        <f t="shared" si="12"/>
        <v>612500</v>
      </c>
    </row>
    <row r="30" spans="1:23" s="21" customFormat="1" x14ac:dyDescent="0.3">
      <c r="A30" s="54">
        <v>26</v>
      </c>
      <c r="B30" s="19">
        <v>46223</v>
      </c>
      <c r="C30" s="63">
        <v>0.75</v>
      </c>
      <c r="D30" s="40">
        <v>2268519</v>
      </c>
      <c r="E30" s="55">
        <f t="shared" si="0"/>
        <v>1701389</v>
      </c>
      <c r="F30" s="55">
        <f t="shared" si="1"/>
        <v>136111</v>
      </c>
      <c r="G30" s="55">
        <f t="shared" si="2"/>
        <v>1837500</v>
      </c>
      <c r="H30" s="64">
        <v>0.13</v>
      </c>
      <c r="I30" s="40">
        <v>2268519</v>
      </c>
      <c r="J30" s="42">
        <f t="shared" si="3"/>
        <v>294907</v>
      </c>
      <c r="K30" s="42">
        <f t="shared" si="4"/>
        <v>23593</v>
      </c>
      <c r="L30" s="42">
        <f t="shared" si="5"/>
        <v>318500</v>
      </c>
      <c r="M30" s="15"/>
      <c r="N30" s="44">
        <v>6363.6360000000004</v>
      </c>
      <c r="O30" s="42">
        <f t="shared" si="6"/>
        <v>0</v>
      </c>
      <c r="P30" s="42">
        <f t="shared" si="7"/>
        <v>0</v>
      </c>
      <c r="Q30" s="42">
        <f t="shared" si="8"/>
        <v>0</v>
      </c>
      <c r="R30" s="49"/>
      <c r="S30" s="56">
        <v>4545.4544999999998</v>
      </c>
      <c r="T30" s="42">
        <f t="shared" si="9"/>
        <v>0</v>
      </c>
      <c r="U30" s="42">
        <f t="shared" si="10"/>
        <v>0</v>
      </c>
      <c r="V30" s="42">
        <f t="shared" si="11"/>
        <v>0</v>
      </c>
      <c r="W30" s="46">
        <f t="shared" si="12"/>
        <v>2156000</v>
      </c>
    </row>
    <row r="31" spans="1:23" s="9" customFormat="1" x14ac:dyDescent="0.3">
      <c r="A31" s="54">
        <v>27</v>
      </c>
      <c r="B31" s="19">
        <v>46224</v>
      </c>
      <c r="C31" s="63">
        <v>0.75</v>
      </c>
      <c r="D31" s="40">
        <v>2268519</v>
      </c>
      <c r="E31" s="55">
        <f t="shared" si="0"/>
        <v>1701389</v>
      </c>
      <c r="F31" s="55">
        <f t="shared" si="1"/>
        <v>136111</v>
      </c>
      <c r="G31" s="55">
        <f t="shared" si="2"/>
        <v>1837500</v>
      </c>
      <c r="H31" s="64">
        <v>7.0000000000000007E-2</v>
      </c>
      <c r="I31" s="40">
        <v>2268519</v>
      </c>
      <c r="J31" s="42">
        <f t="shared" si="3"/>
        <v>158796</v>
      </c>
      <c r="K31" s="42">
        <f t="shared" si="4"/>
        <v>12704</v>
      </c>
      <c r="L31" s="42">
        <f t="shared" si="5"/>
        <v>171500</v>
      </c>
      <c r="M31" s="15"/>
      <c r="N31" s="44">
        <v>6363.6360000000004</v>
      </c>
      <c r="O31" s="42">
        <f t="shared" si="6"/>
        <v>0</v>
      </c>
      <c r="P31" s="42">
        <f t="shared" si="7"/>
        <v>0</v>
      </c>
      <c r="Q31" s="42">
        <f t="shared" si="8"/>
        <v>0</v>
      </c>
      <c r="R31" s="48"/>
      <c r="S31" s="56">
        <v>4545.4544999999998</v>
      </c>
      <c r="T31" s="42">
        <f t="shared" si="9"/>
        <v>0</v>
      </c>
      <c r="U31" s="42">
        <f t="shared" si="10"/>
        <v>0</v>
      </c>
      <c r="V31" s="42">
        <f t="shared" si="11"/>
        <v>0</v>
      </c>
      <c r="W31" s="46">
        <f t="shared" si="12"/>
        <v>2009000</v>
      </c>
    </row>
    <row r="32" spans="1:23" s="9" customFormat="1" x14ac:dyDescent="0.3">
      <c r="A32" s="54">
        <v>28</v>
      </c>
      <c r="B32" s="19">
        <v>46225</v>
      </c>
      <c r="C32" s="63">
        <v>1</v>
      </c>
      <c r="D32" s="40">
        <v>2268519</v>
      </c>
      <c r="E32" s="55">
        <f t="shared" si="0"/>
        <v>2268519</v>
      </c>
      <c r="F32" s="55">
        <f t="shared" si="1"/>
        <v>181482</v>
      </c>
      <c r="G32" s="55">
        <f t="shared" si="2"/>
        <v>2450001</v>
      </c>
      <c r="H32" s="64">
        <v>7.0000000000000007E-2</v>
      </c>
      <c r="I32" s="40">
        <v>2268519</v>
      </c>
      <c r="J32" s="42">
        <f t="shared" si="3"/>
        <v>158796</v>
      </c>
      <c r="K32" s="42">
        <f t="shared" si="4"/>
        <v>12704</v>
      </c>
      <c r="L32" s="42">
        <f t="shared" si="5"/>
        <v>171500</v>
      </c>
      <c r="M32" s="15"/>
      <c r="N32" s="44">
        <v>6363.6360000000004</v>
      </c>
      <c r="O32" s="42">
        <f t="shared" si="6"/>
        <v>0</v>
      </c>
      <c r="P32" s="42">
        <f t="shared" si="7"/>
        <v>0</v>
      </c>
      <c r="Q32" s="42">
        <f t="shared" si="8"/>
        <v>0</v>
      </c>
      <c r="R32" s="48"/>
      <c r="S32" s="56">
        <v>4545.4544999999998</v>
      </c>
      <c r="T32" s="42">
        <f t="shared" si="9"/>
        <v>0</v>
      </c>
      <c r="U32" s="42">
        <f t="shared" si="10"/>
        <v>0</v>
      </c>
      <c r="V32" s="42">
        <f t="shared" si="11"/>
        <v>0</v>
      </c>
      <c r="W32" s="46">
        <f t="shared" si="12"/>
        <v>2621501</v>
      </c>
    </row>
    <row r="33" spans="1:23" s="9" customFormat="1" x14ac:dyDescent="0.3">
      <c r="A33" s="54">
        <v>29</v>
      </c>
      <c r="B33" s="19">
        <v>46226</v>
      </c>
      <c r="C33" s="63">
        <v>0.75</v>
      </c>
      <c r="D33" s="40">
        <v>2268519</v>
      </c>
      <c r="E33" s="55">
        <f t="shared" si="0"/>
        <v>1701389</v>
      </c>
      <c r="F33" s="55">
        <f t="shared" si="1"/>
        <v>136111</v>
      </c>
      <c r="G33" s="55">
        <f t="shared" si="2"/>
        <v>1837500</v>
      </c>
      <c r="H33" s="64">
        <v>7.0000000000000007E-2</v>
      </c>
      <c r="I33" s="40">
        <v>2268519</v>
      </c>
      <c r="J33" s="42">
        <f t="shared" si="3"/>
        <v>158796</v>
      </c>
      <c r="K33" s="42">
        <f t="shared" si="4"/>
        <v>12704</v>
      </c>
      <c r="L33" s="42">
        <f t="shared" si="5"/>
        <v>171500</v>
      </c>
      <c r="M33" s="15"/>
      <c r="N33" s="44">
        <v>6363.6360000000004</v>
      </c>
      <c r="O33" s="42">
        <f t="shared" si="6"/>
        <v>0</v>
      </c>
      <c r="P33" s="42">
        <f t="shared" si="7"/>
        <v>0</v>
      </c>
      <c r="Q33" s="42">
        <f t="shared" si="8"/>
        <v>0</v>
      </c>
      <c r="R33" s="48"/>
      <c r="S33" s="56">
        <v>4545.4544999999998</v>
      </c>
      <c r="T33" s="42">
        <f t="shared" si="9"/>
        <v>0</v>
      </c>
      <c r="U33" s="42">
        <f t="shared" si="10"/>
        <v>0</v>
      </c>
      <c r="V33" s="42">
        <f t="shared" si="11"/>
        <v>0</v>
      </c>
      <c r="W33" s="46">
        <f t="shared" si="12"/>
        <v>2009000</v>
      </c>
    </row>
    <row r="34" spans="1:23" s="9" customFormat="1" x14ac:dyDescent="0.3">
      <c r="A34" s="54">
        <v>30</v>
      </c>
      <c r="B34" s="19">
        <v>46227</v>
      </c>
      <c r="C34" s="63">
        <v>1</v>
      </c>
      <c r="D34" s="40">
        <v>2268519</v>
      </c>
      <c r="E34" s="55">
        <f t="shared" si="0"/>
        <v>2268519</v>
      </c>
      <c r="F34" s="55">
        <f t="shared" si="1"/>
        <v>181482</v>
      </c>
      <c r="G34" s="55">
        <f t="shared" si="2"/>
        <v>2450001</v>
      </c>
      <c r="H34" s="64">
        <v>7.0000000000000007E-2</v>
      </c>
      <c r="I34" s="40">
        <v>2268519</v>
      </c>
      <c r="J34" s="42">
        <f t="shared" si="3"/>
        <v>158796</v>
      </c>
      <c r="K34" s="42">
        <f t="shared" si="4"/>
        <v>12704</v>
      </c>
      <c r="L34" s="42">
        <f t="shared" si="5"/>
        <v>171500</v>
      </c>
      <c r="M34" s="15"/>
      <c r="N34" s="44">
        <v>6363.6360000000004</v>
      </c>
      <c r="O34" s="42">
        <f t="shared" si="6"/>
        <v>0</v>
      </c>
      <c r="P34" s="42">
        <f t="shared" si="7"/>
        <v>0</v>
      </c>
      <c r="Q34" s="42">
        <f t="shared" si="8"/>
        <v>0</v>
      </c>
      <c r="R34" s="48"/>
      <c r="S34" s="56">
        <v>4545.4544999999998</v>
      </c>
      <c r="T34" s="42">
        <f t="shared" si="9"/>
        <v>0</v>
      </c>
      <c r="U34" s="42">
        <f t="shared" si="10"/>
        <v>0</v>
      </c>
      <c r="V34" s="42">
        <f t="shared" si="11"/>
        <v>0</v>
      </c>
      <c r="W34" s="46">
        <f t="shared" si="12"/>
        <v>2621501</v>
      </c>
    </row>
    <row r="35" spans="1:23" x14ac:dyDescent="0.3">
      <c r="A35" s="65"/>
      <c r="B35" s="66"/>
      <c r="C35" s="8">
        <v>21.5</v>
      </c>
      <c r="D35" s="7"/>
      <c r="E35" s="57">
        <f>SUM(E5:E34)</f>
        <v>48773156</v>
      </c>
      <c r="F35" s="57">
        <f>SUM(F5:F34)</f>
        <v>3901852</v>
      </c>
      <c r="G35" s="59">
        <f>SUM(G5:G34)</f>
        <v>52675008</v>
      </c>
      <c r="H35" s="8">
        <v>2.08</v>
      </c>
      <c r="I35" s="58"/>
      <c r="J35" s="58">
        <f>SUM(J5:J34)</f>
        <v>4718514</v>
      </c>
      <c r="K35" s="58">
        <f>SUM(K5:K34)</f>
        <v>377486</v>
      </c>
      <c r="L35" s="60">
        <f>SUM(L5:L34)</f>
        <v>5096000</v>
      </c>
      <c r="M35" s="7">
        <f>SUM(M5:M34)</f>
        <v>0</v>
      </c>
      <c r="N35" s="58"/>
      <c r="O35" s="58">
        <f>SUM(O5:O34)</f>
        <v>0</v>
      </c>
      <c r="P35" s="58">
        <f>SUM(P5:P34)</f>
        <v>0</v>
      </c>
      <c r="Q35" s="60">
        <f>SUM(Q5:Q34)</f>
        <v>0</v>
      </c>
      <c r="R35" s="7">
        <f>SUM(R5:R34)</f>
        <v>1922</v>
      </c>
      <c r="S35" s="7"/>
      <c r="T35" s="58">
        <f>SUM(T5:T34)</f>
        <v>8736364</v>
      </c>
      <c r="U35" s="58">
        <f>SUM(U5:U34)</f>
        <v>873636</v>
      </c>
      <c r="V35" s="60">
        <f>SUM(V5:V34)</f>
        <v>9610000</v>
      </c>
      <c r="W35" s="60">
        <f>Q35+L35+G35+V35</f>
        <v>67381008</v>
      </c>
    </row>
    <row r="36" spans="1:23" x14ac:dyDescent="0.3">
      <c r="A36" s="3"/>
      <c r="B36" s="67" t="s">
        <v>1</v>
      </c>
      <c r="C36" s="67"/>
      <c r="D36" s="67"/>
      <c r="E36" s="67"/>
      <c r="F36" s="52"/>
      <c r="G36" s="52"/>
      <c r="H36" s="61"/>
      <c r="I36" s="5"/>
      <c r="J36" s="4"/>
      <c r="K36" s="4"/>
      <c r="L36" s="4"/>
      <c r="M36" s="4"/>
      <c r="N36" s="4"/>
      <c r="O36" s="4"/>
      <c r="P36" s="4"/>
      <c r="Q36" s="4"/>
      <c r="R36" s="67" t="s">
        <v>1</v>
      </c>
      <c r="S36" s="67"/>
      <c r="T36" s="67"/>
      <c r="U36" s="67"/>
      <c r="V36" s="67"/>
      <c r="W36" s="67"/>
    </row>
    <row r="37" spans="1:23" x14ac:dyDescent="0.3">
      <c r="A37" s="3"/>
      <c r="B37" s="68" t="s">
        <v>32</v>
      </c>
      <c r="C37" s="68"/>
      <c r="D37" s="68"/>
      <c r="E37" s="68"/>
      <c r="F37" s="53"/>
      <c r="G37" s="53"/>
      <c r="H37" s="1"/>
      <c r="I37" s="2"/>
      <c r="J37" s="1"/>
      <c r="K37" s="1"/>
      <c r="L37" s="1"/>
      <c r="M37" s="1"/>
      <c r="N37" s="1"/>
      <c r="O37" s="68" t="s">
        <v>15</v>
      </c>
      <c r="P37" s="68"/>
      <c r="Q37" s="68"/>
      <c r="R37" s="68"/>
      <c r="S37" s="68"/>
      <c r="T37" s="68"/>
      <c r="U37" s="68"/>
      <c r="V37" s="68"/>
      <c r="W37" s="68"/>
    </row>
  </sheetData>
  <mergeCells count="12">
    <mergeCell ref="A35:B35"/>
    <mergeCell ref="B36:E36"/>
    <mergeCell ref="R36:W36"/>
    <mergeCell ref="B37:E37"/>
    <mergeCell ref="O37:W37"/>
    <mergeCell ref="A1:W1"/>
    <mergeCell ref="C3:G3"/>
    <mergeCell ref="H3:L3"/>
    <mergeCell ref="M3:Q3"/>
    <mergeCell ref="R3:V3"/>
    <mergeCell ref="W3:W4"/>
    <mergeCell ref="A4:B4"/>
  </mergeCells>
  <conditionalFormatting sqref="B5:B34">
    <cfRule type="expression" dxfId="9" priority="1" stopIfTrue="1">
      <formula>WEEKDAY($B5)=1</formula>
    </cfRule>
  </conditionalFormatting>
  <dataValidations count="1">
    <dataValidation type="decimal" showInputMessage="1" showErrorMessage="1" sqref="C36:C1048576 C1:C34" xr:uid="{7E6B2281-00D0-4CBD-A95C-FE214BDA0103}">
      <formula1>0</formula1>
      <formula2>1</formula2>
    </dataValidation>
  </dataValidations>
  <pageMargins left="0.23622047244094491" right="0.19685039370078741" top="0.35433070866141736" bottom="0.74803149606299213" header="0.31496062992125984" footer="0.31496062992125984"/>
  <pageSetup paperSize="9" scale="6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8E14E-BF5C-439C-ACDD-CB6D54E25D24}">
  <sheetPr codeName="Sheet12">
    <pageSetUpPr fitToPage="1"/>
  </sheetPr>
  <dimension ref="A1:W38"/>
  <sheetViews>
    <sheetView view="pageBreakPreview" zoomScale="115" zoomScaleNormal="115" zoomScaleSheetLayoutView="115" workbookViewId="0">
      <pane ySplit="4" topLeftCell="A20" activePane="bottomLeft" state="frozen"/>
      <selection pane="bottomLeft" activeCell="C32" sqref="C32"/>
    </sheetView>
  </sheetViews>
  <sheetFormatPr defaultRowHeight="14" x14ac:dyDescent="0.3"/>
  <cols>
    <col min="5" max="5" width="10.1640625" bestFit="1" customWidth="1"/>
    <col min="6" max="7" width="10.1640625" customWidth="1"/>
    <col min="10" max="10" width="9.9140625" bestFit="1" customWidth="1"/>
    <col min="11" max="12" width="9.9140625" customWidth="1"/>
    <col min="15" max="15" width="9.9140625" bestFit="1" customWidth="1"/>
    <col min="16" max="17" width="9.9140625" customWidth="1"/>
    <col min="20" max="20" width="9.9140625" bestFit="1" customWidth="1"/>
    <col min="21" max="22" width="9.9140625" customWidth="1"/>
    <col min="23" max="23" width="10.6640625" bestFit="1" customWidth="1"/>
  </cols>
  <sheetData>
    <row r="1" spans="1:23" ht="44.25" customHeight="1" x14ac:dyDescent="0.3">
      <c r="A1" s="69" t="s">
        <v>33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</row>
    <row r="2" spans="1:23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7"/>
      <c r="V2" s="27"/>
      <c r="W2" s="27"/>
    </row>
    <row r="3" spans="1:23" ht="26.25" customHeight="1" x14ac:dyDescent="0.3">
      <c r="A3" s="26" t="s">
        <v>13</v>
      </c>
      <c r="B3" s="25" t="s">
        <v>12</v>
      </c>
      <c r="C3" s="71" t="s">
        <v>11</v>
      </c>
      <c r="D3" s="72"/>
      <c r="E3" s="72"/>
      <c r="F3" s="72"/>
      <c r="G3" s="73"/>
      <c r="H3" s="74" t="s">
        <v>10</v>
      </c>
      <c r="I3" s="72"/>
      <c r="J3" s="72"/>
      <c r="K3" s="72"/>
      <c r="L3" s="73"/>
      <c r="M3" s="74" t="s">
        <v>9</v>
      </c>
      <c r="N3" s="72"/>
      <c r="O3" s="72"/>
      <c r="P3" s="72"/>
      <c r="Q3" s="73"/>
      <c r="R3" s="75" t="s">
        <v>8</v>
      </c>
      <c r="S3" s="76"/>
      <c r="T3" s="76"/>
      <c r="U3" s="76"/>
      <c r="V3" s="77"/>
      <c r="W3" s="78" t="s">
        <v>7</v>
      </c>
    </row>
    <row r="4" spans="1:23" ht="60.5" customHeight="1" x14ac:dyDescent="0.3">
      <c r="A4" s="80" t="s">
        <v>17</v>
      </c>
      <c r="B4" s="81"/>
      <c r="C4" s="24" t="s">
        <v>5</v>
      </c>
      <c r="D4" s="24" t="s">
        <v>28</v>
      </c>
      <c r="E4" s="24" t="s">
        <v>29</v>
      </c>
      <c r="F4" s="24" t="s">
        <v>23</v>
      </c>
      <c r="G4" s="24" t="s">
        <v>27</v>
      </c>
      <c r="H4" s="24" t="s">
        <v>5</v>
      </c>
      <c r="I4" s="24" t="s">
        <v>28</v>
      </c>
      <c r="J4" s="24" t="s">
        <v>29</v>
      </c>
      <c r="K4" s="24" t="s">
        <v>23</v>
      </c>
      <c r="L4" s="24" t="s">
        <v>27</v>
      </c>
      <c r="M4" s="24" t="s">
        <v>4</v>
      </c>
      <c r="N4" s="24" t="s">
        <v>28</v>
      </c>
      <c r="O4" s="24" t="s">
        <v>29</v>
      </c>
      <c r="P4" s="24" t="s">
        <v>23</v>
      </c>
      <c r="Q4" s="24" t="s">
        <v>27</v>
      </c>
      <c r="R4" s="24" t="s">
        <v>4</v>
      </c>
      <c r="S4" s="24" t="s">
        <v>28</v>
      </c>
      <c r="T4" s="24" t="s">
        <v>29</v>
      </c>
      <c r="U4" s="24" t="s">
        <v>26</v>
      </c>
      <c r="V4" s="24" t="s">
        <v>27</v>
      </c>
      <c r="W4" s="79"/>
    </row>
    <row r="5" spans="1:23" s="9" customFormat="1" x14ac:dyDescent="0.3">
      <c r="A5" s="54">
        <v>1</v>
      </c>
      <c r="B5" s="19">
        <v>46167</v>
      </c>
      <c r="C5" s="63">
        <v>0.33</v>
      </c>
      <c r="D5" s="40">
        <v>2268519</v>
      </c>
      <c r="E5" s="55">
        <f t="shared" ref="E5:E34" si="0">ROUND(D5*C5,0)</f>
        <v>748611</v>
      </c>
      <c r="F5" s="55">
        <f t="shared" ref="F5:F34" si="1">ROUND(E5*8%,0)</f>
        <v>59889</v>
      </c>
      <c r="G5" s="55">
        <f t="shared" ref="G5:G34" si="2">E5+F5</f>
        <v>808500</v>
      </c>
      <c r="H5" s="64">
        <v>7.0000000000000007E-2</v>
      </c>
      <c r="I5" s="40">
        <v>2268519</v>
      </c>
      <c r="J5" s="42">
        <f t="shared" ref="J5:J34" si="3">ROUND(I5*H5,0)</f>
        <v>158796</v>
      </c>
      <c r="K5" s="42">
        <f t="shared" ref="K5:K34" si="4">ROUND(J5*8%,0)</f>
        <v>12704</v>
      </c>
      <c r="L5" s="42">
        <f t="shared" ref="L5:L34" si="5">J5+K5</f>
        <v>171500</v>
      </c>
      <c r="M5" s="15"/>
      <c r="N5" s="44">
        <v>6363.6360000000004</v>
      </c>
      <c r="O5" s="42">
        <f t="shared" ref="O5:O34" si="6">ROUND(N5*M5,0)</f>
        <v>0</v>
      </c>
      <c r="P5" s="42">
        <f t="shared" ref="P5:P34" si="7">ROUND(O5*8%,0)</f>
        <v>0</v>
      </c>
      <c r="Q5" s="42">
        <f t="shared" ref="Q5:Q34" si="8">O5+P5</f>
        <v>0</v>
      </c>
      <c r="R5" s="48">
        <v>108</v>
      </c>
      <c r="S5" s="56">
        <v>4545.4544999999998</v>
      </c>
      <c r="T5" s="42">
        <f t="shared" ref="T5:T34" si="9">ROUND(R5*S5,0)</f>
        <v>490909</v>
      </c>
      <c r="U5" s="42">
        <f t="shared" ref="U5:U34" si="10">ROUND(T5*10%,0)</f>
        <v>49091</v>
      </c>
      <c r="V5" s="42">
        <f t="shared" ref="V5:V34" si="11">T5+U5</f>
        <v>540000</v>
      </c>
      <c r="W5" s="46">
        <f t="shared" ref="W5:W34" si="12">G5+L5+Q5+V5</f>
        <v>1520000</v>
      </c>
    </row>
    <row r="6" spans="1:23" s="21" customFormat="1" x14ac:dyDescent="0.3">
      <c r="A6" s="54">
        <v>2</v>
      </c>
      <c r="B6" s="19">
        <v>46168</v>
      </c>
      <c r="C6" s="63">
        <v>0.75</v>
      </c>
      <c r="D6" s="40">
        <v>2268519</v>
      </c>
      <c r="E6" s="55">
        <f t="shared" si="0"/>
        <v>1701389</v>
      </c>
      <c r="F6" s="55">
        <f t="shared" si="1"/>
        <v>136111</v>
      </c>
      <c r="G6" s="55">
        <f t="shared" si="2"/>
        <v>1837500</v>
      </c>
      <c r="H6" s="64">
        <v>0.13</v>
      </c>
      <c r="I6" s="40">
        <v>2268519</v>
      </c>
      <c r="J6" s="42">
        <f t="shared" si="3"/>
        <v>294907</v>
      </c>
      <c r="K6" s="42">
        <f t="shared" si="4"/>
        <v>23593</v>
      </c>
      <c r="L6" s="42">
        <f t="shared" si="5"/>
        <v>318500</v>
      </c>
      <c r="M6" s="15"/>
      <c r="N6" s="44">
        <v>6363.6360000000004</v>
      </c>
      <c r="O6" s="42">
        <f t="shared" si="6"/>
        <v>0</v>
      </c>
      <c r="P6" s="42">
        <f t="shared" si="7"/>
        <v>0</v>
      </c>
      <c r="Q6" s="42">
        <f t="shared" si="8"/>
        <v>0</v>
      </c>
      <c r="R6" s="49"/>
      <c r="S6" s="56">
        <v>4545.4544999999998</v>
      </c>
      <c r="T6" s="42">
        <f t="shared" si="9"/>
        <v>0</v>
      </c>
      <c r="U6" s="42">
        <f t="shared" si="10"/>
        <v>0</v>
      </c>
      <c r="V6" s="42">
        <f t="shared" si="11"/>
        <v>0</v>
      </c>
      <c r="W6" s="46">
        <f t="shared" si="12"/>
        <v>2156000</v>
      </c>
    </row>
    <row r="7" spans="1:23" s="9" customFormat="1" x14ac:dyDescent="0.3">
      <c r="A7" s="54">
        <v>3</v>
      </c>
      <c r="B7" s="19">
        <v>46169</v>
      </c>
      <c r="C7" s="63">
        <v>1</v>
      </c>
      <c r="D7" s="40">
        <v>2268519</v>
      </c>
      <c r="E7" s="55">
        <f t="shared" si="0"/>
        <v>2268519</v>
      </c>
      <c r="F7" s="55">
        <f t="shared" si="1"/>
        <v>181482</v>
      </c>
      <c r="G7" s="55">
        <f t="shared" si="2"/>
        <v>2450001</v>
      </c>
      <c r="H7" s="64">
        <v>7.0000000000000007E-2</v>
      </c>
      <c r="I7" s="40">
        <v>2268519</v>
      </c>
      <c r="J7" s="42">
        <f t="shared" si="3"/>
        <v>158796</v>
      </c>
      <c r="K7" s="42">
        <f t="shared" si="4"/>
        <v>12704</v>
      </c>
      <c r="L7" s="42">
        <f t="shared" si="5"/>
        <v>171500</v>
      </c>
      <c r="M7" s="15"/>
      <c r="N7" s="44">
        <v>6363.6360000000004</v>
      </c>
      <c r="O7" s="42">
        <f t="shared" si="6"/>
        <v>0</v>
      </c>
      <c r="P7" s="42">
        <f t="shared" si="7"/>
        <v>0</v>
      </c>
      <c r="Q7" s="42">
        <f t="shared" si="8"/>
        <v>0</v>
      </c>
      <c r="R7" s="48"/>
      <c r="S7" s="56">
        <v>4545.4544999999998</v>
      </c>
      <c r="T7" s="42">
        <f t="shared" si="9"/>
        <v>0</v>
      </c>
      <c r="U7" s="42">
        <f t="shared" si="10"/>
        <v>0</v>
      </c>
      <c r="V7" s="42">
        <f t="shared" si="11"/>
        <v>0</v>
      </c>
      <c r="W7" s="46">
        <f t="shared" si="12"/>
        <v>2621501</v>
      </c>
    </row>
    <row r="8" spans="1:23" s="9" customFormat="1" x14ac:dyDescent="0.3">
      <c r="A8" s="54">
        <v>4</v>
      </c>
      <c r="B8" s="19">
        <v>46170</v>
      </c>
      <c r="C8" s="63">
        <v>0.75</v>
      </c>
      <c r="D8" s="40">
        <v>2268519</v>
      </c>
      <c r="E8" s="55">
        <f t="shared" si="0"/>
        <v>1701389</v>
      </c>
      <c r="F8" s="55">
        <f t="shared" si="1"/>
        <v>136111</v>
      </c>
      <c r="G8" s="55">
        <f t="shared" si="2"/>
        <v>1837500</v>
      </c>
      <c r="H8" s="64">
        <v>7.0000000000000007E-2</v>
      </c>
      <c r="I8" s="40">
        <v>2268519</v>
      </c>
      <c r="J8" s="42">
        <f t="shared" si="3"/>
        <v>158796</v>
      </c>
      <c r="K8" s="42">
        <f t="shared" si="4"/>
        <v>12704</v>
      </c>
      <c r="L8" s="42">
        <f t="shared" si="5"/>
        <v>171500</v>
      </c>
      <c r="M8" s="15"/>
      <c r="N8" s="44">
        <v>6363.6360000000004</v>
      </c>
      <c r="O8" s="42">
        <f t="shared" si="6"/>
        <v>0</v>
      </c>
      <c r="P8" s="42">
        <f t="shared" si="7"/>
        <v>0</v>
      </c>
      <c r="Q8" s="42">
        <f t="shared" si="8"/>
        <v>0</v>
      </c>
      <c r="R8" s="48"/>
      <c r="S8" s="56">
        <v>4545.4544999999998</v>
      </c>
      <c r="T8" s="42">
        <f t="shared" si="9"/>
        <v>0</v>
      </c>
      <c r="U8" s="42">
        <f t="shared" si="10"/>
        <v>0</v>
      </c>
      <c r="V8" s="42">
        <f t="shared" si="11"/>
        <v>0</v>
      </c>
      <c r="W8" s="46">
        <f t="shared" si="12"/>
        <v>2009000</v>
      </c>
    </row>
    <row r="9" spans="1:23" s="21" customFormat="1" x14ac:dyDescent="0.3">
      <c r="A9" s="54">
        <v>5</v>
      </c>
      <c r="B9" s="19">
        <v>46171</v>
      </c>
      <c r="C9" s="63">
        <v>0.5</v>
      </c>
      <c r="D9" s="40">
        <v>2268519</v>
      </c>
      <c r="E9" s="55">
        <f t="shared" si="0"/>
        <v>1134260</v>
      </c>
      <c r="F9" s="55">
        <f t="shared" si="1"/>
        <v>90741</v>
      </c>
      <c r="G9" s="55">
        <f t="shared" si="2"/>
        <v>1225001</v>
      </c>
      <c r="H9" s="64">
        <v>7.0000000000000007E-2</v>
      </c>
      <c r="I9" s="40">
        <v>2268519</v>
      </c>
      <c r="J9" s="42">
        <f t="shared" si="3"/>
        <v>158796</v>
      </c>
      <c r="K9" s="42">
        <f t="shared" si="4"/>
        <v>12704</v>
      </c>
      <c r="L9" s="42">
        <f t="shared" si="5"/>
        <v>171500</v>
      </c>
      <c r="M9" s="15"/>
      <c r="N9" s="44">
        <v>6363.6360000000004</v>
      </c>
      <c r="O9" s="42">
        <f t="shared" si="6"/>
        <v>0</v>
      </c>
      <c r="P9" s="42">
        <f t="shared" si="7"/>
        <v>0</v>
      </c>
      <c r="Q9" s="42">
        <f t="shared" si="8"/>
        <v>0</v>
      </c>
      <c r="R9" s="49"/>
      <c r="S9" s="56">
        <v>4545.4544999999998</v>
      </c>
      <c r="T9" s="42">
        <f t="shared" si="9"/>
        <v>0</v>
      </c>
      <c r="U9" s="42">
        <f t="shared" si="10"/>
        <v>0</v>
      </c>
      <c r="V9" s="42">
        <f t="shared" si="11"/>
        <v>0</v>
      </c>
      <c r="W9" s="46">
        <f t="shared" si="12"/>
        <v>1396501</v>
      </c>
    </row>
    <row r="10" spans="1:23" s="21" customFormat="1" x14ac:dyDescent="0.3">
      <c r="A10" s="54">
        <v>6</v>
      </c>
      <c r="B10" s="19">
        <v>46172</v>
      </c>
      <c r="C10" s="63">
        <v>0.75</v>
      </c>
      <c r="D10" s="40">
        <v>2268519</v>
      </c>
      <c r="E10" s="55">
        <f t="shared" si="0"/>
        <v>1701389</v>
      </c>
      <c r="F10" s="55">
        <f t="shared" si="1"/>
        <v>136111</v>
      </c>
      <c r="G10" s="55">
        <f t="shared" si="2"/>
        <v>1837500</v>
      </c>
      <c r="H10" s="64"/>
      <c r="I10" s="40">
        <v>2268519</v>
      </c>
      <c r="J10" s="42">
        <f t="shared" si="3"/>
        <v>0</v>
      </c>
      <c r="K10" s="42">
        <f t="shared" si="4"/>
        <v>0</v>
      </c>
      <c r="L10" s="42">
        <f t="shared" si="5"/>
        <v>0</v>
      </c>
      <c r="M10" s="15">
        <v>134</v>
      </c>
      <c r="N10" s="44">
        <v>6363.6360000000004</v>
      </c>
      <c r="O10" s="42">
        <f t="shared" si="6"/>
        <v>852727</v>
      </c>
      <c r="P10" s="42">
        <f t="shared" si="7"/>
        <v>68218</v>
      </c>
      <c r="Q10" s="42">
        <f t="shared" si="8"/>
        <v>920945</v>
      </c>
      <c r="R10" s="49"/>
      <c r="S10" s="56">
        <v>4545.4544999999998</v>
      </c>
      <c r="T10" s="42">
        <f t="shared" si="9"/>
        <v>0</v>
      </c>
      <c r="U10" s="42">
        <f t="shared" si="10"/>
        <v>0</v>
      </c>
      <c r="V10" s="42">
        <f t="shared" si="11"/>
        <v>0</v>
      </c>
      <c r="W10" s="46">
        <f t="shared" si="12"/>
        <v>2758445</v>
      </c>
    </row>
    <row r="11" spans="1:23" s="9" customFormat="1" x14ac:dyDescent="0.3">
      <c r="A11" s="54">
        <v>7</v>
      </c>
      <c r="B11" s="19">
        <v>46173</v>
      </c>
      <c r="C11" s="63">
        <v>0.25</v>
      </c>
      <c r="D11" s="40">
        <v>2268519</v>
      </c>
      <c r="E11" s="55">
        <f t="shared" si="0"/>
        <v>567130</v>
      </c>
      <c r="F11" s="55">
        <f t="shared" si="1"/>
        <v>45370</v>
      </c>
      <c r="G11" s="55">
        <f t="shared" si="2"/>
        <v>612500</v>
      </c>
      <c r="H11" s="64"/>
      <c r="I11" s="40">
        <v>2268519</v>
      </c>
      <c r="J11" s="42">
        <f t="shared" si="3"/>
        <v>0</v>
      </c>
      <c r="K11" s="42">
        <f t="shared" si="4"/>
        <v>0</v>
      </c>
      <c r="L11" s="42">
        <f t="shared" si="5"/>
        <v>0</v>
      </c>
      <c r="M11" s="15"/>
      <c r="N11" s="44">
        <v>6363.6360000000004</v>
      </c>
      <c r="O11" s="42">
        <f t="shared" si="6"/>
        <v>0</v>
      </c>
      <c r="P11" s="42">
        <f t="shared" si="7"/>
        <v>0</v>
      </c>
      <c r="Q11" s="42">
        <f t="shared" si="8"/>
        <v>0</v>
      </c>
      <c r="R11" s="48"/>
      <c r="S11" s="56">
        <v>4545.4544999999998</v>
      </c>
      <c r="T11" s="42">
        <f t="shared" si="9"/>
        <v>0</v>
      </c>
      <c r="U11" s="42">
        <f t="shared" si="10"/>
        <v>0</v>
      </c>
      <c r="V11" s="42">
        <f t="shared" si="11"/>
        <v>0</v>
      </c>
      <c r="W11" s="46">
        <f t="shared" si="12"/>
        <v>612500</v>
      </c>
    </row>
    <row r="12" spans="1:23" s="21" customFormat="1" x14ac:dyDescent="0.3">
      <c r="A12" s="54">
        <v>8</v>
      </c>
      <c r="B12" s="19">
        <v>46174</v>
      </c>
      <c r="C12" s="63">
        <v>0.75</v>
      </c>
      <c r="D12" s="40">
        <v>2268519</v>
      </c>
      <c r="E12" s="55">
        <f t="shared" si="0"/>
        <v>1701389</v>
      </c>
      <c r="F12" s="55">
        <f t="shared" si="1"/>
        <v>136111</v>
      </c>
      <c r="G12" s="55">
        <f t="shared" si="2"/>
        <v>1837500</v>
      </c>
      <c r="H12" s="64">
        <v>0.27</v>
      </c>
      <c r="I12" s="40">
        <v>2268519</v>
      </c>
      <c r="J12" s="42">
        <f t="shared" si="3"/>
        <v>612500</v>
      </c>
      <c r="K12" s="42">
        <f t="shared" si="4"/>
        <v>49000</v>
      </c>
      <c r="L12" s="42">
        <f t="shared" si="5"/>
        <v>661500</v>
      </c>
      <c r="M12" s="15"/>
      <c r="N12" s="44">
        <v>6363.6360000000004</v>
      </c>
      <c r="O12" s="42">
        <f t="shared" si="6"/>
        <v>0</v>
      </c>
      <c r="P12" s="42">
        <f t="shared" si="7"/>
        <v>0</v>
      </c>
      <c r="Q12" s="42">
        <f t="shared" si="8"/>
        <v>0</v>
      </c>
      <c r="R12" s="49"/>
      <c r="S12" s="56">
        <v>4545.4544999999998</v>
      </c>
      <c r="T12" s="42">
        <f t="shared" si="9"/>
        <v>0</v>
      </c>
      <c r="U12" s="42">
        <f t="shared" si="10"/>
        <v>0</v>
      </c>
      <c r="V12" s="42">
        <f t="shared" si="11"/>
        <v>0</v>
      </c>
      <c r="W12" s="46">
        <f t="shared" si="12"/>
        <v>2499000</v>
      </c>
    </row>
    <row r="13" spans="1:23" s="9" customFormat="1" x14ac:dyDescent="0.3">
      <c r="A13" s="54">
        <v>9</v>
      </c>
      <c r="B13" s="19">
        <v>46175</v>
      </c>
      <c r="C13" s="63">
        <v>1</v>
      </c>
      <c r="D13" s="40">
        <v>2268519</v>
      </c>
      <c r="E13" s="55">
        <f t="shared" si="0"/>
        <v>2268519</v>
      </c>
      <c r="F13" s="55">
        <f t="shared" si="1"/>
        <v>181482</v>
      </c>
      <c r="G13" s="55">
        <f t="shared" si="2"/>
        <v>2450001</v>
      </c>
      <c r="H13" s="64">
        <v>7.0000000000000007E-2</v>
      </c>
      <c r="I13" s="40">
        <v>2268519</v>
      </c>
      <c r="J13" s="42">
        <f t="shared" si="3"/>
        <v>158796</v>
      </c>
      <c r="K13" s="42">
        <f t="shared" si="4"/>
        <v>12704</v>
      </c>
      <c r="L13" s="42">
        <f t="shared" si="5"/>
        <v>171500</v>
      </c>
      <c r="M13" s="15"/>
      <c r="N13" s="44">
        <v>6363.6360000000004</v>
      </c>
      <c r="O13" s="42">
        <f t="shared" si="6"/>
        <v>0</v>
      </c>
      <c r="P13" s="42">
        <f t="shared" si="7"/>
        <v>0</v>
      </c>
      <c r="Q13" s="42">
        <f t="shared" si="8"/>
        <v>0</v>
      </c>
      <c r="R13" s="48"/>
      <c r="S13" s="56">
        <v>4545.4544999999998</v>
      </c>
      <c r="T13" s="42">
        <f t="shared" si="9"/>
        <v>0</v>
      </c>
      <c r="U13" s="42">
        <f t="shared" si="10"/>
        <v>0</v>
      </c>
      <c r="V13" s="42">
        <f t="shared" si="11"/>
        <v>0</v>
      </c>
      <c r="W13" s="46">
        <f t="shared" si="12"/>
        <v>2621501</v>
      </c>
    </row>
    <row r="14" spans="1:23" s="9" customFormat="1" x14ac:dyDescent="0.3">
      <c r="A14" s="54">
        <v>10</v>
      </c>
      <c r="B14" s="19">
        <v>46176</v>
      </c>
      <c r="C14" s="63">
        <v>1</v>
      </c>
      <c r="D14" s="40">
        <v>2268519</v>
      </c>
      <c r="E14" s="55">
        <f t="shared" si="0"/>
        <v>2268519</v>
      </c>
      <c r="F14" s="55">
        <f t="shared" si="1"/>
        <v>181482</v>
      </c>
      <c r="G14" s="55">
        <f t="shared" si="2"/>
        <v>2450001</v>
      </c>
      <c r="H14" s="64">
        <v>0.13</v>
      </c>
      <c r="I14" s="40">
        <v>2268519</v>
      </c>
      <c r="J14" s="42">
        <f t="shared" si="3"/>
        <v>294907</v>
      </c>
      <c r="K14" s="42">
        <f t="shared" si="4"/>
        <v>23593</v>
      </c>
      <c r="L14" s="42">
        <f t="shared" si="5"/>
        <v>318500</v>
      </c>
      <c r="M14" s="15"/>
      <c r="N14" s="44">
        <v>6363.6360000000004</v>
      </c>
      <c r="O14" s="42">
        <f t="shared" si="6"/>
        <v>0</v>
      </c>
      <c r="P14" s="42">
        <f t="shared" si="7"/>
        <v>0</v>
      </c>
      <c r="Q14" s="42">
        <f t="shared" si="8"/>
        <v>0</v>
      </c>
      <c r="R14" s="48"/>
      <c r="S14" s="56">
        <v>4545.4544999999998</v>
      </c>
      <c r="T14" s="42">
        <f t="shared" si="9"/>
        <v>0</v>
      </c>
      <c r="U14" s="42">
        <f t="shared" si="10"/>
        <v>0</v>
      </c>
      <c r="V14" s="42">
        <f t="shared" si="11"/>
        <v>0</v>
      </c>
      <c r="W14" s="46">
        <f t="shared" si="12"/>
        <v>2768501</v>
      </c>
    </row>
    <row r="15" spans="1:23" s="21" customFormat="1" x14ac:dyDescent="0.3">
      <c r="A15" s="54">
        <v>11</v>
      </c>
      <c r="B15" s="19">
        <v>46177</v>
      </c>
      <c r="C15" s="63">
        <v>1</v>
      </c>
      <c r="D15" s="40">
        <v>2268519</v>
      </c>
      <c r="E15" s="55">
        <f t="shared" si="0"/>
        <v>2268519</v>
      </c>
      <c r="F15" s="55">
        <f t="shared" si="1"/>
        <v>181482</v>
      </c>
      <c r="G15" s="55">
        <f t="shared" si="2"/>
        <v>2450001</v>
      </c>
      <c r="H15" s="64">
        <v>7.0000000000000007E-2</v>
      </c>
      <c r="I15" s="40">
        <v>2268519</v>
      </c>
      <c r="J15" s="42">
        <f t="shared" si="3"/>
        <v>158796</v>
      </c>
      <c r="K15" s="42">
        <f t="shared" si="4"/>
        <v>12704</v>
      </c>
      <c r="L15" s="42">
        <f t="shared" si="5"/>
        <v>171500</v>
      </c>
      <c r="M15" s="15"/>
      <c r="N15" s="44">
        <v>6363.6360000000004</v>
      </c>
      <c r="O15" s="42">
        <f t="shared" si="6"/>
        <v>0</v>
      </c>
      <c r="P15" s="42">
        <f t="shared" si="7"/>
        <v>0</v>
      </c>
      <c r="Q15" s="42">
        <f t="shared" si="8"/>
        <v>0</v>
      </c>
      <c r="R15" s="49"/>
      <c r="S15" s="56">
        <v>4545.4544999999998</v>
      </c>
      <c r="T15" s="42">
        <f t="shared" si="9"/>
        <v>0</v>
      </c>
      <c r="U15" s="42">
        <f t="shared" si="10"/>
        <v>0</v>
      </c>
      <c r="V15" s="42">
        <f t="shared" si="11"/>
        <v>0</v>
      </c>
      <c r="W15" s="46">
        <f t="shared" si="12"/>
        <v>2621501</v>
      </c>
    </row>
    <row r="16" spans="1:23" s="21" customFormat="1" x14ac:dyDescent="0.3">
      <c r="A16" s="54">
        <v>12</v>
      </c>
      <c r="B16" s="19">
        <v>46178</v>
      </c>
      <c r="C16" s="63">
        <v>1</v>
      </c>
      <c r="D16" s="40">
        <v>2268519</v>
      </c>
      <c r="E16" s="55">
        <f t="shared" si="0"/>
        <v>2268519</v>
      </c>
      <c r="F16" s="55">
        <f t="shared" si="1"/>
        <v>181482</v>
      </c>
      <c r="G16" s="55">
        <f t="shared" si="2"/>
        <v>2450001</v>
      </c>
      <c r="H16" s="64">
        <v>0.13</v>
      </c>
      <c r="I16" s="40">
        <v>2268519</v>
      </c>
      <c r="J16" s="42">
        <f t="shared" si="3"/>
        <v>294907</v>
      </c>
      <c r="K16" s="42">
        <f t="shared" si="4"/>
        <v>23593</v>
      </c>
      <c r="L16" s="42">
        <f t="shared" si="5"/>
        <v>318500</v>
      </c>
      <c r="M16" s="15"/>
      <c r="N16" s="44">
        <v>6363.6360000000004</v>
      </c>
      <c r="O16" s="42">
        <f t="shared" si="6"/>
        <v>0</v>
      </c>
      <c r="P16" s="42">
        <f t="shared" si="7"/>
        <v>0</v>
      </c>
      <c r="Q16" s="42">
        <f t="shared" si="8"/>
        <v>0</v>
      </c>
      <c r="R16" s="49"/>
      <c r="S16" s="56">
        <v>4545.4544999999998</v>
      </c>
      <c r="T16" s="42">
        <f t="shared" si="9"/>
        <v>0</v>
      </c>
      <c r="U16" s="42">
        <f t="shared" si="10"/>
        <v>0</v>
      </c>
      <c r="V16" s="42">
        <f t="shared" si="11"/>
        <v>0</v>
      </c>
      <c r="W16" s="46">
        <f t="shared" si="12"/>
        <v>2768501</v>
      </c>
    </row>
    <row r="17" spans="1:23" s="9" customFormat="1" x14ac:dyDescent="0.3">
      <c r="A17" s="54">
        <v>13</v>
      </c>
      <c r="B17" s="19">
        <v>46179</v>
      </c>
      <c r="C17" s="63">
        <v>0.75</v>
      </c>
      <c r="D17" s="40">
        <v>2268519</v>
      </c>
      <c r="E17" s="55">
        <f t="shared" si="0"/>
        <v>1701389</v>
      </c>
      <c r="F17" s="55">
        <f t="shared" si="1"/>
        <v>136111</v>
      </c>
      <c r="G17" s="55">
        <f t="shared" si="2"/>
        <v>1837500</v>
      </c>
      <c r="H17" s="64"/>
      <c r="I17" s="40">
        <v>2268519</v>
      </c>
      <c r="J17" s="42">
        <f t="shared" si="3"/>
        <v>0</v>
      </c>
      <c r="K17" s="42">
        <f t="shared" si="4"/>
        <v>0</v>
      </c>
      <c r="L17" s="42">
        <f t="shared" si="5"/>
        <v>0</v>
      </c>
      <c r="M17" s="15"/>
      <c r="N17" s="44">
        <v>6363.6360000000004</v>
      </c>
      <c r="O17" s="42">
        <f t="shared" si="6"/>
        <v>0</v>
      </c>
      <c r="P17" s="42">
        <f t="shared" si="7"/>
        <v>0</v>
      </c>
      <c r="Q17" s="42">
        <f t="shared" si="8"/>
        <v>0</v>
      </c>
      <c r="R17" s="48"/>
      <c r="S17" s="56">
        <v>4545.4544999999998</v>
      </c>
      <c r="T17" s="42">
        <f t="shared" si="9"/>
        <v>0</v>
      </c>
      <c r="U17" s="42">
        <f t="shared" si="10"/>
        <v>0</v>
      </c>
      <c r="V17" s="42">
        <f t="shared" si="11"/>
        <v>0</v>
      </c>
      <c r="W17" s="46">
        <f t="shared" si="12"/>
        <v>1837500</v>
      </c>
    </row>
    <row r="18" spans="1:23" s="21" customFormat="1" x14ac:dyDescent="0.3">
      <c r="A18" s="54">
        <v>14</v>
      </c>
      <c r="B18" s="19">
        <v>46180</v>
      </c>
      <c r="C18" s="63">
        <v>0.2</v>
      </c>
      <c r="D18" s="40">
        <v>2268519</v>
      </c>
      <c r="E18" s="55">
        <f t="shared" si="0"/>
        <v>453704</v>
      </c>
      <c r="F18" s="55">
        <f t="shared" si="1"/>
        <v>36296</v>
      </c>
      <c r="G18" s="55">
        <f t="shared" si="2"/>
        <v>490000</v>
      </c>
      <c r="H18" s="64"/>
      <c r="I18" s="40">
        <v>2268519</v>
      </c>
      <c r="J18" s="42">
        <f t="shared" si="3"/>
        <v>0</v>
      </c>
      <c r="K18" s="42">
        <f t="shared" si="4"/>
        <v>0</v>
      </c>
      <c r="L18" s="42">
        <f t="shared" si="5"/>
        <v>0</v>
      </c>
      <c r="M18" s="15"/>
      <c r="N18" s="44">
        <v>6363.6360000000004</v>
      </c>
      <c r="O18" s="42">
        <f t="shared" si="6"/>
        <v>0</v>
      </c>
      <c r="P18" s="42">
        <f t="shared" si="7"/>
        <v>0</v>
      </c>
      <c r="Q18" s="42">
        <f t="shared" si="8"/>
        <v>0</v>
      </c>
      <c r="R18" s="49"/>
      <c r="S18" s="56">
        <v>4545.4544999999998</v>
      </c>
      <c r="T18" s="42">
        <f t="shared" si="9"/>
        <v>0</v>
      </c>
      <c r="U18" s="42">
        <f t="shared" si="10"/>
        <v>0</v>
      </c>
      <c r="V18" s="42">
        <f t="shared" si="11"/>
        <v>0</v>
      </c>
      <c r="W18" s="46">
        <f>G18+L18+Q18+V18</f>
        <v>490000</v>
      </c>
    </row>
    <row r="19" spans="1:23" s="21" customFormat="1" x14ac:dyDescent="0.3">
      <c r="A19" s="54">
        <v>15</v>
      </c>
      <c r="B19" s="19">
        <v>46181</v>
      </c>
      <c r="C19" s="63">
        <v>0.75</v>
      </c>
      <c r="D19" s="40">
        <v>2268519</v>
      </c>
      <c r="E19" s="55">
        <f t="shared" si="0"/>
        <v>1701389</v>
      </c>
      <c r="F19" s="55">
        <f t="shared" si="1"/>
        <v>136111</v>
      </c>
      <c r="G19" s="55">
        <f t="shared" si="2"/>
        <v>1837500</v>
      </c>
      <c r="H19" s="64">
        <v>0.13</v>
      </c>
      <c r="I19" s="40">
        <v>2268519</v>
      </c>
      <c r="J19" s="42">
        <f t="shared" si="3"/>
        <v>294907</v>
      </c>
      <c r="K19" s="42">
        <f t="shared" si="4"/>
        <v>23593</v>
      </c>
      <c r="L19" s="42">
        <f t="shared" si="5"/>
        <v>318500</v>
      </c>
      <c r="M19" s="15"/>
      <c r="N19" s="44">
        <v>6363.6360000000004</v>
      </c>
      <c r="O19" s="42">
        <f t="shared" si="6"/>
        <v>0</v>
      </c>
      <c r="P19" s="42">
        <f t="shared" si="7"/>
        <v>0</v>
      </c>
      <c r="Q19" s="42">
        <f t="shared" si="8"/>
        <v>0</v>
      </c>
      <c r="R19" s="49"/>
      <c r="S19" s="56">
        <v>4545.4544999999998</v>
      </c>
      <c r="T19" s="42">
        <f t="shared" si="9"/>
        <v>0</v>
      </c>
      <c r="U19" s="42">
        <f t="shared" si="10"/>
        <v>0</v>
      </c>
      <c r="V19" s="42">
        <f t="shared" si="11"/>
        <v>0</v>
      </c>
      <c r="W19" s="46">
        <f t="shared" si="12"/>
        <v>2156000</v>
      </c>
    </row>
    <row r="20" spans="1:23" s="9" customFormat="1" x14ac:dyDescent="0.3">
      <c r="A20" s="54">
        <v>16</v>
      </c>
      <c r="B20" s="19">
        <v>46182</v>
      </c>
      <c r="C20" s="63">
        <v>0.75</v>
      </c>
      <c r="D20" s="40">
        <v>2268519</v>
      </c>
      <c r="E20" s="55">
        <f t="shared" si="0"/>
        <v>1701389</v>
      </c>
      <c r="F20" s="55">
        <f t="shared" si="1"/>
        <v>136111</v>
      </c>
      <c r="G20" s="55">
        <f t="shared" si="2"/>
        <v>1837500</v>
      </c>
      <c r="H20" s="64"/>
      <c r="I20" s="40">
        <v>2268519</v>
      </c>
      <c r="J20" s="42">
        <f t="shared" si="3"/>
        <v>0</v>
      </c>
      <c r="K20" s="42">
        <f t="shared" si="4"/>
        <v>0</v>
      </c>
      <c r="L20" s="42">
        <f t="shared" si="5"/>
        <v>0</v>
      </c>
      <c r="M20" s="15"/>
      <c r="N20" s="44">
        <v>6363.6360000000004</v>
      </c>
      <c r="O20" s="42">
        <f t="shared" si="6"/>
        <v>0</v>
      </c>
      <c r="P20" s="42">
        <f t="shared" si="7"/>
        <v>0</v>
      </c>
      <c r="Q20" s="42">
        <f t="shared" si="8"/>
        <v>0</v>
      </c>
      <c r="R20" s="48"/>
      <c r="S20" s="56">
        <v>4545.4544999999998</v>
      </c>
      <c r="T20" s="42">
        <f t="shared" si="9"/>
        <v>0</v>
      </c>
      <c r="U20" s="42">
        <f t="shared" si="10"/>
        <v>0</v>
      </c>
      <c r="V20" s="42">
        <f t="shared" si="11"/>
        <v>0</v>
      </c>
      <c r="W20" s="46">
        <f t="shared" si="12"/>
        <v>1837500</v>
      </c>
    </row>
    <row r="21" spans="1:23" s="21" customFormat="1" x14ac:dyDescent="0.3">
      <c r="A21" s="54">
        <v>17</v>
      </c>
      <c r="B21" s="19">
        <v>46183</v>
      </c>
      <c r="C21" s="63">
        <v>1</v>
      </c>
      <c r="D21" s="40">
        <v>2268519</v>
      </c>
      <c r="E21" s="55">
        <f t="shared" si="0"/>
        <v>2268519</v>
      </c>
      <c r="F21" s="55">
        <f t="shared" si="1"/>
        <v>181482</v>
      </c>
      <c r="G21" s="55">
        <f t="shared" si="2"/>
        <v>2450001</v>
      </c>
      <c r="H21" s="64"/>
      <c r="I21" s="40">
        <v>2268519</v>
      </c>
      <c r="J21" s="42">
        <f t="shared" si="3"/>
        <v>0</v>
      </c>
      <c r="K21" s="42">
        <f t="shared" si="4"/>
        <v>0</v>
      </c>
      <c r="L21" s="42">
        <f t="shared" si="5"/>
        <v>0</v>
      </c>
      <c r="M21" s="15"/>
      <c r="N21" s="44">
        <v>6363.6360000000004</v>
      </c>
      <c r="O21" s="42">
        <f t="shared" si="6"/>
        <v>0</v>
      </c>
      <c r="P21" s="42">
        <f t="shared" si="7"/>
        <v>0</v>
      </c>
      <c r="Q21" s="42">
        <f t="shared" si="8"/>
        <v>0</v>
      </c>
      <c r="R21" s="49"/>
      <c r="S21" s="56">
        <v>4545.4544999999998</v>
      </c>
      <c r="T21" s="42">
        <f t="shared" si="9"/>
        <v>0</v>
      </c>
      <c r="U21" s="42">
        <f t="shared" si="10"/>
        <v>0</v>
      </c>
      <c r="V21" s="42">
        <f t="shared" si="11"/>
        <v>0</v>
      </c>
      <c r="W21" s="46">
        <f t="shared" si="12"/>
        <v>2450001</v>
      </c>
    </row>
    <row r="22" spans="1:23" s="9" customFormat="1" x14ac:dyDescent="0.3">
      <c r="A22" s="54">
        <v>18</v>
      </c>
      <c r="B22" s="19">
        <v>46184</v>
      </c>
      <c r="C22" s="63">
        <v>0.75</v>
      </c>
      <c r="D22" s="40">
        <v>2268519</v>
      </c>
      <c r="E22" s="55">
        <f t="shared" si="0"/>
        <v>1701389</v>
      </c>
      <c r="F22" s="55">
        <f t="shared" si="1"/>
        <v>136111</v>
      </c>
      <c r="G22" s="55">
        <f t="shared" si="2"/>
        <v>1837500</v>
      </c>
      <c r="H22" s="64"/>
      <c r="I22" s="40">
        <v>2268519</v>
      </c>
      <c r="J22" s="42">
        <f t="shared" si="3"/>
        <v>0</v>
      </c>
      <c r="K22" s="42">
        <f t="shared" si="4"/>
        <v>0</v>
      </c>
      <c r="L22" s="42">
        <f t="shared" si="5"/>
        <v>0</v>
      </c>
      <c r="M22" s="15"/>
      <c r="N22" s="44">
        <v>6363.6360000000004</v>
      </c>
      <c r="O22" s="42">
        <f t="shared" si="6"/>
        <v>0</v>
      </c>
      <c r="P22" s="42">
        <f t="shared" si="7"/>
        <v>0</v>
      </c>
      <c r="Q22" s="42">
        <f t="shared" si="8"/>
        <v>0</v>
      </c>
      <c r="R22" s="48"/>
      <c r="S22" s="56">
        <v>4545.4544999999998</v>
      </c>
      <c r="T22" s="42">
        <f t="shared" si="9"/>
        <v>0</v>
      </c>
      <c r="U22" s="42">
        <f t="shared" si="10"/>
        <v>0</v>
      </c>
      <c r="V22" s="42">
        <f t="shared" si="11"/>
        <v>0</v>
      </c>
      <c r="W22" s="46">
        <f t="shared" si="12"/>
        <v>1837500</v>
      </c>
    </row>
    <row r="23" spans="1:23" s="9" customFormat="1" x14ac:dyDescent="0.3">
      <c r="A23" s="54">
        <v>19</v>
      </c>
      <c r="B23" s="19">
        <v>46185</v>
      </c>
      <c r="C23" s="63">
        <v>0.75</v>
      </c>
      <c r="D23" s="40">
        <v>2268519</v>
      </c>
      <c r="E23" s="55">
        <f t="shared" si="0"/>
        <v>1701389</v>
      </c>
      <c r="F23" s="55">
        <f t="shared" si="1"/>
        <v>136111</v>
      </c>
      <c r="G23" s="55">
        <f t="shared" si="2"/>
        <v>1837500</v>
      </c>
      <c r="H23" s="64">
        <v>0.13</v>
      </c>
      <c r="I23" s="40">
        <v>2268519</v>
      </c>
      <c r="J23" s="42">
        <f t="shared" si="3"/>
        <v>294907</v>
      </c>
      <c r="K23" s="42">
        <f t="shared" si="4"/>
        <v>23593</v>
      </c>
      <c r="L23" s="42">
        <f t="shared" si="5"/>
        <v>318500</v>
      </c>
      <c r="M23" s="15"/>
      <c r="N23" s="44">
        <v>6363.6360000000004</v>
      </c>
      <c r="O23" s="42">
        <f t="shared" si="6"/>
        <v>0</v>
      </c>
      <c r="P23" s="42">
        <f t="shared" si="7"/>
        <v>0</v>
      </c>
      <c r="Q23" s="42">
        <f t="shared" si="8"/>
        <v>0</v>
      </c>
      <c r="R23" s="48"/>
      <c r="S23" s="56">
        <v>4545.4544999999998</v>
      </c>
      <c r="T23" s="42">
        <f t="shared" si="9"/>
        <v>0</v>
      </c>
      <c r="U23" s="42">
        <f t="shared" si="10"/>
        <v>0</v>
      </c>
      <c r="V23" s="42">
        <f t="shared" si="11"/>
        <v>0</v>
      </c>
      <c r="W23" s="46">
        <f t="shared" si="12"/>
        <v>2156000</v>
      </c>
    </row>
    <row r="24" spans="1:23" s="21" customFormat="1" x14ac:dyDescent="0.3">
      <c r="A24" s="54">
        <v>20</v>
      </c>
      <c r="B24" s="19">
        <v>46186</v>
      </c>
      <c r="C24" s="63">
        <v>0.75</v>
      </c>
      <c r="D24" s="40">
        <v>2268519</v>
      </c>
      <c r="E24" s="55">
        <f t="shared" si="0"/>
        <v>1701389</v>
      </c>
      <c r="F24" s="55">
        <f t="shared" si="1"/>
        <v>136111</v>
      </c>
      <c r="G24" s="55">
        <f t="shared" si="2"/>
        <v>1837500</v>
      </c>
      <c r="H24" s="64">
        <v>7.0000000000000007E-2</v>
      </c>
      <c r="I24" s="40">
        <v>2268519</v>
      </c>
      <c r="J24" s="42">
        <f t="shared" si="3"/>
        <v>158796</v>
      </c>
      <c r="K24" s="42">
        <f t="shared" si="4"/>
        <v>12704</v>
      </c>
      <c r="L24" s="42">
        <f t="shared" si="5"/>
        <v>171500</v>
      </c>
      <c r="M24" s="15"/>
      <c r="N24" s="44">
        <v>6363.6360000000004</v>
      </c>
      <c r="O24" s="42">
        <f t="shared" si="6"/>
        <v>0</v>
      </c>
      <c r="P24" s="42">
        <f t="shared" si="7"/>
        <v>0</v>
      </c>
      <c r="Q24" s="42">
        <f t="shared" si="8"/>
        <v>0</v>
      </c>
      <c r="R24" s="49"/>
      <c r="S24" s="56">
        <v>4545.4544999999998</v>
      </c>
      <c r="T24" s="42">
        <f t="shared" si="9"/>
        <v>0</v>
      </c>
      <c r="U24" s="42">
        <f t="shared" si="10"/>
        <v>0</v>
      </c>
      <c r="V24" s="42">
        <f t="shared" si="11"/>
        <v>0</v>
      </c>
      <c r="W24" s="46">
        <f t="shared" si="12"/>
        <v>2009000</v>
      </c>
    </row>
    <row r="25" spans="1:23" s="9" customFormat="1" x14ac:dyDescent="0.3">
      <c r="A25" s="54">
        <v>21</v>
      </c>
      <c r="B25" s="19">
        <v>46187</v>
      </c>
      <c r="C25" s="63">
        <v>0.25</v>
      </c>
      <c r="D25" s="40">
        <v>2268519</v>
      </c>
      <c r="E25" s="55">
        <f t="shared" si="0"/>
        <v>567130</v>
      </c>
      <c r="F25" s="55">
        <f t="shared" si="1"/>
        <v>45370</v>
      </c>
      <c r="G25" s="55">
        <f t="shared" si="2"/>
        <v>612500</v>
      </c>
      <c r="H25" s="64"/>
      <c r="I25" s="40">
        <v>2268519</v>
      </c>
      <c r="J25" s="42">
        <f t="shared" si="3"/>
        <v>0</v>
      </c>
      <c r="K25" s="42">
        <f t="shared" si="4"/>
        <v>0</v>
      </c>
      <c r="L25" s="42">
        <f t="shared" si="5"/>
        <v>0</v>
      </c>
      <c r="M25" s="15"/>
      <c r="N25" s="44">
        <v>6363.6360000000004</v>
      </c>
      <c r="O25" s="42">
        <f t="shared" si="6"/>
        <v>0</v>
      </c>
      <c r="P25" s="42">
        <f t="shared" si="7"/>
        <v>0</v>
      </c>
      <c r="Q25" s="42">
        <f t="shared" si="8"/>
        <v>0</v>
      </c>
      <c r="R25" s="48"/>
      <c r="S25" s="56">
        <v>4545.4544999999998</v>
      </c>
      <c r="T25" s="42">
        <f t="shared" si="9"/>
        <v>0</v>
      </c>
      <c r="U25" s="42">
        <f t="shared" si="10"/>
        <v>0</v>
      </c>
      <c r="V25" s="42">
        <f t="shared" si="11"/>
        <v>0</v>
      </c>
      <c r="W25" s="46">
        <f t="shared" si="12"/>
        <v>612500</v>
      </c>
    </row>
    <row r="26" spans="1:23" s="9" customFormat="1" x14ac:dyDescent="0.3">
      <c r="A26" s="54">
        <v>22</v>
      </c>
      <c r="B26" s="19">
        <v>46188</v>
      </c>
      <c r="C26" s="63">
        <v>1</v>
      </c>
      <c r="D26" s="40">
        <v>2268519</v>
      </c>
      <c r="E26" s="55">
        <f t="shared" si="0"/>
        <v>2268519</v>
      </c>
      <c r="F26" s="55">
        <f t="shared" si="1"/>
        <v>181482</v>
      </c>
      <c r="G26" s="55">
        <f t="shared" si="2"/>
        <v>2450001</v>
      </c>
      <c r="H26" s="64">
        <v>7.0000000000000007E-2</v>
      </c>
      <c r="I26" s="40">
        <v>2268519</v>
      </c>
      <c r="J26" s="42">
        <f t="shared" si="3"/>
        <v>158796</v>
      </c>
      <c r="K26" s="42">
        <f t="shared" si="4"/>
        <v>12704</v>
      </c>
      <c r="L26" s="42">
        <f t="shared" si="5"/>
        <v>171500</v>
      </c>
      <c r="M26" s="15"/>
      <c r="N26" s="44">
        <v>6363.6360000000004</v>
      </c>
      <c r="O26" s="42">
        <f t="shared" si="6"/>
        <v>0</v>
      </c>
      <c r="P26" s="42">
        <f t="shared" si="7"/>
        <v>0</v>
      </c>
      <c r="Q26" s="42">
        <f t="shared" si="8"/>
        <v>0</v>
      </c>
      <c r="R26" s="48"/>
      <c r="S26" s="56">
        <v>4545.4544999999998</v>
      </c>
      <c r="T26" s="42">
        <f t="shared" si="9"/>
        <v>0</v>
      </c>
      <c r="U26" s="42">
        <f t="shared" si="10"/>
        <v>0</v>
      </c>
      <c r="V26" s="42">
        <f t="shared" si="11"/>
        <v>0</v>
      </c>
      <c r="W26" s="46">
        <f t="shared" si="12"/>
        <v>2621501</v>
      </c>
    </row>
    <row r="27" spans="1:23" s="21" customFormat="1" x14ac:dyDescent="0.3">
      <c r="A27" s="54">
        <v>23</v>
      </c>
      <c r="B27" s="19">
        <v>46189</v>
      </c>
      <c r="C27" s="63">
        <v>0.75</v>
      </c>
      <c r="D27" s="40">
        <v>2268519</v>
      </c>
      <c r="E27" s="55">
        <f t="shared" si="0"/>
        <v>1701389</v>
      </c>
      <c r="F27" s="55">
        <f t="shared" si="1"/>
        <v>136111</v>
      </c>
      <c r="G27" s="55">
        <f t="shared" si="2"/>
        <v>1837500</v>
      </c>
      <c r="H27" s="64">
        <v>7.0000000000000007E-2</v>
      </c>
      <c r="I27" s="40">
        <v>2268519</v>
      </c>
      <c r="J27" s="42">
        <f t="shared" si="3"/>
        <v>158796</v>
      </c>
      <c r="K27" s="42">
        <f t="shared" si="4"/>
        <v>12704</v>
      </c>
      <c r="L27" s="42">
        <f t="shared" si="5"/>
        <v>171500</v>
      </c>
      <c r="M27" s="15"/>
      <c r="N27" s="44">
        <v>6363.6360000000004</v>
      </c>
      <c r="O27" s="42">
        <f t="shared" si="6"/>
        <v>0</v>
      </c>
      <c r="P27" s="42">
        <f t="shared" si="7"/>
        <v>0</v>
      </c>
      <c r="Q27" s="42">
        <f t="shared" si="8"/>
        <v>0</v>
      </c>
      <c r="R27" s="49">
        <v>1930</v>
      </c>
      <c r="S27" s="56">
        <v>4545.4544999999998</v>
      </c>
      <c r="T27" s="42">
        <f t="shared" si="9"/>
        <v>8772727</v>
      </c>
      <c r="U27" s="42">
        <f t="shared" si="10"/>
        <v>877273</v>
      </c>
      <c r="V27" s="42">
        <f t="shared" si="11"/>
        <v>9650000</v>
      </c>
      <c r="W27" s="46">
        <f t="shared" si="12"/>
        <v>11659000</v>
      </c>
    </row>
    <row r="28" spans="1:23" s="21" customFormat="1" x14ac:dyDescent="0.3">
      <c r="A28" s="54">
        <v>24</v>
      </c>
      <c r="B28" s="19">
        <v>46190</v>
      </c>
      <c r="C28" s="63">
        <v>0.75</v>
      </c>
      <c r="D28" s="40">
        <v>2268519</v>
      </c>
      <c r="E28" s="55">
        <f t="shared" si="0"/>
        <v>1701389</v>
      </c>
      <c r="F28" s="55">
        <f t="shared" si="1"/>
        <v>136111</v>
      </c>
      <c r="G28" s="55">
        <f t="shared" si="2"/>
        <v>1837500</v>
      </c>
      <c r="H28" s="64">
        <v>0.13</v>
      </c>
      <c r="I28" s="40">
        <v>2268519</v>
      </c>
      <c r="J28" s="42">
        <f t="shared" si="3"/>
        <v>294907</v>
      </c>
      <c r="K28" s="42">
        <f t="shared" si="4"/>
        <v>23593</v>
      </c>
      <c r="L28" s="42">
        <f t="shared" si="5"/>
        <v>318500</v>
      </c>
      <c r="M28" s="15"/>
      <c r="N28" s="44">
        <v>6363.6360000000004</v>
      </c>
      <c r="O28" s="42">
        <f t="shared" si="6"/>
        <v>0</v>
      </c>
      <c r="P28" s="42">
        <f t="shared" si="7"/>
        <v>0</v>
      </c>
      <c r="Q28" s="42">
        <f t="shared" si="8"/>
        <v>0</v>
      </c>
      <c r="R28" s="49"/>
      <c r="S28" s="56">
        <v>4545.4544999999998</v>
      </c>
      <c r="T28" s="42">
        <f t="shared" si="9"/>
        <v>0</v>
      </c>
      <c r="U28" s="42">
        <f t="shared" si="10"/>
        <v>0</v>
      </c>
      <c r="V28" s="42">
        <f t="shared" si="11"/>
        <v>0</v>
      </c>
      <c r="W28" s="46">
        <f t="shared" si="12"/>
        <v>2156000</v>
      </c>
    </row>
    <row r="29" spans="1:23" s="9" customFormat="1" x14ac:dyDescent="0.3">
      <c r="A29" s="54">
        <v>25</v>
      </c>
      <c r="B29" s="19">
        <v>46191</v>
      </c>
      <c r="C29" s="63">
        <v>0.75</v>
      </c>
      <c r="D29" s="40">
        <v>2268519</v>
      </c>
      <c r="E29" s="55">
        <f t="shared" si="0"/>
        <v>1701389</v>
      </c>
      <c r="F29" s="55">
        <f t="shared" si="1"/>
        <v>136111</v>
      </c>
      <c r="G29" s="55">
        <f t="shared" si="2"/>
        <v>1837500</v>
      </c>
      <c r="H29" s="64">
        <v>0.13</v>
      </c>
      <c r="I29" s="40">
        <v>2268519</v>
      </c>
      <c r="J29" s="42">
        <f t="shared" si="3"/>
        <v>294907</v>
      </c>
      <c r="K29" s="42">
        <f t="shared" si="4"/>
        <v>23593</v>
      </c>
      <c r="L29" s="42">
        <f t="shared" si="5"/>
        <v>318500</v>
      </c>
      <c r="M29" s="15"/>
      <c r="N29" s="44">
        <v>6363.6360000000004</v>
      </c>
      <c r="O29" s="42">
        <f t="shared" si="6"/>
        <v>0</v>
      </c>
      <c r="P29" s="42">
        <f t="shared" si="7"/>
        <v>0</v>
      </c>
      <c r="Q29" s="42">
        <f t="shared" si="8"/>
        <v>0</v>
      </c>
      <c r="R29" s="48"/>
      <c r="S29" s="56">
        <v>4545.4544999999998</v>
      </c>
      <c r="T29" s="42">
        <f t="shared" si="9"/>
        <v>0</v>
      </c>
      <c r="U29" s="42">
        <f t="shared" si="10"/>
        <v>0</v>
      </c>
      <c r="V29" s="42">
        <f t="shared" si="11"/>
        <v>0</v>
      </c>
      <c r="W29" s="46">
        <f t="shared" si="12"/>
        <v>2156000</v>
      </c>
    </row>
    <row r="30" spans="1:23" s="21" customFormat="1" x14ac:dyDescent="0.3">
      <c r="A30" s="54">
        <v>26</v>
      </c>
      <c r="B30" s="19">
        <v>46192</v>
      </c>
      <c r="C30" s="63">
        <v>0.75</v>
      </c>
      <c r="D30" s="40">
        <v>2268519</v>
      </c>
      <c r="E30" s="55">
        <f t="shared" si="0"/>
        <v>1701389</v>
      </c>
      <c r="F30" s="55">
        <f t="shared" si="1"/>
        <v>136111</v>
      </c>
      <c r="G30" s="55">
        <f t="shared" si="2"/>
        <v>1837500</v>
      </c>
      <c r="H30" s="64">
        <v>7.0000000000000007E-2</v>
      </c>
      <c r="I30" s="40">
        <v>2268519</v>
      </c>
      <c r="J30" s="42">
        <f t="shared" si="3"/>
        <v>158796</v>
      </c>
      <c r="K30" s="42">
        <f t="shared" si="4"/>
        <v>12704</v>
      </c>
      <c r="L30" s="42">
        <f t="shared" si="5"/>
        <v>171500</v>
      </c>
      <c r="M30" s="15"/>
      <c r="N30" s="44">
        <v>6363.6360000000004</v>
      </c>
      <c r="O30" s="42">
        <f t="shared" si="6"/>
        <v>0</v>
      </c>
      <c r="P30" s="42">
        <f t="shared" si="7"/>
        <v>0</v>
      </c>
      <c r="Q30" s="42">
        <f t="shared" si="8"/>
        <v>0</v>
      </c>
      <c r="R30" s="49"/>
      <c r="S30" s="56">
        <v>4545.4544999999998</v>
      </c>
      <c r="T30" s="42">
        <f t="shared" si="9"/>
        <v>0</v>
      </c>
      <c r="U30" s="42">
        <f t="shared" si="10"/>
        <v>0</v>
      </c>
      <c r="V30" s="42">
        <f t="shared" si="11"/>
        <v>0</v>
      </c>
      <c r="W30" s="46">
        <f t="shared" si="12"/>
        <v>2009000</v>
      </c>
    </row>
    <row r="31" spans="1:23" s="9" customFormat="1" x14ac:dyDescent="0.3">
      <c r="A31" s="54">
        <v>27</v>
      </c>
      <c r="B31" s="19">
        <v>46193</v>
      </c>
      <c r="C31" s="63">
        <v>0.75</v>
      </c>
      <c r="D31" s="40">
        <v>2268519</v>
      </c>
      <c r="E31" s="55">
        <f t="shared" si="0"/>
        <v>1701389</v>
      </c>
      <c r="F31" s="55">
        <f t="shared" si="1"/>
        <v>136111</v>
      </c>
      <c r="G31" s="55">
        <f t="shared" si="2"/>
        <v>1837500</v>
      </c>
      <c r="H31" s="64">
        <v>0.13</v>
      </c>
      <c r="I31" s="40">
        <v>2268519</v>
      </c>
      <c r="J31" s="42">
        <f t="shared" si="3"/>
        <v>294907</v>
      </c>
      <c r="K31" s="42">
        <f t="shared" si="4"/>
        <v>23593</v>
      </c>
      <c r="L31" s="42">
        <f t="shared" si="5"/>
        <v>318500</v>
      </c>
      <c r="M31" s="15"/>
      <c r="N31" s="44">
        <v>6363.6360000000004</v>
      </c>
      <c r="O31" s="42">
        <f t="shared" si="6"/>
        <v>0</v>
      </c>
      <c r="P31" s="42">
        <f t="shared" si="7"/>
        <v>0</v>
      </c>
      <c r="Q31" s="42">
        <f t="shared" si="8"/>
        <v>0</v>
      </c>
      <c r="R31" s="48"/>
      <c r="S31" s="56">
        <v>4545.4544999999998</v>
      </c>
      <c r="T31" s="42">
        <f t="shared" si="9"/>
        <v>0</v>
      </c>
      <c r="U31" s="42">
        <f t="shared" si="10"/>
        <v>0</v>
      </c>
      <c r="V31" s="42">
        <f t="shared" si="11"/>
        <v>0</v>
      </c>
      <c r="W31" s="46">
        <f t="shared" si="12"/>
        <v>2156000</v>
      </c>
    </row>
    <row r="32" spans="1:23" s="9" customFormat="1" x14ac:dyDescent="0.3">
      <c r="A32" s="54">
        <v>28</v>
      </c>
      <c r="B32" s="19">
        <v>46194</v>
      </c>
      <c r="C32" s="63">
        <v>0.33</v>
      </c>
      <c r="D32" s="40">
        <v>2268519</v>
      </c>
      <c r="E32" s="55">
        <f t="shared" si="0"/>
        <v>748611</v>
      </c>
      <c r="F32" s="55">
        <f t="shared" si="1"/>
        <v>59889</v>
      </c>
      <c r="G32" s="55">
        <f t="shared" si="2"/>
        <v>808500</v>
      </c>
      <c r="H32" s="64"/>
      <c r="I32" s="40">
        <v>2268519</v>
      </c>
      <c r="J32" s="42">
        <f t="shared" si="3"/>
        <v>0</v>
      </c>
      <c r="K32" s="42">
        <f t="shared" si="4"/>
        <v>0</v>
      </c>
      <c r="L32" s="42">
        <f t="shared" si="5"/>
        <v>0</v>
      </c>
      <c r="M32" s="15"/>
      <c r="N32" s="44">
        <v>6363.6360000000004</v>
      </c>
      <c r="O32" s="42">
        <f t="shared" si="6"/>
        <v>0</v>
      </c>
      <c r="P32" s="42">
        <f t="shared" si="7"/>
        <v>0</v>
      </c>
      <c r="Q32" s="42">
        <f t="shared" si="8"/>
        <v>0</v>
      </c>
      <c r="R32" s="48"/>
      <c r="S32" s="56">
        <v>4545.4544999999998</v>
      </c>
      <c r="T32" s="42">
        <f t="shared" si="9"/>
        <v>0</v>
      </c>
      <c r="U32" s="42">
        <f t="shared" si="10"/>
        <v>0</v>
      </c>
      <c r="V32" s="42">
        <f t="shared" si="11"/>
        <v>0</v>
      </c>
      <c r="W32" s="46">
        <f t="shared" si="12"/>
        <v>808500</v>
      </c>
    </row>
    <row r="33" spans="1:23" s="9" customFormat="1" x14ac:dyDescent="0.3">
      <c r="A33" s="54">
        <v>29</v>
      </c>
      <c r="B33" s="19">
        <v>46195</v>
      </c>
      <c r="C33" s="63">
        <v>0.75</v>
      </c>
      <c r="D33" s="40">
        <v>2268519</v>
      </c>
      <c r="E33" s="55">
        <f t="shared" si="0"/>
        <v>1701389</v>
      </c>
      <c r="F33" s="55">
        <f t="shared" si="1"/>
        <v>136111</v>
      </c>
      <c r="G33" s="55">
        <f t="shared" si="2"/>
        <v>1837500</v>
      </c>
      <c r="H33" s="64">
        <v>7.0000000000000007E-2</v>
      </c>
      <c r="I33" s="40">
        <v>2268519</v>
      </c>
      <c r="J33" s="42">
        <f t="shared" si="3"/>
        <v>158796</v>
      </c>
      <c r="K33" s="42">
        <f t="shared" si="4"/>
        <v>12704</v>
      </c>
      <c r="L33" s="42">
        <f t="shared" si="5"/>
        <v>171500</v>
      </c>
      <c r="M33" s="15"/>
      <c r="N33" s="44">
        <v>6363.6360000000004</v>
      </c>
      <c r="O33" s="42">
        <f t="shared" si="6"/>
        <v>0</v>
      </c>
      <c r="P33" s="42">
        <f t="shared" si="7"/>
        <v>0</v>
      </c>
      <c r="Q33" s="42">
        <f t="shared" si="8"/>
        <v>0</v>
      </c>
      <c r="R33" s="48"/>
      <c r="S33" s="56">
        <v>4545.4544999999998</v>
      </c>
      <c r="T33" s="42">
        <f t="shared" si="9"/>
        <v>0</v>
      </c>
      <c r="U33" s="42">
        <f t="shared" si="10"/>
        <v>0</v>
      </c>
      <c r="V33" s="42">
        <f t="shared" si="11"/>
        <v>0</v>
      </c>
      <c r="W33" s="46">
        <f t="shared" si="12"/>
        <v>2009000</v>
      </c>
    </row>
    <row r="34" spans="1:23" s="9" customFormat="1" x14ac:dyDescent="0.3">
      <c r="A34" s="54">
        <v>30</v>
      </c>
      <c r="B34" s="19">
        <v>46196</v>
      </c>
      <c r="C34" s="63">
        <v>0.75</v>
      </c>
      <c r="D34" s="40">
        <v>2268519</v>
      </c>
      <c r="E34" s="55">
        <f t="shared" si="0"/>
        <v>1701389</v>
      </c>
      <c r="F34" s="55">
        <f t="shared" si="1"/>
        <v>136111</v>
      </c>
      <c r="G34" s="55">
        <f t="shared" si="2"/>
        <v>1837500</v>
      </c>
      <c r="H34" s="64">
        <v>7.0000000000000007E-2</v>
      </c>
      <c r="I34" s="40">
        <v>2268519</v>
      </c>
      <c r="J34" s="42">
        <f t="shared" si="3"/>
        <v>158796</v>
      </c>
      <c r="K34" s="42">
        <f t="shared" si="4"/>
        <v>12704</v>
      </c>
      <c r="L34" s="42">
        <f t="shared" si="5"/>
        <v>171500</v>
      </c>
      <c r="M34" s="15"/>
      <c r="N34" s="44">
        <v>6363.6360000000004</v>
      </c>
      <c r="O34" s="42">
        <f t="shared" si="6"/>
        <v>0</v>
      </c>
      <c r="P34" s="42">
        <f t="shared" si="7"/>
        <v>0</v>
      </c>
      <c r="Q34" s="42">
        <f t="shared" si="8"/>
        <v>0</v>
      </c>
      <c r="R34" s="48"/>
      <c r="S34" s="56">
        <v>4545.4544999999998</v>
      </c>
      <c r="T34" s="42">
        <f t="shared" si="9"/>
        <v>0</v>
      </c>
      <c r="U34" s="42">
        <f t="shared" si="10"/>
        <v>0</v>
      </c>
      <c r="V34" s="42">
        <f t="shared" si="11"/>
        <v>0</v>
      </c>
      <c r="W34" s="46">
        <f t="shared" si="12"/>
        <v>2009000</v>
      </c>
    </row>
    <row r="35" spans="1:23" s="9" customFormat="1" x14ac:dyDescent="0.3">
      <c r="A35" s="54">
        <v>31</v>
      </c>
      <c r="B35" s="19">
        <v>46197</v>
      </c>
      <c r="C35" s="63">
        <v>1</v>
      </c>
      <c r="D35" s="40">
        <v>2268519</v>
      </c>
      <c r="E35" s="55">
        <f>ROUND(D35*C35,0)</f>
        <v>2268519</v>
      </c>
      <c r="F35" s="55">
        <f>ROUND(E35*8%,0)</f>
        <v>181482</v>
      </c>
      <c r="G35" s="55">
        <f>E35+F35</f>
        <v>2450001</v>
      </c>
      <c r="H35" s="64">
        <v>0.13</v>
      </c>
      <c r="I35" s="40">
        <v>2268519</v>
      </c>
      <c r="J35" s="42">
        <f>ROUND(I35*H35,0)</f>
        <v>294907</v>
      </c>
      <c r="K35" s="42">
        <f>ROUND(J35*8%,0)</f>
        <v>23593</v>
      </c>
      <c r="L35" s="42">
        <f>J35+K35</f>
        <v>318500</v>
      </c>
      <c r="M35" s="15">
        <v>140</v>
      </c>
      <c r="N35" s="44">
        <v>6363.6360000000004</v>
      </c>
      <c r="O35" s="42">
        <f>ROUND(N35*M35,0)</f>
        <v>890909</v>
      </c>
      <c r="P35" s="42">
        <f>ROUND(O35*8%,0)</f>
        <v>71273</v>
      </c>
      <c r="Q35" s="42">
        <f>O35+P35</f>
        <v>962182</v>
      </c>
      <c r="R35" s="48"/>
      <c r="S35" s="56">
        <v>4545.4544999999998</v>
      </c>
      <c r="T35" s="42">
        <f>ROUND(R35*S35,0)</f>
        <v>0</v>
      </c>
      <c r="U35" s="42">
        <f>ROUND(T35*10%,0)</f>
        <v>0</v>
      </c>
      <c r="V35" s="42">
        <f>T35+U35</f>
        <v>0</v>
      </c>
      <c r="W35" s="46">
        <f>G35+L35+Q35+V35</f>
        <v>3730683</v>
      </c>
    </row>
    <row r="36" spans="1:23" x14ac:dyDescent="0.3">
      <c r="A36" s="65"/>
      <c r="B36" s="66"/>
      <c r="C36" s="8">
        <v>22.61</v>
      </c>
      <c r="D36" s="7"/>
      <c r="E36" s="57">
        <f>SUM(E5:E35)</f>
        <v>51291211</v>
      </c>
      <c r="F36" s="57">
        <f>SUM(F5:F35)</f>
        <v>4103298</v>
      </c>
      <c r="G36" s="59">
        <f>SUM(G5:G35)</f>
        <v>55394509</v>
      </c>
      <c r="H36" s="8">
        <v>2.2799999999999998</v>
      </c>
      <c r="I36" s="58"/>
      <c r="J36" s="58">
        <f>SUM(J5:J35)</f>
        <v>5172215</v>
      </c>
      <c r="K36" s="58">
        <f>SUM(K5:K35)</f>
        <v>413785</v>
      </c>
      <c r="L36" s="60">
        <f>SUM(L5:L35)</f>
        <v>5586000</v>
      </c>
      <c r="M36" s="7">
        <f>SUM(M5:M35)</f>
        <v>274</v>
      </c>
      <c r="N36" s="58"/>
      <c r="O36" s="58">
        <f>SUM(O5:O35)</f>
        <v>1743636</v>
      </c>
      <c r="P36" s="58">
        <f>SUM(P5:P35)</f>
        <v>139491</v>
      </c>
      <c r="Q36" s="60">
        <f>SUM(Q5:Q35)</f>
        <v>1883127</v>
      </c>
      <c r="R36" s="7">
        <f>SUM(R5:R35)</f>
        <v>2038</v>
      </c>
      <c r="S36" s="7"/>
      <c r="T36" s="58">
        <f>SUM(T5:T35)</f>
        <v>9263636</v>
      </c>
      <c r="U36" s="58">
        <f>SUM(U5:U35)</f>
        <v>926364</v>
      </c>
      <c r="V36" s="60">
        <f>SUM(V5:V35)</f>
        <v>10190000</v>
      </c>
      <c r="W36" s="60">
        <f>Q36+L36+G36+V36</f>
        <v>73053636</v>
      </c>
    </row>
    <row r="37" spans="1:23" x14ac:dyDescent="0.3">
      <c r="A37" s="3"/>
      <c r="B37" s="67" t="s">
        <v>1</v>
      </c>
      <c r="C37" s="67"/>
      <c r="D37" s="67"/>
      <c r="E37" s="67"/>
      <c r="F37" s="52"/>
      <c r="G37" s="52"/>
      <c r="H37" s="61"/>
      <c r="I37" s="5"/>
      <c r="J37" s="4"/>
      <c r="K37" s="4"/>
      <c r="L37" s="4"/>
      <c r="M37" s="4"/>
      <c r="N37" s="4"/>
      <c r="O37" s="4"/>
      <c r="P37" s="4"/>
      <c r="Q37" s="4"/>
      <c r="R37" s="67" t="s">
        <v>1</v>
      </c>
      <c r="S37" s="67"/>
      <c r="T37" s="67"/>
      <c r="U37" s="67"/>
      <c r="V37" s="67"/>
      <c r="W37" s="67"/>
    </row>
    <row r="38" spans="1:23" x14ac:dyDescent="0.3">
      <c r="A38" s="3"/>
      <c r="B38" s="68" t="s">
        <v>32</v>
      </c>
      <c r="C38" s="68"/>
      <c r="D38" s="68"/>
      <c r="E38" s="68"/>
      <c r="F38" s="53"/>
      <c r="G38" s="53"/>
      <c r="H38" s="1"/>
      <c r="I38" s="2"/>
      <c r="J38" s="1"/>
      <c r="K38" s="1"/>
      <c r="L38" s="1"/>
      <c r="M38" s="1"/>
      <c r="N38" s="1"/>
      <c r="O38" s="68" t="s">
        <v>15</v>
      </c>
      <c r="P38" s="68"/>
      <c r="Q38" s="68"/>
      <c r="R38" s="68"/>
      <c r="S38" s="68"/>
      <c r="T38" s="68"/>
      <c r="U38" s="68"/>
      <c r="V38" s="68"/>
      <c r="W38" s="68"/>
    </row>
  </sheetData>
  <mergeCells count="12">
    <mergeCell ref="A36:B36"/>
    <mergeCell ref="B37:E37"/>
    <mergeCell ref="R37:W37"/>
    <mergeCell ref="B38:E38"/>
    <mergeCell ref="O38:W38"/>
    <mergeCell ref="A1:W1"/>
    <mergeCell ref="C3:G3"/>
    <mergeCell ref="H3:L3"/>
    <mergeCell ref="M3:Q3"/>
    <mergeCell ref="R3:V3"/>
    <mergeCell ref="W3:W4"/>
    <mergeCell ref="A4:B4"/>
  </mergeCells>
  <conditionalFormatting sqref="B5:B35">
    <cfRule type="expression" dxfId="8" priority="1" stopIfTrue="1">
      <formula>WEEKDAY($B5)=1</formula>
    </cfRule>
  </conditionalFormatting>
  <dataValidations count="1">
    <dataValidation type="decimal" showInputMessage="1" showErrorMessage="1" sqref="C37:C1048576 C1:C35" xr:uid="{638F7D32-2C76-4DF6-A56E-9C36149DD3AC}">
      <formula1>0</formula1>
      <formula2>1</formula2>
    </dataValidation>
  </dataValidations>
  <pageMargins left="0.23622047244094491" right="0.19685039370078741" top="0.35433070866141736" bottom="0.74803149606299213" header="0.31496062992125984" footer="0.31496062992125984"/>
  <pageSetup paperSize="9" scale="6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47515-A3E3-4DB6-86B4-05AB8F2682E8}">
  <sheetPr codeName="Sheet11">
    <pageSetUpPr fitToPage="1"/>
  </sheetPr>
  <dimension ref="A1:W39"/>
  <sheetViews>
    <sheetView view="pageBreakPreview" zoomScale="115" zoomScaleNormal="115" zoomScaleSheetLayoutView="115" workbookViewId="0">
      <pane ySplit="4" topLeftCell="A29" activePane="bottomLeft" state="frozen"/>
      <selection pane="bottomLeft" activeCell="F45" sqref="F45"/>
    </sheetView>
  </sheetViews>
  <sheetFormatPr defaultRowHeight="14" x14ac:dyDescent="0.3"/>
  <cols>
    <col min="5" max="5" width="10.1640625" bestFit="1" customWidth="1"/>
    <col min="6" max="7" width="10.1640625" customWidth="1"/>
    <col min="10" max="10" width="9.9140625" bestFit="1" customWidth="1"/>
    <col min="11" max="12" width="9.9140625" customWidth="1"/>
    <col min="15" max="15" width="9.9140625" bestFit="1" customWidth="1"/>
    <col min="16" max="17" width="9.9140625" customWidth="1"/>
    <col min="20" max="20" width="9.9140625" bestFit="1" customWidth="1"/>
    <col min="21" max="22" width="9.9140625" customWidth="1"/>
    <col min="23" max="23" width="10.6640625" bestFit="1" customWidth="1"/>
  </cols>
  <sheetData>
    <row r="1" spans="1:23" ht="44.25" customHeight="1" x14ac:dyDescent="0.3">
      <c r="A1" s="69" t="s">
        <v>31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</row>
    <row r="2" spans="1:23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7"/>
      <c r="V2" s="27"/>
      <c r="W2" s="27"/>
    </row>
    <row r="3" spans="1:23" ht="26.25" customHeight="1" x14ac:dyDescent="0.3">
      <c r="A3" s="26" t="s">
        <v>13</v>
      </c>
      <c r="B3" s="25" t="s">
        <v>12</v>
      </c>
      <c r="C3" s="71" t="s">
        <v>11</v>
      </c>
      <c r="D3" s="72"/>
      <c r="E3" s="72"/>
      <c r="F3" s="72"/>
      <c r="G3" s="73"/>
      <c r="H3" s="74" t="s">
        <v>10</v>
      </c>
      <c r="I3" s="72"/>
      <c r="J3" s="72"/>
      <c r="K3" s="72"/>
      <c r="L3" s="73"/>
      <c r="M3" s="74" t="s">
        <v>9</v>
      </c>
      <c r="N3" s="72"/>
      <c r="O3" s="72"/>
      <c r="P3" s="72"/>
      <c r="Q3" s="73"/>
      <c r="R3" s="75" t="s">
        <v>8</v>
      </c>
      <c r="S3" s="76"/>
      <c r="T3" s="76"/>
      <c r="U3" s="76"/>
      <c r="V3" s="77"/>
      <c r="W3" s="78" t="s">
        <v>7</v>
      </c>
    </row>
    <row r="4" spans="1:23" ht="60.5" customHeight="1" x14ac:dyDescent="0.3">
      <c r="A4" s="80" t="s">
        <v>17</v>
      </c>
      <c r="B4" s="81"/>
      <c r="C4" s="24" t="s">
        <v>5</v>
      </c>
      <c r="D4" s="24" t="s">
        <v>28</v>
      </c>
      <c r="E4" s="24" t="s">
        <v>29</v>
      </c>
      <c r="F4" s="24" t="s">
        <v>23</v>
      </c>
      <c r="G4" s="24" t="s">
        <v>27</v>
      </c>
      <c r="H4" s="24" t="s">
        <v>5</v>
      </c>
      <c r="I4" s="24" t="s">
        <v>28</v>
      </c>
      <c r="J4" s="24" t="s">
        <v>29</v>
      </c>
      <c r="K4" s="24" t="s">
        <v>23</v>
      </c>
      <c r="L4" s="24" t="s">
        <v>27</v>
      </c>
      <c r="M4" s="24" t="s">
        <v>4</v>
      </c>
      <c r="N4" s="24" t="s">
        <v>28</v>
      </c>
      <c r="O4" s="24" t="s">
        <v>29</v>
      </c>
      <c r="P4" s="24" t="s">
        <v>23</v>
      </c>
      <c r="Q4" s="24" t="s">
        <v>27</v>
      </c>
      <c r="R4" s="24" t="s">
        <v>4</v>
      </c>
      <c r="S4" s="24" t="s">
        <v>28</v>
      </c>
      <c r="T4" s="24" t="s">
        <v>29</v>
      </c>
      <c r="U4" s="24" t="s">
        <v>26</v>
      </c>
      <c r="V4" s="24" t="s">
        <v>27</v>
      </c>
      <c r="W4" s="79"/>
    </row>
    <row r="5" spans="1:23" s="21" customFormat="1" x14ac:dyDescent="0.3">
      <c r="A5" s="54">
        <v>1</v>
      </c>
      <c r="B5" s="19">
        <v>46135</v>
      </c>
      <c r="C5" s="63">
        <v>0.75</v>
      </c>
      <c r="D5" s="40">
        <v>2268519</v>
      </c>
      <c r="E5" s="55">
        <f>ROUND(D5*C5,0)</f>
        <v>1701389</v>
      </c>
      <c r="F5" s="55">
        <f>ROUND(E5*8%,0)</f>
        <v>136111</v>
      </c>
      <c r="G5" s="55">
        <f>E5+F5</f>
        <v>1837500</v>
      </c>
      <c r="H5" s="64">
        <v>7.0000000000000007E-2</v>
      </c>
      <c r="I5" s="40">
        <v>2268519</v>
      </c>
      <c r="J5" s="42">
        <f>ROUND(I5*H5,0)</f>
        <v>158796</v>
      </c>
      <c r="K5" s="42">
        <f>ROUND(J5*8%,0)</f>
        <v>12704</v>
      </c>
      <c r="L5" s="42">
        <f>J5+K5</f>
        <v>171500</v>
      </c>
      <c r="M5" s="15"/>
      <c r="N5" s="44">
        <v>6363.6360000000004</v>
      </c>
      <c r="O5" s="42">
        <f>ROUND(N5*M5,0)</f>
        <v>0</v>
      </c>
      <c r="P5" s="42">
        <f>ROUND(O5*8%,0)</f>
        <v>0</v>
      </c>
      <c r="Q5" s="42">
        <f>O5+P5</f>
        <v>0</v>
      </c>
      <c r="R5" s="49"/>
      <c r="S5" s="56">
        <v>4545.4544999999998</v>
      </c>
      <c r="T5" s="42">
        <f>ROUND(R5*S5,0)</f>
        <v>0</v>
      </c>
      <c r="U5" s="42">
        <f>ROUND(T5*10%,0)</f>
        <v>0</v>
      </c>
      <c r="V5" s="42">
        <f>T5+U5</f>
        <v>0</v>
      </c>
      <c r="W5" s="46">
        <f>G5+L5+Q5+V5</f>
        <v>2009000</v>
      </c>
    </row>
    <row r="6" spans="1:23" s="21" customFormat="1" x14ac:dyDescent="0.3">
      <c r="A6" s="54">
        <v>2</v>
      </c>
      <c r="B6" s="19">
        <v>46136</v>
      </c>
      <c r="C6" s="63">
        <v>0.75</v>
      </c>
      <c r="D6" s="40">
        <v>2268519</v>
      </c>
      <c r="E6" s="55">
        <f t="shared" ref="E6:E34" si="0">ROUND(D6*C6,0)</f>
        <v>1701389</v>
      </c>
      <c r="F6" s="55">
        <f t="shared" ref="F6:F34" si="1">ROUND(E6*8%,0)</f>
        <v>136111</v>
      </c>
      <c r="G6" s="55">
        <f t="shared" ref="G6:G34" si="2">E6+F6</f>
        <v>1837500</v>
      </c>
      <c r="H6" s="64">
        <v>7.0000000000000007E-2</v>
      </c>
      <c r="I6" s="40">
        <v>2268519</v>
      </c>
      <c r="J6" s="42">
        <f t="shared" ref="J6:J34" si="3">ROUND(I6*H6,0)</f>
        <v>158796</v>
      </c>
      <c r="K6" s="42">
        <f t="shared" ref="K6:K34" si="4">ROUND(J6*8%,0)</f>
        <v>12704</v>
      </c>
      <c r="L6" s="42">
        <f t="shared" ref="L6:L34" si="5">J6+K6</f>
        <v>171500</v>
      </c>
      <c r="M6" s="15"/>
      <c r="N6" s="44">
        <v>6363.6360000000004</v>
      </c>
      <c r="O6" s="42">
        <f t="shared" ref="O6:O34" si="6">ROUND(N6*M6,0)</f>
        <v>0</v>
      </c>
      <c r="P6" s="42">
        <f t="shared" ref="P6:P34" si="7">ROUND(O6*8%,0)</f>
        <v>0</v>
      </c>
      <c r="Q6" s="42">
        <f t="shared" ref="Q6:Q34" si="8">O6+P6</f>
        <v>0</v>
      </c>
      <c r="R6" s="49"/>
      <c r="S6" s="56">
        <v>4545.4544999999998</v>
      </c>
      <c r="T6" s="42">
        <f t="shared" ref="T6:T34" si="9">ROUND(R6*S6,0)</f>
        <v>0</v>
      </c>
      <c r="U6" s="42">
        <f t="shared" ref="U6:U34" si="10">ROUND(T6*10%,0)</f>
        <v>0</v>
      </c>
      <c r="V6" s="42">
        <f t="shared" ref="V6:V34" si="11">T6+U6</f>
        <v>0</v>
      </c>
      <c r="W6" s="46">
        <f t="shared" ref="W6:W34" si="12">G6+L6+Q6+V6</f>
        <v>2009000</v>
      </c>
    </row>
    <row r="7" spans="1:23" s="9" customFormat="1" x14ac:dyDescent="0.3">
      <c r="A7" s="54">
        <v>3</v>
      </c>
      <c r="B7" s="19">
        <v>46137</v>
      </c>
      <c r="C7" s="63">
        <v>0.5</v>
      </c>
      <c r="D7" s="40">
        <v>2268519</v>
      </c>
      <c r="E7" s="55">
        <f t="shared" si="0"/>
        <v>1134260</v>
      </c>
      <c r="F7" s="55">
        <f t="shared" si="1"/>
        <v>90741</v>
      </c>
      <c r="G7" s="55">
        <f t="shared" si="2"/>
        <v>1225001</v>
      </c>
      <c r="H7" s="64">
        <v>7.0000000000000007E-2</v>
      </c>
      <c r="I7" s="40">
        <v>2268519</v>
      </c>
      <c r="J7" s="42">
        <f t="shared" si="3"/>
        <v>158796</v>
      </c>
      <c r="K7" s="42">
        <f t="shared" si="4"/>
        <v>12704</v>
      </c>
      <c r="L7" s="42">
        <f t="shared" si="5"/>
        <v>171500</v>
      </c>
      <c r="M7" s="15"/>
      <c r="N7" s="44">
        <v>6363.6360000000004</v>
      </c>
      <c r="O7" s="42">
        <f t="shared" si="6"/>
        <v>0</v>
      </c>
      <c r="P7" s="42">
        <f t="shared" si="7"/>
        <v>0</v>
      </c>
      <c r="Q7" s="42">
        <f t="shared" si="8"/>
        <v>0</v>
      </c>
      <c r="R7" s="48"/>
      <c r="S7" s="56">
        <v>4545.4544999999998</v>
      </c>
      <c r="T7" s="42">
        <f t="shared" si="9"/>
        <v>0</v>
      </c>
      <c r="U7" s="42">
        <f t="shared" si="10"/>
        <v>0</v>
      </c>
      <c r="V7" s="42">
        <f t="shared" si="11"/>
        <v>0</v>
      </c>
      <c r="W7" s="46">
        <f t="shared" si="12"/>
        <v>1396501</v>
      </c>
    </row>
    <row r="8" spans="1:23" s="21" customFormat="1" x14ac:dyDescent="0.3">
      <c r="A8" s="54">
        <v>4</v>
      </c>
      <c r="B8" s="19">
        <v>46138</v>
      </c>
      <c r="C8" s="63"/>
      <c r="D8" s="40">
        <v>2268519</v>
      </c>
      <c r="E8" s="55">
        <f t="shared" si="0"/>
        <v>0</v>
      </c>
      <c r="F8" s="55">
        <f t="shared" si="1"/>
        <v>0</v>
      </c>
      <c r="G8" s="55">
        <f t="shared" si="2"/>
        <v>0</v>
      </c>
      <c r="H8" s="64"/>
      <c r="I8" s="40">
        <v>2268519</v>
      </c>
      <c r="J8" s="42">
        <f t="shared" si="3"/>
        <v>0</v>
      </c>
      <c r="K8" s="42">
        <f t="shared" si="4"/>
        <v>0</v>
      </c>
      <c r="L8" s="42">
        <f t="shared" si="5"/>
        <v>0</v>
      </c>
      <c r="M8" s="15"/>
      <c r="N8" s="44">
        <v>6363.6360000000004</v>
      </c>
      <c r="O8" s="42">
        <f t="shared" si="6"/>
        <v>0</v>
      </c>
      <c r="P8" s="42">
        <f t="shared" si="7"/>
        <v>0</v>
      </c>
      <c r="Q8" s="42">
        <f t="shared" si="8"/>
        <v>0</v>
      </c>
      <c r="R8" s="49"/>
      <c r="S8" s="56">
        <v>4545.4544999999998</v>
      </c>
      <c r="T8" s="42">
        <f t="shared" si="9"/>
        <v>0</v>
      </c>
      <c r="U8" s="42">
        <f t="shared" si="10"/>
        <v>0</v>
      </c>
      <c r="V8" s="42">
        <f t="shared" si="11"/>
        <v>0</v>
      </c>
      <c r="W8" s="46">
        <f t="shared" si="12"/>
        <v>0</v>
      </c>
    </row>
    <row r="9" spans="1:23" s="9" customFormat="1" x14ac:dyDescent="0.3">
      <c r="A9" s="54">
        <v>5</v>
      </c>
      <c r="B9" s="19">
        <v>46139</v>
      </c>
      <c r="C9" s="63"/>
      <c r="D9" s="40">
        <v>2268519</v>
      </c>
      <c r="E9" s="55">
        <f t="shared" si="0"/>
        <v>0</v>
      </c>
      <c r="F9" s="55">
        <f t="shared" si="1"/>
        <v>0</v>
      </c>
      <c r="G9" s="55">
        <f t="shared" si="2"/>
        <v>0</v>
      </c>
      <c r="H9" s="64"/>
      <c r="I9" s="40">
        <v>2268519</v>
      </c>
      <c r="J9" s="42">
        <f t="shared" si="3"/>
        <v>0</v>
      </c>
      <c r="K9" s="42">
        <f t="shared" si="4"/>
        <v>0</v>
      </c>
      <c r="L9" s="42">
        <f t="shared" si="5"/>
        <v>0</v>
      </c>
      <c r="M9" s="15"/>
      <c r="N9" s="44">
        <v>6363.6360000000004</v>
      </c>
      <c r="O9" s="42">
        <f t="shared" si="6"/>
        <v>0</v>
      </c>
      <c r="P9" s="42">
        <f t="shared" si="7"/>
        <v>0</v>
      </c>
      <c r="Q9" s="42">
        <f t="shared" si="8"/>
        <v>0</v>
      </c>
      <c r="R9" s="48"/>
      <c r="S9" s="56">
        <v>4545.4544999999998</v>
      </c>
      <c r="T9" s="42">
        <f t="shared" si="9"/>
        <v>0</v>
      </c>
      <c r="U9" s="42">
        <f t="shared" si="10"/>
        <v>0</v>
      </c>
      <c r="V9" s="42">
        <f t="shared" si="11"/>
        <v>0</v>
      </c>
      <c r="W9" s="46">
        <f t="shared" si="12"/>
        <v>0</v>
      </c>
    </row>
    <row r="10" spans="1:23" s="9" customFormat="1" x14ac:dyDescent="0.3">
      <c r="A10" s="54">
        <v>6</v>
      </c>
      <c r="B10" s="19">
        <v>46140</v>
      </c>
      <c r="C10" s="63">
        <v>0.33</v>
      </c>
      <c r="D10" s="40">
        <v>2268519</v>
      </c>
      <c r="E10" s="55">
        <f t="shared" si="0"/>
        <v>748611</v>
      </c>
      <c r="F10" s="55">
        <f t="shared" si="1"/>
        <v>59889</v>
      </c>
      <c r="G10" s="55">
        <f t="shared" si="2"/>
        <v>808500</v>
      </c>
      <c r="H10" s="64">
        <v>0.13</v>
      </c>
      <c r="I10" s="40">
        <v>2268519</v>
      </c>
      <c r="J10" s="42">
        <f t="shared" si="3"/>
        <v>294907</v>
      </c>
      <c r="K10" s="42">
        <f t="shared" si="4"/>
        <v>23593</v>
      </c>
      <c r="L10" s="42">
        <f t="shared" si="5"/>
        <v>318500</v>
      </c>
      <c r="M10" s="15"/>
      <c r="N10" s="44">
        <v>6363.6360000000004</v>
      </c>
      <c r="O10" s="42">
        <f t="shared" si="6"/>
        <v>0</v>
      </c>
      <c r="P10" s="42">
        <f t="shared" si="7"/>
        <v>0</v>
      </c>
      <c r="Q10" s="42">
        <f t="shared" si="8"/>
        <v>0</v>
      </c>
      <c r="R10" s="48"/>
      <c r="S10" s="56">
        <v>4545.4544999999998</v>
      </c>
      <c r="T10" s="42">
        <f t="shared" si="9"/>
        <v>0</v>
      </c>
      <c r="U10" s="42">
        <f t="shared" si="10"/>
        <v>0</v>
      </c>
      <c r="V10" s="42">
        <f t="shared" si="11"/>
        <v>0</v>
      </c>
      <c r="W10" s="46">
        <f t="shared" si="12"/>
        <v>1127000</v>
      </c>
    </row>
    <row r="11" spans="1:23" s="21" customFormat="1" x14ac:dyDescent="0.3">
      <c r="A11" s="54">
        <v>7</v>
      </c>
      <c r="B11" s="19">
        <v>46141</v>
      </c>
      <c r="C11" s="63">
        <v>0.25</v>
      </c>
      <c r="D11" s="40">
        <v>2268519</v>
      </c>
      <c r="E11" s="55">
        <f t="shared" si="0"/>
        <v>567130</v>
      </c>
      <c r="F11" s="55">
        <f t="shared" si="1"/>
        <v>45370</v>
      </c>
      <c r="G11" s="55">
        <f t="shared" si="2"/>
        <v>612500</v>
      </c>
      <c r="H11" s="64"/>
      <c r="I11" s="40">
        <v>2268519</v>
      </c>
      <c r="J11" s="42">
        <f t="shared" si="3"/>
        <v>0</v>
      </c>
      <c r="K11" s="42">
        <f t="shared" si="4"/>
        <v>0</v>
      </c>
      <c r="L11" s="42">
        <f t="shared" si="5"/>
        <v>0</v>
      </c>
      <c r="M11" s="15"/>
      <c r="N11" s="44">
        <v>6363.6360000000004</v>
      </c>
      <c r="O11" s="42">
        <f t="shared" si="6"/>
        <v>0</v>
      </c>
      <c r="P11" s="42">
        <f t="shared" si="7"/>
        <v>0</v>
      </c>
      <c r="Q11" s="42">
        <f t="shared" si="8"/>
        <v>0</v>
      </c>
      <c r="R11" s="49"/>
      <c r="S11" s="56">
        <v>4545.4544999999998</v>
      </c>
      <c r="T11" s="42">
        <f t="shared" si="9"/>
        <v>0</v>
      </c>
      <c r="U11" s="42">
        <f t="shared" si="10"/>
        <v>0</v>
      </c>
      <c r="V11" s="42">
        <f t="shared" si="11"/>
        <v>0</v>
      </c>
      <c r="W11" s="46">
        <f t="shared" si="12"/>
        <v>612500</v>
      </c>
    </row>
    <row r="12" spans="1:23" s="21" customFormat="1" x14ac:dyDescent="0.3">
      <c r="A12" s="54">
        <v>8</v>
      </c>
      <c r="B12" s="19">
        <v>46142</v>
      </c>
      <c r="C12" s="63"/>
      <c r="D12" s="40">
        <v>2268519</v>
      </c>
      <c r="E12" s="55">
        <f t="shared" si="0"/>
        <v>0</v>
      </c>
      <c r="F12" s="55">
        <f t="shared" si="1"/>
        <v>0</v>
      </c>
      <c r="G12" s="55">
        <f t="shared" si="2"/>
        <v>0</v>
      </c>
      <c r="H12" s="64"/>
      <c r="I12" s="40">
        <v>2268519</v>
      </c>
      <c r="J12" s="42">
        <f t="shared" si="3"/>
        <v>0</v>
      </c>
      <c r="K12" s="42">
        <f t="shared" si="4"/>
        <v>0</v>
      </c>
      <c r="L12" s="42">
        <f t="shared" si="5"/>
        <v>0</v>
      </c>
      <c r="M12" s="15"/>
      <c r="N12" s="44">
        <v>6363.6360000000004</v>
      </c>
      <c r="O12" s="42">
        <f t="shared" si="6"/>
        <v>0</v>
      </c>
      <c r="P12" s="42">
        <f t="shared" si="7"/>
        <v>0</v>
      </c>
      <c r="Q12" s="42">
        <f t="shared" si="8"/>
        <v>0</v>
      </c>
      <c r="R12" s="49"/>
      <c r="S12" s="56">
        <v>4545.4544999999998</v>
      </c>
      <c r="T12" s="42">
        <f t="shared" si="9"/>
        <v>0</v>
      </c>
      <c r="U12" s="42">
        <f t="shared" si="10"/>
        <v>0</v>
      </c>
      <c r="V12" s="42">
        <f t="shared" si="11"/>
        <v>0</v>
      </c>
      <c r="W12" s="46">
        <f t="shared" si="12"/>
        <v>0</v>
      </c>
    </row>
    <row r="13" spans="1:23" s="9" customFormat="1" x14ac:dyDescent="0.3">
      <c r="A13" s="54">
        <v>9</v>
      </c>
      <c r="B13" s="19">
        <v>46143</v>
      </c>
      <c r="C13" s="63"/>
      <c r="D13" s="40">
        <v>2268519</v>
      </c>
      <c r="E13" s="55">
        <f t="shared" si="0"/>
        <v>0</v>
      </c>
      <c r="F13" s="55">
        <f t="shared" si="1"/>
        <v>0</v>
      </c>
      <c r="G13" s="55">
        <f t="shared" si="2"/>
        <v>0</v>
      </c>
      <c r="H13" s="64"/>
      <c r="I13" s="40">
        <v>2268519</v>
      </c>
      <c r="J13" s="42">
        <f t="shared" si="3"/>
        <v>0</v>
      </c>
      <c r="K13" s="42">
        <f t="shared" si="4"/>
        <v>0</v>
      </c>
      <c r="L13" s="42">
        <f t="shared" si="5"/>
        <v>0</v>
      </c>
      <c r="M13" s="15"/>
      <c r="N13" s="44">
        <v>6363.6360000000004</v>
      </c>
      <c r="O13" s="42">
        <f t="shared" si="6"/>
        <v>0</v>
      </c>
      <c r="P13" s="42">
        <f t="shared" si="7"/>
        <v>0</v>
      </c>
      <c r="Q13" s="42">
        <f t="shared" si="8"/>
        <v>0</v>
      </c>
      <c r="R13" s="48"/>
      <c r="S13" s="56">
        <v>4545.4544999999998</v>
      </c>
      <c r="T13" s="42">
        <f t="shared" si="9"/>
        <v>0</v>
      </c>
      <c r="U13" s="42">
        <f t="shared" si="10"/>
        <v>0</v>
      </c>
      <c r="V13" s="42">
        <f t="shared" si="11"/>
        <v>0</v>
      </c>
      <c r="W13" s="46">
        <f t="shared" si="12"/>
        <v>0</v>
      </c>
    </row>
    <row r="14" spans="1:23" s="21" customFormat="1" x14ac:dyDescent="0.3">
      <c r="A14" s="54">
        <v>10</v>
      </c>
      <c r="B14" s="19">
        <v>46144</v>
      </c>
      <c r="C14" s="63"/>
      <c r="D14" s="40">
        <v>2268519</v>
      </c>
      <c r="E14" s="55">
        <f t="shared" si="0"/>
        <v>0</v>
      </c>
      <c r="F14" s="55">
        <f t="shared" si="1"/>
        <v>0</v>
      </c>
      <c r="G14" s="55">
        <f t="shared" si="2"/>
        <v>0</v>
      </c>
      <c r="H14" s="64"/>
      <c r="I14" s="40">
        <v>2268519</v>
      </c>
      <c r="J14" s="42">
        <f t="shared" si="3"/>
        <v>0</v>
      </c>
      <c r="K14" s="42">
        <f t="shared" si="4"/>
        <v>0</v>
      </c>
      <c r="L14" s="42">
        <f t="shared" si="5"/>
        <v>0</v>
      </c>
      <c r="M14" s="15"/>
      <c r="N14" s="44">
        <v>6363.6360000000004</v>
      </c>
      <c r="O14" s="42">
        <f t="shared" si="6"/>
        <v>0</v>
      </c>
      <c r="P14" s="42">
        <f t="shared" si="7"/>
        <v>0</v>
      </c>
      <c r="Q14" s="42">
        <f t="shared" si="8"/>
        <v>0</v>
      </c>
      <c r="R14" s="49"/>
      <c r="S14" s="56">
        <v>4545.4544999999998</v>
      </c>
      <c r="T14" s="42">
        <f t="shared" si="9"/>
        <v>0</v>
      </c>
      <c r="U14" s="42">
        <f t="shared" si="10"/>
        <v>0</v>
      </c>
      <c r="V14" s="42">
        <f t="shared" si="11"/>
        <v>0</v>
      </c>
      <c r="W14" s="46">
        <f t="shared" si="12"/>
        <v>0</v>
      </c>
    </row>
    <row r="15" spans="1:23" s="9" customFormat="1" x14ac:dyDescent="0.3">
      <c r="A15" s="54">
        <v>11</v>
      </c>
      <c r="B15" s="19">
        <v>46145</v>
      </c>
      <c r="C15" s="63"/>
      <c r="D15" s="40">
        <v>2268519</v>
      </c>
      <c r="E15" s="55">
        <f t="shared" si="0"/>
        <v>0</v>
      </c>
      <c r="F15" s="55">
        <f t="shared" si="1"/>
        <v>0</v>
      </c>
      <c r="G15" s="55">
        <f t="shared" si="2"/>
        <v>0</v>
      </c>
      <c r="H15" s="64"/>
      <c r="I15" s="40">
        <v>2268519</v>
      </c>
      <c r="J15" s="42">
        <f t="shared" si="3"/>
        <v>0</v>
      </c>
      <c r="K15" s="42">
        <f t="shared" si="4"/>
        <v>0</v>
      </c>
      <c r="L15" s="42">
        <f t="shared" si="5"/>
        <v>0</v>
      </c>
      <c r="M15" s="15"/>
      <c r="N15" s="44">
        <v>6363.6360000000004</v>
      </c>
      <c r="O15" s="42">
        <f t="shared" si="6"/>
        <v>0</v>
      </c>
      <c r="P15" s="42">
        <f t="shared" si="7"/>
        <v>0</v>
      </c>
      <c r="Q15" s="42">
        <f t="shared" si="8"/>
        <v>0</v>
      </c>
      <c r="R15" s="48"/>
      <c r="S15" s="56">
        <v>4545.4544999999998</v>
      </c>
      <c r="T15" s="42">
        <f t="shared" si="9"/>
        <v>0</v>
      </c>
      <c r="U15" s="42">
        <f t="shared" si="10"/>
        <v>0</v>
      </c>
      <c r="V15" s="42">
        <f t="shared" si="11"/>
        <v>0</v>
      </c>
      <c r="W15" s="46">
        <f t="shared" si="12"/>
        <v>0</v>
      </c>
    </row>
    <row r="16" spans="1:23" s="9" customFormat="1" x14ac:dyDescent="0.3">
      <c r="A16" s="54">
        <v>12</v>
      </c>
      <c r="B16" s="19">
        <v>46146</v>
      </c>
      <c r="C16" s="63">
        <v>0.33</v>
      </c>
      <c r="D16" s="40">
        <v>2268519</v>
      </c>
      <c r="E16" s="55">
        <f t="shared" si="0"/>
        <v>748611</v>
      </c>
      <c r="F16" s="55">
        <f t="shared" si="1"/>
        <v>59889</v>
      </c>
      <c r="G16" s="55">
        <f t="shared" si="2"/>
        <v>808500</v>
      </c>
      <c r="H16" s="64">
        <v>0.13</v>
      </c>
      <c r="I16" s="40">
        <v>2268519</v>
      </c>
      <c r="J16" s="42">
        <f t="shared" si="3"/>
        <v>294907</v>
      </c>
      <c r="K16" s="42">
        <f t="shared" si="4"/>
        <v>23593</v>
      </c>
      <c r="L16" s="42">
        <f t="shared" si="5"/>
        <v>318500</v>
      </c>
      <c r="M16" s="15"/>
      <c r="N16" s="44">
        <v>6363.6360000000004</v>
      </c>
      <c r="O16" s="42">
        <f t="shared" si="6"/>
        <v>0</v>
      </c>
      <c r="P16" s="42">
        <f t="shared" si="7"/>
        <v>0</v>
      </c>
      <c r="Q16" s="42">
        <f t="shared" si="8"/>
        <v>0</v>
      </c>
      <c r="R16" s="48"/>
      <c r="S16" s="56">
        <v>4545.4544999999998</v>
      </c>
      <c r="T16" s="42">
        <f t="shared" si="9"/>
        <v>0</v>
      </c>
      <c r="U16" s="42">
        <f t="shared" si="10"/>
        <v>0</v>
      </c>
      <c r="V16" s="42">
        <f t="shared" si="11"/>
        <v>0</v>
      </c>
      <c r="W16" s="46">
        <f t="shared" si="12"/>
        <v>1127000</v>
      </c>
    </row>
    <row r="17" spans="1:23" s="21" customFormat="1" x14ac:dyDescent="0.3">
      <c r="A17" s="54">
        <v>13</v>
      </c>
      <c r="B17" s="19">
        <v>46147</v>
      </c>
      <c r="C17" s="63">
        <v>0.25</v>
      </c>
      <c r="D17" s="40">
        <v>2268519</v>
      </c>
      <c r="E17" s="55">
        <f t="shared" si="0"/>
        <v>567130</v>
      </c>
      <c r="F17" s="55">
        <f t="shared" si="1"/>
        <v>45370</v>
      </c>
      <c r="G17" s="55">
        <f t="shared" si="2"/>
        <v>612500</v>
      </c>
      <c r="H17" s="64"/>
      <c r="I17" s="40">
        <v>2268519</v>
      </c>
      <c r="J17" s="42">
        <f t="shared" si="3"/>
        <v>0</v>
      </c>
      <c r="K17" s="42">
        <f t="shared" si="4"/>
        <v>0</v>
      </c>
      <c r="L17" s="42">
        <f t="shared" si="5"/>
        <v>0</v>
      </c>
      <c r="M17" s="15"/>
      <c r="N17" s="44">
        <v>6363.6360000000004</v>
      </c>
      <c r="O17" s="42">
        <f t="shared" si="6"/>
        <v>0</v>
      </c>
      <c r="P17" s="42">
        <f t="shared" si="7"/>
        <v>0</v>
      </c>
      <c r="Q17" s="42">
        <f t="shared" si="8"/>
        <v>0</v>
      </c>
      <c r="R17" s="49"/>
      <c r="S17" s="56">
        <v>4545.4544999999998</v>
      </c>
      <c r="T17" s="42">
        <f t="shared" si="9"/>
        <v>0</v>
      </c>
      <c r="U17" s="42">
        <f t="shared" si="10"/>
        <v>0</v>
      </c>
      <c r="V17" s="42">
        <f t="shared" si="11"/>
        <v>0</v>
      </c>
      <c r="W17" s="46">
        <f t="shared" si="12"/>
        <v>612500</v>
      </c>
    </row>
    <row r="18" spans="1:23" s="21" customFormat="1" x14ac:dyDescent="0.3">
      <c r="A18" s="54">
        <v>14</v>
      </c>
      <c r="B18" s="19">
        <v>46148</v>
      </c>
      <c r="C18" s="63">
        <v>0.75</v>
      </c>
      <c r="D18" s="40">
        <v>2268519</v>
      </c>
      <c r="E18" s="55">
        <f t="shared" si="0"/>
        <v>1701389</v>
      </c>
      <c r="F18" s="55">
        <f t="shared" si="1"/>
        <v>136111</v>
      </c>
      <c r="G18" s="55">
        <f t="shared" si="2"/>
        <v>1837500</v>
      </c>
      <c r="H18" s="64">
        <v>7.0000000000000007E-2</v>
      </c>
      <c r="I18" s="40">
        <v>2268519</v>
      </c>
      <c r="J18" s="42">
        <f t="shared" si="3"/>
        <v>158796</v>
      </c>
      <c r="K18" s="42">
        <f t="shared" si="4"/>
        <v>12704</v>
      </c>
      <c r="L18" s="42">
        <f t="shared" si="5"/>
        <v>171500</v>
      </c>
      <c r="M18" s="15"/>
      <c r="N18" s="44">
        <v>6363.6360000000004</v>
      </c>
      <c r="O18" s="42">
        <f t="shared" si="6"/>
        <v>0</v>
      </c>
      <c r="P18" s="42">
        <f t="shared" si="7"/>
        <v>0</v>
      </c>
      <c r="Q18" s="42">
        <f t="shared" si="8"/>
        <v>0</v>
      </c>
      <c r="R18" s="49"/>
      <c r="S18" s="56">
        <v>4545.4544999999998</v>
      </c>
      <c r="T18" s="42">
        <f t="shared" si="9"/>
        <v>0</v>
      </c>
      <c r="U18" s="42">
        <f t="shared" si="10"/>
        <v>0</v>
      </c>
      <c r="V18" s="42">
        <f t="shared" si="11"/>
        <v>0</v>
      </c>
      <c r="W18" s="46">
        <f t="shared" si="12"/>
        <v>2009000</v>
      </c>
    </row>
    <row r="19" spans="1:23" s="9" customFormat="1" x14ac:dyDescent="0.3">
      <c r="A19" s="54">
        <v>15</v>
      </c>
      <c r="B19" s="19">
        <v>46149</v>
      </c>
      <c r="C19" s="63">
        <v>0.5</v>
      </c>
      <c r="D19" s="40">
        <v>2268519</v>
      </c>
      <c r="E19" s="55">
        <f t="shared" si="0"/>
        <v>1134260</v>
      </c>
      <c r="F19" s="55">
        <f t="shared" si="1"/>
        <v>90741</v>
      </c>
      <c r="G19" s="55">
        <f t="shared" si="2"/>
        <v>1225001</v>
      </c>
      <c r="H19" s="64">
        <v>7.0000000000000007E-2</v>
      </c>
      <c r="I19" s="40">
        <v>2268519</v>
      </c>
      <c r="J19" s="42">
        <f t="shared" si="3"/>
        <v>158796</v>
      </c>
      <c r="K19" s="42">
        <f t="shared" si="4"/>
        <v>12704</v>
      </c>
      <c r="L19" s="42">
        <f t="shared" si="5"/>
        <v>171500</v>
      </c>
      <c r="M19" s="15"/>
      <c r="N19" s="44">
        <v>6363.6360000000004</v>
      </c>
      <c r="O19" s="42">
        <f t="shared" si="6"/>
        <v>0</v>
      </c>
      <c r="P19" s="42">
        <f t="shared" si="7"/>
        <v>0</v>
      </c>
      <c r="Q19" s="42">
        <f t="shared" si="8"/>
        <v>0</v>
      </c>
      <c r="R19" s="48"/>
      <c r="S19" s="56">
        <v>4545.4544999999998</v>
      </c>
      <c r="T19" s="42">
        <f t="shared" si="9"/>
        <v>0</v>
      </c>
      <c r="U19" s="42">
        <f t="shared" si="10"/>
        <v>0</v>
      </c>
      <c r="V19" s="42">
        <f t="shared" si="11"/>
        <v>0</v>
      </c>
      <c r="W19" s="46">
        <f t="shared" si="12"/>
        <v>1396501</v>
      </c>
    </row>
    <row r="20" spans="1:23" s="21" customFormat="1" x14ac:dyDescent="0.3">
      <c r="A20" s="54">
        <v>16</v>
      </c>
      <c r="B20" s="19">
        <v>46150</v>
      </c>
      <c r="C20" s="63">
        <v>0.5</v>
      </c>
      <c r="D20" s="40">
        <v>2268519</v>
      </c>
      <c r="E20" s="55">
        <f t="shared" si="0"/>
        <v>1134260</v>
      </c>
      <c r="F20" s="55">
        <f t="shared" si="1"/>
        <v>90741</v>
      </c>
      <c r="G20" s="55">
        <f t="shared" si="2"/>
        <v>1225001</v>
      </c>
      <c r="H20" s="64">
        <v>7.0000000000000007E-2</v>
      </c>
      <c r="I20" s="40">
        <v>2268519</v>
      </c>
      <c r="J20" s="42">
        <f t="shared" si="3"/>
        <v>158796</v>
      </c>
      <c r="K20" s="42">
        <f t="shared" si="4"/>
        <v>12704</v>
      </c>
      <c r="L20" s="42">
        <f t="shared" si="5"/>
        <v>171500</v>
      </c>
      <c r="M20" s="15"/>
      <c r="N20" s="44">
        <v>6363.6360000000004</v>
      </c>
      <c r="O20" s="42">
        <f t="shared" si="6"/>
        <v>0</v>
      </c>
      <c r="P20" s="42">
        <f t="shared" si="7"/>
        <v>0</v>
      </c>
      <c r="Q20" s="42">
        <f t="shared" si="8"/>
        <v>0</v>
      </c>
      <c r="R20" s="49"/>
      <c r="S20" s="56">
        <v>4545.4544999999998</v>
      </c>
      <c r="T20" s="42">
        <f t="shared" si="9"/>
        <v>0</v>
      </c>
      <c r="U20" s="42">
        <f t="shared" si="10"/>
        <v>0</v>
      </c>
      <c r="V20" s="42">
        <f t="shared" si="11"/>
        <v>0</v>
      </c>
      <c r="W20" s="46">
        <f>G20+L20+Q20+V20</f>
        <v>1396501</v>
      </c>
    </row>
    <row r="21" spans="1:23" s="21" customFormat="1" x14ac:dyDescent="0.3">
      <c r="A21" s="54">
        <v>17</v>
      </c>
      <c r="B21" s="19">
        <v>46151</v>
      </c>
      <c r="C21" s="63">
        <v>0.5</v>
      </c>
      <c r="D21" s="40">
        <v>2268519</v>
      </c>
      <c r="E21" s="55">
        <f t="shared" si="0"/>
        <v>1134260</v>
      </c>
      <c r="F21" s="55">
        <f t="shared" si="1"/>
        <v>90741</v>
      </c>
      <c r="G21" s="55">
        <f t="shared" si="2"/>
        <v>1225001</v>
      </c>
      <c r="H21" s="64">
        <v>7.0000000000000007E-2</v>
      </c>
      <c r="I21" s="40">
        <v>2268519</v>
      </c>
      <c r="J21" s="42">
        <f t="shared" si="3"/>
        <v>158796</v>
      </c>
      <c r="K21" s="42">
        <f t="shared" si="4"/>
        <v>12704</v>
      </c>
      <c r="L21" s="42">
        <f t="shared" si="5"/>
        <v>171500</v>
      </c>
      <c r="M21" s="15"/>
      <c r="N21" s="44">
        <v>6363.6360000000004</v>
      </c>
      <c r="O21" s="42">
        <f t="shared" si="6"/>
        <v>0</v>
      </c>
      <c r="P21" s="42">
        <f t="shared" si="7"/>
        <v>0</v>
      </c>
      <c r="Q21" s="42">
        <f t="shared" si="8"/>
        <v>0</v>
      </c>
      <c r="R21" s="49"/>
      <c r="S21" s="56">
        <v>4545.4544999999998</v>
      </c>
      <c r="T21" s="42">
        <f t="shared" si="9"/>
        <v>0</v>
      </c>
      <c r="U21" s="42">
        <f t="shared" si="10"/>
        <v>0</v>
      </c>
      <c r="V21" s="42">
        <f t="shared" si="11"/>
        <v>0</v>
      </c>
      <c r="W21" s="46">
        <f t="shared" si="12"/>
        <v>1396501</v>
      </c>
    </row>
    <row r="22" spans="1:23" s="9" customFormat="1" x14ac:dyDescent="0.3">
      <c r="A22" s="54">
        <v>18</v>
      </c>
      <c r="B22" s="19">
        <v>46152</v>
      </c>
      <c r="C22" s="63">
        <v>0.2</v>
      </c>
      <c r="D22" s="40">
        <v>2268519</v>
      </c>
      <c r="E22" s="55">
        <f t="shared" si="0"/>
        <v>453704</v>
      </c>
      <c r="F22" s="55">
        <f t="shared" si="1"/>
        <v>36296</v>
      </c>
      <c r="G22" s="55">
        <f t="shared" si="2"/>
        <v>490000</v>
      </c>
      <c r="H22" s="64"/>
      <c r="I22" s="40">
        <v>2268519</v>
      </c>
      <c r="J22" s="42">
        <f t="shared" si="3"/>
        <v>0</v>
      </c>
      <c r="K22" s="42">
        <f t="shared" si="4"/>
        <v>0</v>
      </c>
      <c r="L22" s="42">
        <f t="shared" si="5"/>
        <v>0</v>
      </c>
      <c r="M22" s="15"/>
      <c r="N22" s="44">
        <v>6363.6360000000004</v>
      </c>
      <c r="O22" s="42">
        <f t="shared" si="6"/>
        <v>0</v>
      </c>
      <c r="P22" s="42">
        <f t="shared" si="7"/>
        <v>0</v>
      </c>
      <c r="Q22" s="42">
        <f t="shared" si="8"/>
        <v>0</v>
      </c>
      <c r="R22" s="48"/>
      <c r="S22" s="56">
        <v>4545.4544999999998</v>
      </c>
      <c r="T22" s="42">
        <f t="shared" si="9"/>
        <v>0</v>
      </c>
      <c r="U22" s="42">
        <f t="shared" si="10"/>
        <v>0</v>
      </c>
      <c r="V22" s="42">
        <f t="shared" si="11"/>
        <v>0</v>
      </c>
      <c r="W22" s="46">
        <f t="shared" si="12"/>
        <v>490000</v>
      </c>
    </row>
    <row r="23" spans="1:23" s="21" customFormat="1" x14ac:dyDescent="0.3">
      <c r="A23" s="54">
        <v>19</v>
      </c>
      <c r="B23" s="19">
        <v>46153</v>
      </c>
      <c r="C23" s="63">
        <v>0.5</v>
      </c>
      <c r="D23" s="40">
        <v>2268519</v>
      </c>
      <c r="E23" s="55">
        <f t="shared" si="0"/>
        <v>1134260</v>
      </c>
      <c r="F23" s="55">
        <f t="shared" si="1"/>
        <v>90741</v>
      </c>
      <c r="G23" s="55">
        <f t="shared" si="2"/>
        <v>1225001</v>
      </c>
      <c r="H23" s="64">
        <v>0.13</v>
      </c>
      <c r="I23" s="40">
        <v>2268519</v>
      </c>
      <c r="J23" s="42">
        <f t="shared" si="3"/>
        <v>294907</v>
      </c>
      <c r="K23" s="42">
        <f t="shared" si="4"/>
        <v>23593</v>
      </c>
      <c r="L23" s="42">
        <f t="shared" si="5"/>
        <v>318500</v>
      </c>
      <c r="M23" s="15"/>
      <c r="N23" s="44">
        <v>6363.6360000000004</v>
      </c>
      <c r="O23" s="42">
        <f t="shared" si="6"/>
        <v>0</v>
      </c>
      <c r="P23" s="42">
        <f t="shared" si="7"/>
        <v>0</v>
      </c>
      <c r="Q23" s="42">
        <f t="shared" si="8"/>
        <v>0</v>
      </c>
      <c r="R23" s="49"/>
      <c r="S23" s="56">
        <v>4545.4544999999998</v>
      </c>
      <c r="T23" s="42">
        <f t="shared" si="9"/>
        <v>0</v>
      </c>
      <c r="U23" s="42">
        <f t="shared" si="10"/>
        <v>0</v>
      </c>
      <c r="V23" s="42">
        <f t="shared" si="11"/>
        <v>0</v>
      </c>
      <c r="W23" s="46">
        <f t="shared" si="12"/>
        <v>1543501</v>
      </c>
    </row>
    <row r="24" spans="1:23" s="9" customFormat="1" x14ac:dyDescent="0.3">
      <c r="A24" s="54">
        <v>20</v>
      </c>
      <c r="B24" s="19">
        <v>46154</v>
      </c>
      <c r="C24" s="63">
        <v>0.5</v>
      </c>
      <c r="D24" s="40">
        <v>2268519</v>
      </c>
      <c r="E24" s="55">
        <f t="shared" si="0"/>
        <v>1134260</v>
      </c>
      <c r="F24" s="55">
        <f t="shared" si="1"/>
        <v>90741</v>
      </c>
      <c r="G24" s="55">
        <f t="shared" si="2"/>
        <v>1225001</v>
      </c>
      <c r="H24" s="64">
        <v>7.0000000000000007E-2</v>
      </c>
      <c r="I24" s="40">
        <v>2268519</v>
      </c>
      <c r="J24" s="42">
        <f t="shared" si="3"/>
        <v>158796</v>
      </c>
      <c r="K24" s="42">
        <f t="shared" si="4"/>
        <v>12704</v>
      </c>
      <c r="L24" s="42">
        <f t="shared" si="5"/>
        <v>171500</v>
      </c>
      <c r="M24" s="15"/>
      <c r="N24" s="44">
        <v>6363.6360000000004</v>
      </c>
      <c r="O24" s="42">
        <f t="shared" si="6"/>
        <v>0</v>
      </c>
      <c r="P24" s="42">
        <f t="shared" si="7"/>
        <v>0</v>
      </c>
      <c r="Q24" s="42">
        <f t="shared" si="8"/>
        <v>0</v>
      </c>
      <c r="R24" s="48"/>
      <c r="S24" s="56">
        <v>4545.4544999999998</v>
      </c>
      <c r="T24" s="42">
        <f t="shared" si="9"/>
        <v>0</v>
      </c>
      <c r="U24" s="42">
        <f t="shared" si="10"/>
        <v>0</v>
      </c>
      <c r="V24" s="42">
        <f t="shared" si="11"/>
        <v>0</v>
      </c>
      <c r="W24" s="46">
        <f t="shared" si="12"/>
        <v>1396501</v>
      </c>
    </row>
    <row r="25" spans="1:23" s="9" customFormat="1" x14ac:dyDescent="0.3">
      <c r="A25" s="54">
        <v>21</v>
      </c>
      <c r="B25" s="19">
        <v>46155</v>
      </c>
      <c r="C25" s="63">
        <v>0.5</v>
      </c>
      <c r="D25" s="40">
        <v>2268519</v>
      </c>
      <c r="E25" s="55">
        <f t="shared" si="0"/>
        <v>1134260</v>
      </c>
      <c r="F25" s="55">
        <f t="shared" si="1"/>
        <v>90741</v>
      </c>
      <c r="G25" s="55">
        <f t="shared" si="2"/>
        <v>1225001</v>
      </c>
      <c r="H25" s="64">
        <v>7.0000000000000007E-2</v>
      </c>
      <c r="I25" s="40">
        <v>2268519</v>
      </c>
      <c r="J25" s="42">
        <f t="shared" si="3"/>
        <v>158796</v>
      </c>
      <c r="K25" s="42">
        <f t="shared" si="4"/>
        <v>12704</v>
      </c>
      <c r="L25" s="42">
        <f t="shared" si="5"/>
        <v>171500</v>
      </c>
      <c r="M25" s="15"/>
      <c r="N25" s="44">
        <v>6363.6360000000004</v>
      </c>
      <c r="O25" s="42">
        <f t="shared" si="6"/>
        <v>0</v>
      </c>
      <c r="P25" s="42">
        <f t="shared" si="7"/>
        <v>0</v>
      </c>
      <c r="Q25" s="42">
        <f t="shared" si="8"/>
        <v>0</v>
      </c>
      <c r="R25" s="48"/>
      <c r="S25" s="56">
        <v>4545.4544999999998</v>
      </c>
      <c r="T25" s="42">
        <f t="shared" si="9"/>
        <v>0</v>
      </c>
      <c r="U25" s="42">
        <f t="shared" si="10"/>
        <v>0</v>
      </c>
      <c r="V25" s="42">
        <f t="shared" si="11"/>
        <v>0</v>
      </c>
      <c r="W25" s="46">
        <f t="shared" si="12"/>
        <v>1396501</v>
      </c>
    </row>
    <row r="26" spans="1:23" s="21" customFormat="1" x14ac:dyDescent="0.3">
      <c r="A26" s="54">
        <v>22</v>
      </c>
      <c r="B26" s="19">
        <v>46156</v>
      </c>
      <c r="C26" s="63">
        <v>0.33</v>
      </c>
      <c r="D26" s="40">
        <v>2268519</v>
      </c>
      <c r="E26" s="55">
        <f t="shared" si="0"/>
        <v>748611</v>
      </c>
      <c r="F26" s="55">
        <f t="shared" si="1"/>
        <v>59889</v>
      </c>
      <c r="G26" s="55">
        <f t="shared" si="2"/>
        <v>808500</v>
      </c>
      <c r="H26" s="64"/>
      <c r="I26" s="40">
        <v>2268519</v>
      </c>
      <c r="J26" s="42">
        <f t="shared" si="3"/>
        <v>0</v>
      </c>
      <c r="K26" s="42">
        <f t="shared" si="4"/>
        <v>0</v>
      </c>
      <c r="L26" s="42">
        <f t="shared" si="5"/>
        <v>0</v>
      </c>
      <c r="M26" s="15"/>
      <c r="N26" s="44">
        <v>6363.6360000000004</v>
      </c>
      <c r="O26" s="42">
        <f t="shared" si="6"/>
        <v>0</v>
      </c>
      <c r="P26" s="42">
        <f t="shared" si="7"/>
        <v>0</v>
      </c>
      <c r="Q26" s="42">
        <f t="shared" si="8"/>
        <v>0</v>
      </c>
      <c r="R26" s="49"/>
      <c r="S26" s="56">
        <v>4545.4544999999998</v>
      </c>
      <c r="T26" s="42">
        <f t="shared" si="9"/>
        <v>0</v>
      </c>
      <c r="U26" s="42">
        <f t="shared" si="10"/>
        <v>0</v>
      </c>
      <c r="V26" s="42">
        <f t="shared" si="11"/>
        <v>0</v>
      </c>
      <c r="W26" s="46">
        <f t="shared" si="12"/>
        <v>808500</v>
      </c>
    </row>
    <row r="27" spans="1:23" s="9" customFormat="1" x14ac:dyDescent="0.3">
      <c r="A27" s="54">
        <v>23</v>
      </c>
      <c r="B27" s="19">
        <v>46157</v>
      </c>
      <c r="C27" s="63">
        <v>0.5</v>
      </c>
      <c r="D27" s="40">
        <v>2268519</v>
      </c>
      <c r="E27" s="55">
        <f t="shared" si="0"/>
        <v>1134260</v>
      </c>
      <c r="F27" s="55">
        <f t="shared" si="1"/>
        <v>90741</v>
      </c>
      <c r="G27" s="55">
        <f t="shared" si="2"/>
        <v>1225001</v>
      </c>
      <c r="H27" s="64">
        <v>7.0000000000000007E-2</v>
      </c>
      <c r="I27" s="40">
        <v>2268519</v>
      </c>
      <c r="J27" s="42">
        <f t="shared" si="3"/>
        <v>158796</v>
      </c>
      <c r="K27" s="42">
        <f t="shared" si="4"/>
        <v>12704</v>
      </c>
      <c r="L27" s="42">
        <f t="shared" si="5"/>
        <v>171500</v>
      </c>
      <c r="M27" s="15"/>
      <c r="N27" s="44">
        <v>6363.6360000000004</v>
      </c>
      <c r="O27" s="42">
        <f t="shared" si="6"/>
        <v>0</v>
      </c>
      <c r="P27" s="42">
        <f t="shared" si="7"/>
        <v>0</v>
      </c>
      <c r="Q27" s="42">
        <f t="shared" si="8"/>
        <v>0</v>
      </c>
      <c r="R27" s="48"/>
      <c r="S27" s="56">
        <v>4545.4544999999998</v>
      </c>
      <c r="T27" s="42">
        <f t="shared" si="9"/>
        <v>0</v>
      </c>
      <c r="U27" s="42">
        <f t="shared" si="10"/>
        <v>0</v>
      </c>
      <c r="V27" s="42">
        <f t="shared" si="11"/>
        <v>0</v>
      </c>
      <c r="W27" s="46">
        <f t="shared" si="12"/>
        <v>1396501</v>
      </c>
    </row>
    <row r="28" spans="1:23" s="9" customFormat="1" x14ac:dyDescent="0.3">
      <c r="A28" s="54">
        <v>24</v>
      </c>
      <c r="B28" s="19">
        <v>46158</v>
      </c>
      <c r="C28" s="63">
        <v>0.33</v>
      </c>
      <c r="D28" s="40">
        <v>2268519</v>
      </c>
      <c r="E28" s="55">
        <f t="shared" si="0"/>
        <v>748611</v>
      </c>
      <c r="F28" s="55">
        <f t="shared" si="1"/>
        <v>59889</v>
      </c>
      <c r="G28" s="55">
        <f t="shared" si="2"/>
        <v>808500</v>
      </c>
      <c r="H28" s="64">
        <v>7.0000000000000007E-2</v>
      </c>
      <c r="I28" s="40">
        <v>2268519</v>
      </c>
      <c r="J28" s="42">
        <f t="shared" si="3"/>
        <v>158796</v>
      </c>
      <c r="K28" s="42">
        <f t="shared" si="4"/>
        <v>12704</v>
      </c>
      <c r="L28" s="42">
        <f t="shared" si="5"/>
        <v>171500</v>
      </c>
      <c r="M28" s="15"/>
      <c r="N28" s="44">
        <v>6363.6360000000004</v>
      </c>
      <c r="O28" s="42">
        <f t="shared" si="6"/>
        <v>0</v>
      </c>
      <c r="P28" s="42">
        <f t="shared" si="7"/>
        <v>0</v>
      </c>
      <c r="Q28" s="42">
        <f t="shared" si="8"/>
        <v>0</v>
      </c>
      <c r="R28" s="48"/>
      <c r="S28" s="56">
        <v>4545.4544999999998</v>
      </c>
      <c r="T28" s="42">
        <f t="shared" si="9"/>
        <v>0</v>
      </c>
      <c r="U28" s="42">
        <f t="shared" si="10"/>
        <v>0</v>
      </c>
      <c r="V28" s="42">
        <f t="shared" si="11"/>
        <v>0</v>
      </c>
      <c r="W28" s="46">
        <f t="shared" si="12"/>
        <v>980000</v>
      </c>
    </row>
    <row r="29" spans="1:23" s="21" customFormat="1" x14ac:dyDescent="0.3">
      <c r="A29" s="54">
        <v>25</v>
      </c>
      <c r="B29" s="19">
        <v>46159</v>
      </c>
      <c r="C29" s="63">
        <v>0.2</v>
      </c>
      <c r="D29" s="40">
        <v>2268519</v>
      </c>
      <c r="E29" s="55">
        <f t="shared" si="0"/>
        <v>453704</v>
      </c>
      <c r="F29" s="55">
        <f t="shared" si="1"/>
        <v>36296</v>
      </c>
      <c r="G29" s="55">
        <f t="shared" si="2"/>
        <v>490000</v>
      </c>
      <c r="H29" s="64"/>
      <c r="I29" s="40">
        <v>2268519</v>
      </c>
      <c r="J29" s="42">
        <f t="shared" si="3"/>
        <v>0</v>
      </c>
      <c r="K29" s="42">
        <f t="shared" si="4"/>
        <v>0</v>
      </c>
      <c r="L29" s="42">
        <f t="shared" si="5"/>
        <v>0</v>
      </c>
      <c r="M29" s="15"/>
      <c r="N29" s="44">
        <v>6363.6360000000004</v>
      </c>
      <c r="O29" s="42">
        <f t="shared" si="6"/>
        <v>0</v>
      </c>
      <c r="P29" s="42">
        <f t="shared" si="7"/>
        <v>0</v>
      </c>
      <c r="Q29" s="42">
        <f t="shared" si="8"/>
        <v>0</v>
      </c>
      <c r="R29" s="49"/>
      <c r="S29" s="56">
        <v>4545.4544999999998</v>
      </c>
      <c r="T29" s="42">
        <f t="shared" si="9"/>
        <v>0</v>
      </c>
      <c r="U29" s="42">
        <f t="shared" si="10"/>
        <v>0</v>
      </c>
      <c r="V29" s="42">
        <f t="shared" si="11"/>
        <v>0</v>
      </c>
      <c r="W29" s="46">
        <f t="shared" si="12"/>
        <v>490000</v>
      </c>
    </row>
    <row r="30" spans="1:23" s="21" customFormat="1" x14ac:dyDescent="0.3">
      <c r="A30" s="54">
        <v>26</v>
      </c>
      <c r="B30" s="19">
        <v>46160</v>
      </c>
      <c r="C30" s="63">
        <v>0.75</v>
      </c>
      <c r="D30" s="40">
        <v>2268519</v>
      </c>
      <c r="E30" s="55">
        <f t="shared" si="0"/>
        <v>1701389</v>
      </c>
      <c r="F30" s="55">
        <f t="shared" si="1"/>
        <v>136111</v>
      </c>
      <c r="G30" s="55">
        <f t="shared" si="2"/>
        <v>1837500</v>
      </c>
      <c r="H30" s="64">
        <v>0.2</v>
      </c>
      <c r="I30" s="40">
        <v>2268519</v>
      </c>
      <c r="J30" s="42">
        <f t="shared" si="3"/>
        <v>453704</v>
      </c>
      <c r="K30" s="42">
        <f t="shared" si="4"/>
        <v>36296</v>
      </c>
      <c r="L30" s="42">
        <f t="shared" si="5"/>
        <v>490000</v>
      </c>
      <c r="M30" s="15"/>
      <c r="N30" s="44">
        <v>6363.6360000000004</v>
      </c>
      <c r="O30" s="42">
        <f t="shared" si="6"/>
        <v>0</v>
      </c>
      <c r="P30" s="42">
        <f t="shared" si="7"/>
        <v>0</v>
      </c>
      <c r="Q30" s="42">
        <f t="shared" si="8"/>
        <v>0</v>
      </c>
      <c r="R30" s="49"/>
      <c r="S30" s="56">
        <v>4545.4544999999998</v>
      </c>
      <c r="T30" s="42">
        <f t="shared" si="9"/>
        <v>0</v>
      </c>
      <c r="U30" s="42">
        <f t="shared" si="10"/>
        <v>0</v>
      </c>
      <c r="V30" s="42">
        <f t="shared" si="11"/>
        <v>0</v>
      </c>
      <c r="W30" s="46">
        <f t="shared" si="12"/>
        <v>2327500</v>
      </c>
    </row>
    <row r="31" spans="1:23" s="9" customFormat="1" x14ac:dyDescent="0.3">
      <c r="A31" s="54">
        <v>27</v>
      </c>
      <c r="B31" s="19">
        <v>46161</v>
      </c>
      <c r="C31" s="63">
        <v>0.75</v>
      </c>
      <c r="D31" s="40">
        <v>2268519</v>
      </c>
      <c r="E31" s="55">
        <f t="shared" si="0"/>
        <v>1701389</v>
      </c>
      <c r="F31" s="55">
        <f t="shared" si="1"/>
        <v>136111</v>
      </c>
      <c r="G31" s="55">
        <f t="shared" si="2"/>
        <v>1837500</v>
      </c>
      <c r="H31" s="64">
        <v>7.0000000000000007E-2</v>
      </c>
      <c r="I31" s="40">
        <v>2268519</v>
      </c>
      <c r="J31" s="42">
        <f t="shared" si="3"/>
        <v>158796</v>
      </c>
      <c r="K31" s="42">
        <f t="shared" si="4"/>
        <v>12704</v>
      </c>
      <c r="L31" s="42">
        <f t="shared" si="5"/>
        <v>171500</v>
      </c>
      <c r="M31" s="15"/>
      <c r="N31" s="44">
        <v>6363.6360000000004</v>
      </c>
      <c r="O31" s="42">
        <f t="shared" si="6"/>
        <v>0</v>
      </c>
      <c r="P31" s="42">
        <f t="shared" si="7"/>
        <v>0</v>
      </c>
      <c r="Q31" s="42">
        <f t="shared" si="8"/>
        <v>0</v>
      </c>
      <c r="R31" s="48"/>
      <c r="S31" s="56">
        <v>4545.4544999999998</v>
      </c>
      <c r="T31" s="42">
        <f t="shared" si="9"/>
        <v>0</v>
      </c>
      <c r="U31" s="42">
        <f t="shared" si="10"/>
        <v>0</v>
      </c>
      <c r="V31" s="42">
        <f t="shared" si="11"/>
        <v>0</v>
      </c>
      <c r="W31" s="46">
        <f t="shared" si="12"/>
        <v>2009000</v>
      </c>
    </row>
    <row r="32" spans="1:23" s="21" customFormat="1" x14ac:dyDescent="0.3">
      <c r="A32" s="54">
        <v>28</v>
      </c>
      <c r="B32" s="19">
        <v>46162</v>
      </c>
      <c r="C32" s="63">
        <v>1</v>
      </c>
      <c r="D32" s="40">
        <v>2268519</v>
      </c>
      <c r="E32" s="55">
        <f t="shared" si="0"/>
        <v>2268519</v>
      </c>
      <c r="F32" s="55">
        <f t="shared" si="1"/>
        <v>181482</v>
      </c>
      <c r="G32" s="55">
        <f t="shared" si="2"/>
        <v>2450001</v>
      </c>
      <c r="H32" s="64">
        <v>0.13</v>
      </c>
      <c r="I32" s="40">
        <v>2268519</v>
      </c>
      <c r="J32" s="42">
        <f t="shared" si="3"/>
        <v>294907</v>
      </c>
      <c r="K32" s="42">
        <f t="shared" si="4"/>
        <v>23593</v>
      </c>
      <c r="L32" s="42">
        <f t="shared" si="5"/>
        <v>318500</v>
      </c>
      <c r="M32" s="15"/>
      <c r="N32" s="44">
        <v>6363.6360000000004</v>
      </c>
      <c r="O32" s="42">
        <f t="shared" si="6"/>
        <v>0</v>
      </c>
      <c r="P32" s="42">
        <f t="shared" si="7"/>
        <v>0</v>
      </c>
      <c r="Q32" s="42">
        <f t="shared" si="8"/>
        <v>0</v>
      </c>
      <c r="R32" s="49"/>
      <c r="S32" s="56">
        <v>4545.4544999999998</v>
      </c>
      <c r="T32" s="42">
        <f t="shared" si="9"/>
        <v>0</v>
      </c>
      <c r="U32" s="42">
        <f t="shared" si="10"/>
        <v>0</v>
      </c>
      <c r="V32" s="42">
        <f t="shared" si="11"/>
        <v>0</v>
      </c>
      <c r="W32" s="46">
        <f t="shared" si="12"/>
        <v>2768501</v>
      </c>
    </row>
    <row r="33" spans="1:23" s="9" customFormat="1" x14ac:dyDescent="0.3">
      <c r="A33" s="54">
        <v>29</v>
      </c>
      <c r="B33" s="19">
        <v>46163</v>
      </c>
      <c r="C33" s="63">
        <v>1</v>
      </c>
      <c r="D33" s="40">
        <v>2268519</v>
      </c>
      <c r="E33" s="55">
        <f t="shared" si="0"/>
        <v>2268519</v>
      </c>
      <c r="F33" s="55">
        <f t="shared" si="1"/>
        <v>181482</v>
      </c>
      <c r="G33" s="55">
        <f t="shared" si="2"/>
        <v>2450001</v>
      </c>
      <c r="H33" s="64"/>
      <c r="I33" s="40">
        <v>2268519</v>
      </c>
      <c r="J33" s="42">
        <f t="shared" si="3"/>
        <v>0</v>
      </c>
      <c r="K33" s="42">
        <f t="shared" si="4"/>
        <v>0</v>
      </c>
      <c r="L33" s="42">
        <f t="shared" si="5"/>
        <v>0</v>
      </c>
      <c r="M33" s="15"/>
      <c r="N33" s="44">
        <v>6363.6360000000004</v>
      </c>
      <c r="O33" s="42">
        <f t="shared" si="6"/>
        <v>0</v>
      </c>
      <c r="P33" s="42">
        <f t="shared" si="7"/>
        <v>0</v>
      </c>
      <c r="Q33" s="42">
        <f t="shared" si="8"/>
        <v>0</v>
      </c>
      <c r="R33" s="48"/>
      <c r="S33" s="56">
        <v>4545.4544999999998</v>
      </c>
      <c r="T33" s="42">
        <f t="shared" si="9"/>
        <v>0</v>
      </c>
      <c r="U33" s="42">
        <f t="shared" si="10"/>
        <v>0</v>
      </c>
      <c r="V33" s="42">
        <f t="shared" si="11"/>
        <v>0</v>
      </c>
      <c r="W33" s="46">
        <f t="shared" si="12"/>
        <v>2450001</v>
      </c>
    </row>
    <row r="34" spans="1:23" s="9" customFormat="1" x14ac:dyDescent="0.3">
      <c r="A34" s="54">
        <v>30</v>
      </c>
      <c r="B34" s="19">
        <v>46164</v>
      </c>
      <c r="C34" s="63">
        <v>1</v>
      </c>
      <c r="D34" s="40">
        <v>2268519</v>
      </c>
      <c r="E34" s="55">
        <f t="shared" si="0"/>
        <v>2268519</v>
      </c>
      <c r="F34" s="55">
        <f t="shared" si="1"/>
        <v>181482</v>
      </c>
      <c r="G34" s="55">
        <f t="shared" si="2"/>
        <v>2450001</v>
      </c>
      <c r="H34" s="64">
        <v>0.13</v>
      </c>
      <c r="I34" s="40">
        <v>2268519</v>
      </c>
      <c r="J34" s="42">
        <f t="shared" si="3"/>
        <v>294907</v>
      </c>
      <c r="K34" s="42">
        <f t="shared" si="4"/>
        <v>23593</v>
      </c>
      <c r="L34" s="42">
        <f t="shared" si="5"/>
        <v>318500</v>
      </c>
      <c r="M34" s="15"/>
      <c r="N34" s="44">
        <v>6363.6360000000004</v>
      </c>
      <c r="O34" s="42">
        <f t="shared" si="6"/>
        <v>0</v>
      </c>
      <c r="P34" s="42">
        <f t="shared" si="7"/>
        <v>0</v>
      </c>
      <c r="Q34" s="42">
        <f t="shared" si="8"/>
        <v>0</v>
      </c>
      <c r="R34" s="48"/>
      <c r="S34" s="56">
        <v>4545.4544999999998</v>
      </c>
      <c r="T34" s="42">
        <f t="shared" si="9"/>
        <v>0</v>
      </c>
      <c r="U34" s="42">
        <f t="shared" si="10"/>
        <v>0</v>
      </c>
      <c r="V34" s="42">
        <f t="shared" si="11"/>
        <v>0</v>
      </c>
      <c r="W34" s="46">
        <f t="shared" si="12"/>
        <v>2768501</v>
      </c>
    </row>
    <row r="35" spans="1:23" s="9" customFormat="1" x14ac:dyDescent="0.3">
      <c r="A35" s="54">
        <v>31</v>
      </c>
      <c r="B35" s="19">
        <v>46165</v>
      </c>
      <c r="C35" s="63">
        <v>0.25</v>
      </c>
      <c r="D35" s="40">
        <v>2268519</v>
      </c>
      <c r="E35" s="55">
        <f>ROUND(D35*C35,0)</f>
        <v>567130</v>
      </c>
      <c r="F35" s="55">
        <f>ROUND(E35*8%,0)</f>
        <v>45370</v>
      </c>
      <c r="G35" s="55">
        <f>E35+F35</f>
        <v>612500</v>
      </c>
      <c r="H35" s="64">
        <v>0.13</v>
      </c>
      <c r="I35" s="40">
        <v>2268519</v>
      </c>
      <c r="J35" s="42">
        <f>ROUND(I35*H35,0)</f>
        <v>294907</v>
      </c>
      <c r="K35" s="42">
        <f>ROUND(J35*8%,0)</f>
        <v>23593</v>
      </c>
      <c r="L35" s="42">
        <f>J35+K35</f>
        <v>318500</v>
      </c>
      <c r="M35" s="15"/>
      <c r="N35" s="44">
        <v>6363.6360000000004</v>
      </c>
      <c r="O35" s="42">
        <f>ROUND(N35*M35,0)</f>
        <v>0</v>
      </c>
      <c r="P35" s="42">
        <f>ROUND(O35*8%,0)</f>
        <v>0</v>
      </c>
      <c r="Q35" s="42">
        <f>O35+P35</f>
        <v>0</v>
      </c>
      <c r="R35" s="48"/>
      <c r="S35" s="56">
        <v>4545.4544999999998</v>
      </c>
      <c r="T35" s="42">
        <f>ROUND(R35*S35,0)</f>
        <v>0</v>
      </c>
      <c r="U35" s="42">
        <f>ROUND(T35*10%,0)</f>
        <v>0</v>
      </c>
      <c r="V35" s="42">
        <f>T35+U35</f>
        <v>0</v>
      </c>
      <c r="W35" s="46">
        <f>G35+L35+Q35+V35</f>
        <v>931000</v>
      </c>
    </row>
    <row r="36" spans="1:23" s="9" customFormat="1" x14ac:dyDescent="0.3">
      <c r="A36" s="54">
        <v>32</v>
      </c>
      <c r="B36" s="19">
        <v>46166</v>
      </c>
      <c r="C36" s="63">
        <v>0.2</v>
      </c>
      <c r="D36" s="40">
        <v>2268519</v>
      </c>
      <c r="E36" s="55">
        <f>ROUND(D36*C36,0)</f>
        <v>453704</v>
      </c>
      <c r="F36" s="55">
        <f>ROUND(E36*8%,0)</f>
        <v>36296</v>
      </c>
      <c r="G36" s="55">
        <f>E36+F36</f>
        <v>490000</v>
      </c>
      <c r="H36" s="64"/>
      <c r="I36" s="40">
        <v>2268519</v>
      </c>
      <c r="J36" s="42">
        <f>ROUND(I36*H36,0)</f>
        <v>0</v>
      </c>
      <c r="K36" s="42">
        <f>ROUND(J36*8%,0)</f>
        <v>0</v>
      </c>
      <c r="L36" s="42">
        <f>J36+K36</f>
        <v>0</v>
      </c>
      <c r="M36" s="15"/>
      <c r="N36" s="44">
        <v>6363.6360000000004</v>
      </c>
      <c r="O36" s="42">
        <f>ROUND(N36*M36,0)</f>
        <v>0</v>
      </c>
      <c r="P36" s="42">
        <f>ROUND(O36*8%,0)</f>
        <v>0</v>
      </c>
      <c r="Q36" s="42">
        <f>O36+P36</f>
        <v>0</v>
      </c>
      <c r="R36" s="48"/>
      <c r="S36" s="56">
        <v>4545.4544999999998</v>
      </c>
      <c r="T36" s="42">
        <f>ROUND(R36*S36,0)</f>
        <v>0</v>
      </c>
      <c r="U36" s="42">
        <f>ROUND(T36*10%,0)</f>
        <v>0</v>
      </c>
      <c r="V36" s="42">
        <f>T36+U36</f>
        <v>0</v>
      </c>
      <c r="W36" s="46">
        <f>G36+L36+Q36+V36</f>
        <v>490000</v>
      </c>
    </row>
    <row r="37" spans="1:23" x14ac:dyDescent="0.3">
      <c r="A37" s="65"/>
      <c r="B37" s="66"/>
      <c r="C37" s="8">
        <v>13.42</v>
      </c>
      <c r="D37" s="7"/>
      <c r="E37" s="57">
        <f>SUM(E5:E36)</f>
        <v>30443528</v>
      </c>
      <c r="F37" s="57">
        <f>SUM(F5:F36)</f>
        <v>2435483</v>
      </c>
      <c r="G37" s="59">
        <f>SUM(G5:G36)</f>
        <v>32879011</v>
      </c>
      <c r="H37" s="8">
        <v>1.82</v>
      </c>
      <c r="I37" s="58"/>
      <c r="J37" s="58">
        <f>SUM(J5:J36)</f>
        <v>4128698</v>
      </c>
      <c r="K37" s="58">
        <f>SUM(K5:K36)</f>
        <v>330302</v>
      </c>
      <c r="L37" s="60">
        <f>SUM(L5:L36)</f>
        <v>4459000</v>
      </c>
      <c r="M37" s="7">
        <f>SUM(M5:M36)</f>
        <v>0</v>
      </c>
      <c r="N37" s="58"/>
      <c r="O37" s="58">
        <f>SUM(O5:O36)</f>
        <v>0</v>
      </c>
      <c r="P37" s="58">
        <f>SUM(P5:P36)</f>
        <v>0</v>
      </c>
      <c r="Q37" s="60">
        <f>SUM(Q5:Q36)</f>
        <v>0</v>
      </c>
      <c r="R37" s="7">
        <f>SUM(R5:R36)</f>
        <v>0</v>
      </c>
      <c r="S37" s="7"/>
      <c r="T37" s="58">
        <f>SUM(T5:T36)</f>
        <v>0</v>
      </c>
      <c r="U37" s="58">
        <f>SUM(U5:U36)</f>
        <v>0</v>
      </c>
      <c r="V37" s="60">
        <f>SUM(V5:V36)</f>
        <v>0</v>
      </c>
      <c r="W37" s="60">
        <f>Q37+L37+G37+V37</f>
        <v>37338011</v>
      </c>
    </row>
    <row r="38" spans="1:23" x14ac:dyDescent="0.3">
      <c r="A38" s="3"/>
      <c r="B38" s="67" t="s">
        <v>1</v>
      </c>
      <c r="C38" s="67"/>
      <c r="D38" s="67"/>
      <c r="E38" s="67"/>
      <c r="F38" s="52"/>
      <c r="G38" s="52"/>
      <c r="H38" s="61"/>
      <c r="I38" s="5"/>
      <c r="J38" s="4"/>
      <c r="K38" s="4"/>
      <c r="L38" s="4"/>
      <c r="M38" s="4"/>
      <c r="N38" s="4"/>
      <c r="O38" s="4"/>
      <c r="P38" s="4"/>
      <c r="Q38" s="4"/>
      <c r="R38" s="67" t="s">
        <v>1</v>
      </c>
      <c r="S38" s="67"/>
      <c r="T38" s="67"/>
      <c r="U38" s="67"/>
      <c r="V38" s="67"/>
      <c r="W38" s="67"/>
    </row>
    <row r="39" spans="1:23" x14ac:dyDescent="0.3">
      <c r="A39" s="3"/>
      <c r="B39" s="68" t="s">
        <v>32</v>
      </c>
      <c r="C39" s="68"/>
      <c r="D39" s="68"/>
      <c r="E39" s="68"/>
      <c r="F39" s="53"/>
      <c r="G39" s="53"/>
      <c r="H39" s="1"/>
      <c r="I39" s="2"/>
      <c r="J39" s="1"/>
      <c r="K39" s="1"/>
      <c r="L39" s="1"/>
      <c r="M39" s="1"/>
      <c r="N39" s="1"/>
      <c r="O39" s="68" t="s">
        <v>15</v>
      </c>
      <c r="P39" s="68"/>
      <c r="Q39" s="68"/>
      <c r="R39" s="68"/>
      <c r="S39" s="68"/>
      <c r="T39" s="68"/>
      <c r="U39" s="68"/>
      <c r="V39" s="68"/>
      <c r="W39" s="68"/>
    </row>
  </sheetData>
  <mergeCells count="12">
    <mergeCell ref="A37:B37"/>
    <mergeCell ref="B38:E38"/>
    <mergeCell ref="R38:W38"/>
    <mergeCell ref="B39:E39"/>
    <mergeCell ref="O39:W39"/>
    <mergeCell ref="A1:W1"/>
    <mergeCell ref="C3:G3"/>
    <mergeCell ref="H3:L3"/>
    <mergeCell ref="M3:Q3"/>
    <mergeCell ref="R3:V3"/>
    <mergeCell ref="W3:W4"/>
    <mergeCell ref="A4:B4"/>
  </mergeCells>
  <conditionalFormatting sqref="B5:B36">
    <cfRule type="expression" dxfId="7" priority="1" stopIfTrue="1">
      <formula>WEEKDAY($B5)=1</formula>
    </cfRule>
  </conditionalFormatting>
  <dataValidations count="1">
    <dataValidation type="decimal" showInputMessage="1" showErrorMessage="1" sqref="C38:C1048576 C1:C36" xr:uid="{4FCDA811-3F0D-44E9-863B-BE608CDB69D7}">
      <formula1>0</formula1>
      <formula2>1</formula2>
    </dataValidation>
  </dataValidations>
  <pageMargins left="0.23622047244094491" right="0.19685039370078741" top="0.35433070866141736" bottom="0.74803149606299213" header="0.31496062992125984" footer="0.31496062992125984"/>
  <pageSetup paperSize="9" scale="6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15C73-E9F6-4164-A7DB-34676AABC31B}">
  <sheetPr codeName="Sheet2">
    <pageSetUpPr fitToPage="1"/>
  </sheetPr>
  <dimension ref="A1:W37"/>
  <sheetViews>
    <sheetView view="pageBreakPreview" topLeftCell="F1" zoomScale="130" zoomScaleNormal="115" zoomScaleSheetLayoutView="130" workbookViewId="0">
      <pane ySplit="4" topLeftCell="A32" activePane="bottomLeft" state="frozen"/>
      <selection pane="bottomLeft" activeCell="R36" sqref="R36:W36"/>
    </sheetView>
  </sheetViews>
  <sheetFormatPr defaultRowHeight="14" x14ac:dyDescent="0.3"/>
  <cols>
    <col min="5" max="5" width="10.1640625" bestFit="1" customWidth="1"/>
    <col min="6" max="7" width="10.1640625" customWidth="1"/>
    <col min="10" max="10" width="9.9140625" bestFit="1" customWidth="1"/>
    <col min="11" max="12" width="9.9140625" customWidth="1"/>
    <col min="15" max="15" width="9.9140625" bestFit="1" customWidth="1"/>
    <col min="16" max="17" width="9.9140625" customWidth="1"/>
    <col min="20" max="20" width="9.9140625" bestFit="1" customWidth="1"/>
    <col min="21" max="22" width="9.9140625" customWidth="1"/>
    <col min="23" max="23" width="10.6640625" bestFit="1" customWidth="1"/>
  </cols>
  <sheetData>
    <row r="1" spans="1:23" ht="44.25" customHeight="1" x14ac:dyDescent="0.3">
      <c r="A1" s="69" t="s">
        <v>30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</row>
    <row r="2" spans="1:23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7"/>
      <c r="V2" s="27"/>
      <c r="W2" s="27"/>
    </row>
    <row r="3" spans="1:23" ht="26.25" customHeight="1" x14ac:dyDescent="0.3">
      <c r="A3" s="26" t="s">
        <v>13</v>
      </c>
      <c r="B3" s="25" t="s">
        <v>12</v>
      </c>
      <c r="C3" s="71" t="s">
        <v>11</v>
      </c>
      <c r="D3" s="72"/>
      <c r="E3" s="72"/>
      <c r="F3" s="72"/>
      <c r="G3" s="73"/>
      <c r="H3" s="74" t="s">
        <v>10</v>
      </c>
      <c r="I3" s="72"/>
      <c r="J3" s="72"/>
      <c r="K3" s="72"/>
      <c r="L3" s="73"/>
      <c r="M3" s="74" t="s">
        <v>9</v>
      </c>
      <c r="N3" s="72"/>
      <c r="O3" s="72"/>
      <c r="P3" s="72"/>
      <c r="Q3" s="73"/>
      <c r="R3" s="75" t="s">
        <v>8</v>
      </c>
      <c r="S3" s="76"/>
      <c r="T3" s="76"/>
      <c r="U3" s="76"/>
      <c r="V3" s="77"/>
      <c r="W3" s="78" t="s">
        <v>7</v>
      </c>
    </row>
    <row r="4" spans="1:23" ht="60.5" customHeight="1" x14ac:dyDescent="0.3">
      <c r="A4" s="80" t="s">
        <v>17</v>
      </c>
      <c r="B4" s="81"/>
      <c r="C4" s="24" t="s">
        <v>5</v>
      </c>
      <c r="D4" s="24" t="s">
        <v>28</v>
      </c>
      <c r="E4" s="24" t="s">
        <v>29</v>
      </c>
      <c r="F4" s="24" t="s">
        <v>23</v>
      </c>
      <c r="G4" s="24" t="s">
        <v>27</v>
      </c>
      <c r="H4" s="24" t="s">
        <v>5</v>
      </c>
      <c r="I4" s="24" t="s">
        <v>28</v>
      </c>
      <c r="J4" s="24" t="s">
        <v>29</v>
      </c>
      <c r="K4" s="24" t="s">
        <v>23</v>
      </c>
      <c r="L4" s="24" t="s">
        <v>27</v>
      </c>
      <c r="M4" s="24" t="s">
        <v>4</v>
      </c>
      <c r="N4" s="24" t="s">
        <v>28</v>
      </c>
      <c r="O4" s="24" t="s">
        <v>29</v>
      </c>
      <c r="P4" s="24" t="s">
        <v>23</v>
      </c>
      <c r="Q4" s="24" t="s">
        <v>27</v>
      </c>
      <c r="R4" s="24" t="s">
        <v>4</v>
      </c>
      <c r="S4" s="24" t="s">
        <v>28</v>
      </c>
      <c r="T4" s="24" t="s">
        <v>29</v>
      </c>
      <c r="U4" s="24" t="s">
        <v>26</v>
      </c>
      <c r="V4" s="24" t="s">
        <v>27</v>
      </c>
      <c r="W4" s="79"/>
    </row>
    <row r="5" spans="1:23" s="21" customFormat="1" x14ac:dyDescent="0.3">
      <c r="A5" s="54">
        <v>1</v>
      </c>
      <c r="B5" s="19">
        <v>46105</v>
      </c>
      <c r="C5" s="63">
        <v>1</v>
      </c>
      <c r="D5" s="40">
        <v>2268519</v>
      </c>
      <c r="E5" s="55">
        <f>ROUND(D5*C5,0)</f>
        <v>2268519</v>
      </c>
      <c r="F5" s="55">
        <f>ROUND(E5*8%,0)</f>
        <v>181482</v>
      </c>
      <c r="G5" s="55">
        <f>E5+F5</f>
        <v>2450001</v>
      </c>
      <c r="H5" s="64">
        <v>0.2</v>
      </c>
      <c r="I5" s="40">
        <v>2268519</v>
      </c>
      <c r="J5" s="42">
        <f>ROUND(I5*H5,0)</f>
        <v>453704</v>
      </c>
      <c r="K5" s="42">
        <f>ROUND(J5*8%,0)</f>
        <v>36296</v>
      </c>
      <c r="L5" s="42">
        <f>J5+K5</f>
        <v>490000</v>
      </c>
      <c r="M5" s="15"/>
      <c r="N5" s="44">
        <v>6363.6360000000004</v>
      </c>
      <c r="O5" s="42">
        <f>ROUND(N5*M5,0)</f>
        <v>0</v>
      </c>
      <c r="P5" s="42">
        <f>ROUND(O5*8%,0)</f>
        <v>0</v>
      </c>
      <c r="Q5" s="42">
        <f>O5+P5</f>
        <v>0</v>
      </c>
      <c r="R5" s="49"/>
      <c r="S5" s="56">
        <v>4545.4544999999998</v>
      </c>
      <c r="T5" s="42">
        <f>ROUND(R5*S5,0)</f>
        <v>0</v>
      </c>
      <c r="U5" s="42">
        <f>ROUND(T5*10%,0)</f>
        <v>0</v>
      </c>
      <c r="V5" s="42">
        <f>T5+U5</f>
        <v>0</v>
      </c>
      <c r="W5" s="46">
        <f>G5+L5+Q5+V5</f>
        <v>2940001</v>
      </c>
    </row>
    <row r="6" spans="1:23" s="21" customFormat="1" x14ac:dyDescent="0.3">
      <c r="A6" s="54">
        <v>2</v>
      </c>
      <c r="B6" s="19">
        <v>46106</v>
      </c>
      <c r="C6" s="63">
        <v>0.5</v>
      </c>
      <c r="D6" s="40">
        <v>2268519</v>
      </c>
      <c r="E6" s="55">
        <f t="shared" ref="E6:E26" si="0">ROUND(D6*C6,0)</f>
        <v>1134260</v>
      </c>
      <c r="F6" s="55">
        <f t="shared" ref="F6:F26" si="1">ROUND(E6*8%,0)</f>
        <v>90741</v>
      </c>
      <c r="G6" s="55">
        <f t="shared" ref="G6:G26" si="2">E6+F6</f>
        <v>1225001</v>
      </c>
      <c r="H6" s="64">
        <v>7.0000000000000007E-2</v>
      </c>
      <c r="I6" s="40">
        <v>2268519</v>
      </c>
      <c r="J6" s="42">
        <f t="shared" ref="J6:J26" si="3">ROUND(I6*H6,0)</f>
        <v>158796</v>
      </c>
      <c r="K6" s="42">
        <f t="shared" ref="K6:K26" si="4">ROUND(J6*8%,0)</f>
        <v>12704</v>
      </c>
      <c r="L6" s="42">
        <f t="shared" ref="L6:L26" si="5">J6+K6</f>
        <v>171500</v>
      </c>
      <c r="M6" s="15"/>
      <c r="N6" s="44">
        <v>6363.6360000000004</v>
      </c>
      <c r="O6" s="42">
        <f t="shared" ref="O6:O26" si="6">ROUND(N6*M6,0)</f>
        <v>0</v>
      </c>
      <c r="P6" s="42">
        <f t="shared" ref="P6:P26" si="7">ROUND(O6*8%,0)</f>
        <v>0</v>
      </c>
      <c r="Q6" s="42">
        <f t="shared" ref="Q6:Q26" si="8">O6+P6</f>
        <v>0</v>
      </c>
      <c r="R6" s="49"/>
      <c r="S6" s="56">
        <v>4545.4544999999998</v>
      </c>
      <c r="T6" s="42">
        <f t="shared" ref="T6:T26" si="9">ROUND(R6*S6,0)</f>
        <v>0</v>
      </c>
      <c r="U6" s="42">
        <f t="shared" ref="U6:U26" si="10">ROUND(T6*10%,0)</f>
        <v>0</v>
      </c>
      <c r="V6" s="42">
        <f t="shared" ref="V6:V34" si="11">T6+U6</f>
        <v>0</v>
      </c>
      <c r="W6" s="46">
        <f t="shared" ref="W6:W26" si="12">G6+L6+Q6+V6</f>
        <v>1396501</v>
      </c>
    </row>
    <row r="7" spans="1:23" s="9" customFormat="1" x14ac:dyDescent="0.3">
      <c r="A7" s="54">
        <v>3</v>
      </c>
      <c r="B7" s="19">
        <v>46107</v>
      </c>
      <c r="C7" s="63">
        <v>1</v>
      </c>
      <c r="D7" s="40">
        <v>2268519</v>
      </c>
      <c r="E7" s="55">
        <f t="shared" si="0"/>
        <v>2268519</v>
      </c>
      <c r="F7" s="55">
        <f t="shared" si="1"/>
        <v>181482</v>
      </c>
      <c r="G7" s="55">
        <f t="shared" si="2"/>
        <v>2450001</v>
      </c>
      <c r="H7" s="64">
        <v>0.2</v>
      </c>
      <c r="I7" s="40">
        <v>2268519</v>
      </c>
      <c r="J7" s="42">
        <f t="shared" si="3"/>
        <v>453704</v>
      </c>
      <c r="K7" s="42">
        <f t="shared" si="4"/>
        <v>36296</v>
      </c>
      <c r="L7" s="42">
        <f t="shared" si="5"/>
        <v>490000</v>
      </c>
      <c r="M7" s="15"/>
      <c r="N7" s="44">
        <v>6363.6360000000004</v>
      </c>
      <c r="O7" s="42">
        <f t="shared" si="6"/>
        <v>0</v>
      </c>
      <c r="P7" s="42">
        <f t="shared" si="7"/>
        <v>0</v>
      </c>
      <c r="Q7" s="42">
        <f t="shared" si="8"/>
        <v>0</v>
      </c>
      <c r="R7" s="48"/>
      <c r="S7" s="56">
        <v>4545.4544999999998</v>
      </c>
      <c r="T7" s="42">
        <f t="shared" si="9"/>
        <v>0</v>
      </c>
      <c r="U7" s="42">
        <f t="shared" si="10"/>
        <v>0</v>
      </c>
      <c r="V7" s="42">
        <f t="shared" si="11"/>
        <v>0</v>
      </c>
      <c r="W7" s="46">
        <f t="shared" si="12"/>
        <v>2940001</v>
      </c>
    </row>
    <row r="8" spans="1:23" s="21" customFormat="1" x14ac:dyDescent="0.3">
      <c r="A8" s="54">
        <v>4</v>
      </c>
      <c r="B8" s="19">
        <v>46108</v>
      </c>
      <c r="C8" s="63">
        <v>1</v>
      </c>
      <c r="D8" s="40">
        <v>2268519</v>
      </c>
      <c r="E8" s="55">
        <f t="shared" si="0"/>
        <v>2268519</v>
      </c>
      <c r="F8" s="55">
        <f t="shared" si="1"/>
        <v>181482</v>
      </c>
      <c r="G8" s="55">
        <f t="shared" si="2"/>
        <v>2450001</v>
      </c>
      <c r="H8" s="64"/>
      <c r="I8" s="40">
        <v>2268519</v>
      </c>
      <c r="J8" s="42">
        <f t="shared" si="3"/>
        <v>0</v>
      </c>
      <c r="K8" s="42">
        <f t="shared" si="4"/>
        <v>0</v>
      </c>
      <c r="L8" s="42">
        <f t="shared" si="5"/>
        <v>0</v>
      </c>
      <c r="M8" s="15"/>
      <c r="N8" s="44">
        <v>6363.6360000000004</v>
      </c>
      <c r="O8" s="42">
        <f t="shared" si="6"/>
        <v>0</v>
      </c>
      <c r="P8" s="42">
        <f t="shared" si="7"/>
        <v>0</v>
      </c>
      <c r="Q8" s="42">
        <f t="shared" si="8"/>
        <v>0</v>
      </c>
      <c r="R8" s="49"/>
      <c r="S8" s="56">
        <v>4545.4544999999998</v>
      </c>
      <c r="T8" s="42">
        <f t="shared" si="9"/>
        <v>0</v>
      </c>
      <c r="U8" s="42">
        <f t="shared" si="10"/>
        <v>0</v>
      </c>
      <c r="V8" s="42">
        <f t="shared" si="11"/>
        <v>0</v>
      </c>
      <c r="W8" s="46">
        <f t="shared" si="12"/>
        <v>2450001</v>
      </c>
    </row>
    <row r="9" spans="1:23" s="9" customFormat="1" x14ac:dyDescent="0.3">
      <c r="A9" s="54">
        <v>5</v>
      </c>
      <c r="B9" s="19">
        <v>46109</v>
      </c>
      <c r="C9" s="63">
        <v>0.25</v>
      </c>
      <c r="D9" s="40">
        <v>2268519</v>
      </c>
      <c r="E9" s="55">
        <f t="shared" si="0"/>
        <v>567130</v>
      </c>
      <c r="F9" s="55">
        <f t="shared" si="1"/>
        <v>45370</v>
      </c>
      <c r="G9" s="55">
        <f t="shared" si="2"/>
        <v>612500</v>
      </c>
      <c r="H9" s="64"/>
      <c r="I9" s="40">
        <v>2268519</v>
      </c>
      <c r="J9" s="42">
        <f t="shared" si="3"/>
        <v>0</v>
      </c>
      <c r="K9" s="42">
        <f t="shared" si="4"/>
        <v>0</v>
      </c>
      <c r="L9" s="42">
        <f t="shared" si="5"/>
        <v>0</v>
      </c>
      <c r="M9" s="15"/>
      <c r="N9" s="44">
        <v>6363.6360000000004</v>
      </c>
      <c r="O9" s="42">
        <f t="shared" si="6"/>
        <v>0</v>
      </c>
      <c r="P9" s="42">
        <f t="shared" si="7"/>
        <v>0</v>
      </c>
      <c r="Q9" s="42">
        <f t="shared" si="8"/>
        <v>0</v>
      </c>
      <c r="R9" s="48"/>
      <c r="S9" s="56">
        <v>4545.4544999999998</v>
      </c>
      <c r="T9" s="42">
        <f t="shared" si="9"/>
        <v>0</v>
      </c>
      <c r="U9" s="42">
        <f t="shared" si="10"/>
        <v>0</v>
      </c>
      <c r="V9" s="42">
        <f t="shared" si="11"/>
        <v>0</v>
      </c>
      <c r="W9" s="46">
        <f t="shared" si="12"/>
        <v>612500</v>
      </c>
    </row>
    <row r="10" spans="1:23" s="9" customFormat="1" x14ac:dyDescent="0.3">
      <c r="A10" s="54">
        <v>6</v>
      </c>
      <c r="B10" s="19">
        <v>46110</v>
      </c>
      <c r="C10" s="63"/>
      <c r="D10" s="40">
        <v>2268519</v>
      </c>
      <c r="E10" s="55">
        <f t="shared" si="0"/>
        <v>0</v>
      </c>
      <c r="F10" s="55">
        <f t="shared" si="1"/>
        <v>0</v>
      </c>
      <c r="G10" s="55">
        <f t="shared" si="2"/>
        <v>0</v>
      </c>
      <c r="H10" s="64"/>
      <c r="I10" s="40">
        <v>2268519</v>
      </c>
      <c r="J10" s="42">
        <f t="shared" si="3"/>
        <v>0</v>
      </c>
      <c r="K10" s="42">
        <f t="shared" si="4"/>
        <v>0</v>
      </c>
      <c r="L10" s="42">
        <f t="shared" si="5"/>
        <v>0</v>
      </c>
      <c r="M10" s="15"/>
      <c r="N10" s="44">
        <v>6363.6360000000004</v>
      </c>
      <c r="O10" s="42">
        <f t="shared" si="6"/>
        <v>0</v>
      </c>
      <c r="P10" s="42">
        <f t="shared" si="7"/>
        <v>0</v>
      </c>
      <c r="Q10" s="42">
        <f t="shared" si="8"/>
        <v>0</v>
      </c>
      <c r="R10" s="48"/>
      <c r="S10" s="56">
        <v>4545.4544999999998</v>
      </c>
      <c r="T10" s="42">
        <f t="shared" si="9"/>
        <v>0</v>
      </c>
      <c r="U10" s="42">
        <f t="shared" si="10"/>
        <v>0</v>
      </c>
      <c r="V10" s="42">
        <f t="shared" si="11"/>
        <v>0</v>
      </c>
      <c r="W10" s="46">
        <f t="shared" si="12"/>
        <v>0</v>
      </c>
    </row>
    <row r="11" spans="1:23" s="21" customFormat="1" x14ac:dyDescent="0.3">
      <c r="A11" s="54">
        <v>7</v>
      </c>
      <c r="B11" s="19">
        <v>46111</v>
      </c>
      <c r="C11" s="63">
        <v>1</v>
      </c>
      <c r="D11" s="40">
        <v>2268519</v>
      </c>
      <c r="E11" s="55">
        <f t="shared" si="0"/>
        <v>2268519</v>
      </c>
      <c r="F11" s="55">
        <f t="shared" si="1"/>
        <v>181482</v>
      </c>
      <c r="G11" s="55">
        <f t="shared" si="2"/>
        <v>2450001</v>
      </c>
      <c r="H11" s="64">
        <v>7.0000000000000007E-2</v>
      </c>
      <c r="I11" s="40">
        <v>2268519</v>
      </c>
      <c r="J11" s="42">
        <f t="shared" si="3"/>
        <v>158796</v>
      </c>
      <c r="K11" s="42">
        <f t="shared" si="4"/>
        <v>12704</v>
      </c>
      <c r="L11" s="42">
        <f t="shared" si="5"/>
        <v>171500</v>
      </c>
      <c r="M11" s="15"/>
      <c r="N11" s="44">
        <v>6363.6360000000004</v>
      </c>
      <c r="O11" s="42">
        <f t="shared" si="6"/>
        <v>0</v>
      </c>
      <c r="P11" s="42">
        <f t="shared" si="7"/>
        <v>0</v>
      </c>
      <c r="Q11" s="42">
        <f t="shared" si="8"/>
        <v>0</v>
      </c>
      <c r="R11" s="49"/>
      <c r="S11" s="56">
        <v>4545.4544999999998</v>
      </c>
      <c r="T11" s="42">
        <f t="shared" si="9"/>
        <v>0</v>
      </c>
      <c r="U11" s="42">
        <f t="shared" si="10"/>
        <v>0</v>
      </c>
      <c r="V11" s="42">
        <f t="shared" si="11"/>
        <v>0</v>
      </c>
      <c r="W11" s="46">
        <f t="shared" si="12"/>
        <v>2621501</v>
      </c>
    </row>
    <row r="12" spans="1:23" s="21" customFormat="1" x14ac:dyDescent="0.3">
      <c r="A12" s="54">
        <v>8</v>
      </c>
      <c r="B12" s="19">
        <v>46112</v>
      </c>
      <c r="C12" s="63">
        <v>0.75</v>
      </c>
      <c r="D12" s="40">
        <v>2268519</v>
      </c>
      <c r="E12" s="55">
        <f t="shared" si="0"/>
        <v>1701389</v>
      </c>
      <c r="F12" s="55">
        <f t="shared" si="1"/>
        <v>136111</v>
      </c>
      <c r="G12" s="55">
        <f t="shared" si="2"/>
        <v>1837500</v>
      </c>
      <c r="H12" s="64">
        <v>0.2</v>
      </c>
      <c r="I12" s="40">
        <v>2268519</v>
      </c>
      <c r="J12" s="42">
        <f t="shared" si="3"/>
        <v>453704</v>
      </c>
      <c r="K12" s="42">
        <f t="shared" si="4"/>
        <v>36296</v>
      </c>
      <c r="L12" s="42">
        <f t="shared" si="5"/>
        <v>490000</v>
      </c>
      <c r="M12" s="15"/>
      <c r="N12" s="44">
        <v>6363.6360000000004</v>
      </c>
      <c r="O12" s="42">
        <f t="shared" si="6"/>
        <v>0</v>
      </c>
      <c r="P12" s="42">
        <f t="shared" si="7"/>
        <v>0</v>
      </c>
      <c r="Q12" s="42">
        <f t="shared" si="8"/>
        <v>0</v>
      </c>
      <c r="R12" s="49"/>
      <c r="S12" s="56">
        <v>4545.4544999999998</v>
      </c>
      <c r="T12" s="42">
        <f t="shared" si="9"/>
        <v>0</v>
      </c>
      <c r="U12" s="42">
        <f t="shared" si="10"/>
        <v>0</v>
      </c>
      <c r="V12" s="42">
        <f t="shared" si="11"/>
        <v>0</v>
      </c>
      <c r="W12" s="46">
        <f t="shared" si="12"/>
        <v>2327500</v>
      </c>
    </row>
    <row r="13" spans="1:23" s="9" customFormat="1" x14ac:dyDescent="0.3">
      <c r="A13" s="54">
        <v>9</v>
      </c>
      <c r="B13" s="19">
        <v>46113</v>
      </c>
      <c r="C13" s="63">
        <v>0.75</v>
      </c>
      <c r="D13" s="40">
        <v>2268519</v>
      </c>
      <c r="E13" s="55">
        <f t="shared" si="0"/>
        <v>1701389</v>
      </c>
      <c r="F13" s="55">
        <f t="shared" si="1"/>
        <v>136111</v>
      </c>
      <c r="G13" s="55">
        <f t="shared" si="2"/>
        <v>1837500</v>
      </c>
      <c r="H13" s="64">
        <v>7.0000000000000007E-2</v>
      </c>
      <c r="I13" s="40">
        <v>2268519</v>
      </c>
      <c r="J13" s="42">
        <f t="shared" si="3"/>
        <v>158796</v>
      </c>
      <c r="K13" s="42">
        <f t="shared" si="4"/>
        <v>12704</v>
      </c>
      <c r="L13" s="42">
        <f t="shared" si="5"/>
        <v>171500</v>
      </c>
      <c r="M13" s="15"/>
      <c r="N13" s="44">
        <v>6363.6360000000004</v>
      </c>
      <c r="O13" s="42">
        <f t="shared" si="6"/>
        <v>0</v>
      </c>
      <c r="P13" s="42">
        <f t="shared" si="7"/>
        <v>0</v>
      </c>
      <c r="Q13" s="42">
        <f t="shared" si="8"/>
        <v>0</v>
      </c>
      <c r="R13" s="48"/>
      <c r="S13" s="56">
        <v>4545.4544999999998</v>
      </c>
      <c r="T13" s="42">
        <f t="shared" si="9"/>
        <v>0</v>
      </c>
      <c r="U13" s="42">
        <f t="shared" si="10"/>
        <v>0</v>
      </c>
      <c r="V13" s="42">
        <f t="shared" si="11"/>
        <v>0</v>
      </c>
      <c r="W13" s="46">
        <f t="shared" si="12"/>
        <v>2009000</v>
      </c>
    </row>
    <row r="14" spans="1:23" s="21" customFormat="1" x14ac:dyDescent="0.3">
      <c r="A14" s="54">
        <v>10</v>
      </c>
      <c r="B14" s="19">
        <v>46114</v>
      </c>
      <c r="C14" s="63">
        <v>0.75</v>
      </c>
      <c r="D14" s="40">
        <v>2268519</v>
      </c>
      <c r="E14" s="55">
        <f t="shared" si="0"/>
        <v>1701389</v>
      </c>
      <c r="F14" s="55">
        <f t="shared" si="1"/>
        <v>136111</v>
      </c>
      <c r="G14" s="55">
        <f t="shared" si="2"/>
        <v>1837500</v>
      </c>
      <c r="H14" s="64"/>
      <c r="I14" s="40">
        <v>2268519</v>
      </c>
      <c r="J14" s="42">
        <f t="shared" si="3"/>
        <v>0</v>
      </c>
      <c r="K14" s="42">
        <f t="shared" si="4"/>
        <v>0</v>
      </c>
      <c r="L14" s="42">
        <f t="shared" si="5"/>
        <v>0</v>
      </c>
      <c r="M14" s="15"/>
      <c r="N14" s="44">
        <v>6363.6360000000004</v>
      </c>
      <c r="O14" s="42">
        <f t="shared" si="6"/>
        <v>0</v>
      </c>
      <c r="P14" s="42">
        <f t="shared" si="7"/>
        <v>0</v>
      </c>
      <c r="Q14" s="42">
        <f t="shared" si="8"/>
        <v>0</v>
      </c>
      <c r="R14" s="49">
        <v>96</v>
      </c>
      <c r="S14" s="56">
        <v>4545.4544999999998</v>
      </c>
      <c r="T14" s="42">
        <f t="shared" si="9"/>
        <v>436364</v>
      </c>
      <c r="U14" s="42">
        <f t="shared" si="10"/>
        <v>43636</v>
      </c>
      <c r="V14" s="42">
        <f t="shared" si="11"/>
        <v>480000</v>
      </c>
      <c r="W14" s="46">
        <f t="shared" si="12"/>
        <v>2317500</v>
      </c>
    </row>
    <row r="15" spans="1:23" s="9" customFormat="1" x14ac:dyDescent="0.3">
      <c r="A15" s="54">
        <v>11</v>
      </c>
      <c r="B15" s="19">
        <v>46115</v>
      </c>
      <c r="C15" s="63">
        <v>1</v>
      </c>
      <c r="D15" s="40">
        <v>2268519</v>
      </c>
      <c r="E15" s="55">
        <f t="shared" si="0"/>
        <v>2268519</v>
      </c>
      <c r="F15" s="55">
        <f t="shared" si="1"/>
        <v>181482</v>
      </c>
      <c r="G15" s="55">
        <f t="shared" si="2"/>
        <v>2450001</v>
      </c>
      <c r="H15" s="64">
        <v>7.0000000000000007E-2</v>
      </c>
      <c r="I15" s="40">
        <v>2268519</v>
      </c>
      <c r="J15" s="42">
        <f t="shared" si="3"/>
        <v>158796</v>
      </c>
      <c r="K15" s="42">
        <f t="shared" si="4"/>
        <v>12704</v>
      </c>
      <c r="L15" s="42">
        <f t="shared" si="5"/>
        <v>171500</v>
      </c>
      <c r="M15" s="15"/>
      <c r="N15" s="44">
        <v>6363.6360000000004</v>
      </c>
      <c r="O15" s="42">
        <f t="shared" si="6"/>
        <v>0</v>
      </c>
      <c r="P15" s="42">
        <f t="shared" si="7"/>
        <v>0</v>
      </c>
      <c r="Q15" s="42">
        <f t="shared" si="8"/>
        <v>0</v>
      </c>
      <c r="R15" s="48">
        <v>72</v>
      </c>
      <c r="S15" s="56">
        <v>4545.4544999999998</v>
      </c>
      <c r="T15" s="42">
        <f t="shared" si="9"/>
        <v>327273</v>
      </c>
      <c r="U15" s="42">
        <f t="shared" si="10"/>
        <v>32727</v>
      </c>
      <c r="V15" s="42">
        <f t="shared" si="11"/>
        <v>360000</v>
      </c>
      <c r="W15" s="46">
        <f t="shared" si="12"/>
        <v>2981501</v>
      </c>
    </row>
    <row r="16" spans="1:23" s="9" customFormat="1" x14ac:dyDescent="0.3">
      <c r="A16" s="54">
        <v>12</v>
      </c>
      <c r="B16" s="19">
        <v>46116</v>
      </c>
      <c r="C16" s="63">
        <v>0.25</v>
      </c>
      <c r="D16" s="40">
        <v>2268519</v>
      </c>
      <c r="E16" s="55">
        <f t="shared" si="0"/>
        <v>567130</v>
      </c>
      <c r="F16" s="55">
        <f t="shared" si="1"/>
        <v>45370</v>
      </c>
      <c r="G16" s="55">
        <f t="shared" si="2"/>
        <v>612500</v>
      </c>
      <c r="H16" s="64">
        <v>0.13</v>
      </c>
      <c r="I16" s="40">
        <v>2268519</v>
      </c>
      <c r="J16" s="42">
        <f t="shared" si="3"/>
        <v>294907</v>
      </c>
      <c r="K16" s="42">
        <f t="shared" si="4"/>
        <v>23593</v>
      </c>
      <c r="L16" s="42">
        <f t="shared" si="5"/>
        <v>318500</v>
      </c>
      <c r="M16" s="15"/>
      <c r="N16" s="44">
        <v>6363.6360000000004</v>
      </c>
      <c r="O16" s="42">
        <f t="shared" si="6"/>
        <v>0</v>
      </c>
      <c r="P16" s="42">
        <f t="shared" si="7"/>
        <v>0</v>
      </c>
      <c r="Q16" s="42">
        <f t="shared" si="8"/>
        <v>0</v>
      </c>
      <c r="R16" s="48">
        <v>48</v>
      </c>
      <c r="S16" s="56">
        <v>4545.4544999999998</v>
      </c>
      <c r="T16" s="42">
        <f t="shared" si="9"/>
        <v>218182</v>
      </c>
      <c r="U16" s="42">
        <f t="shared" si="10"/>
        <v>21818</v>
      </c>
      <c r="V16" s="42">
        <f t="shared" si="11"/>
        <v>240000</v>
      </c>
      <c r="W16" s="46">
        <f t="shared" si="12"/>
        <v>1171000</v>
      </c>
    </row>
    <row r="17" spans="1:23" s="21" customFormat="1" x14ac:dyDescent="0.3">
      <c r="A17" s="54">
        <v>13</v>
      </c>
      <c r="B17" s="19">
        <v>46117</v>
      </c>
      <c r="C17" s="63">
        <v>0.2</v>
      </c>
      <c r="D17" s="40">
        <v>2268519</v>
      </c>
      <c r="E17" s="55">
        <f t="shared" si="0"/>
        <v>453704</v>
      </c>
      <c r="F17" s="55">
        <f t="shared" si="1"/>
        <v>36296</v>
      </c>
      <c r="G17" s="55">
        <f t="shared" si="2"/>
        <v>490000</v>
      </c>
      <c r="H17" s="64"/>
      <c r="I17" s="40">
        <v>2268519</v>
      </c>
      <c r="J17" s="42">
        <f t="shared" si="3"/>
        <v>0</v>
      </c>
      <c r="K17" s="42">
        <f t="shared" si="4"/>
        <v>0</v>
      </c>
      <c r="L17" s="42">
        <f t="shared" si="5"/>
        <v>0</v>
      </c>
      <c r="M17" s="15"/>
      <c r="N17" s="44">
        <v>6363.6360000000004</v>
      </c>
      <c r="O17" s="42">
        <f t="shared" si="6"/>
        <v>0</v>
      </c>
      <c r="P17" s="42">
        <f t="shared" si="7"/>
        <v>0</v>
      </c>
      <c r="Q17" s="42">
        <f t="shared" si="8"/>
        <v>0</v>
      </c>
      <c r="R17" s="49"/>
      <c r="S17" s="56">
        <v>4545.4544999999998</v>
      </c>
      <c r="T17" s="42">
        <f t="shared" si="9"/>
        <v>0</v>
      </c>
      <c r="U17" s="42">
        <f t="shared" si="10"/>
        <v>0</v>
      </c>
      <c r="V17" s="42">
        <f t="shared" si="11"/>
        <v>0</v>
      </c>
      <c r="W17" s="46">
        <f t="shared" si="12"/>
        <v>490000</v>
      </c>
    </row>
    <row r="18" spans="1:23" s="21" customFormat="1" x14ac:dyDescent="0.3">
      <c r="A18" s="54">
        <v>14</v>
      </c>
      <c r="B18" s="19">
        <v>46118</v>
      </c>
      <c r="C18" s="63">
        <v>0.75</v>
      </c>
      <c r="D18" s="40">
        <v>2268519</v>
      </c>
      <c r="E18" s="55">
        <f t="shared" si="0"/>
        <v>1701389</v>
      </c>
      <c r="F18" s="55">
        <f t="shared" si="1"/>
        <v>136111</v>
      </c>
      <c r="G18" s="55">
        <f t="shared" si="2"/>
        <v>1837500</v>
      </c>
      <c r="H18" s="64">
        <v>7.0000000000000007E-2</v>
      </c>
      <c r="I18" s="40">
        <v>2268519</v>
      </c>
      <c r="J18" s="42">
        <f t="shared" si="3"/>
        <v>158796</v>
      </c>
      <c r="K18" s="42">
        <f t="shared" si="4"/>
        <v>12704</v>
      </c>
      <c r="L18" s="42">
        <f t="shared" si="5"/>
        <v>171500</v>
      </c>
      <c r="M18" s="15"/>
      <c r="N18" s="44">
        <v>6363.6360000000004</v>
      </c>
      <c r="O18" s="42">
        <f t="shared" si="6"/>
        <v>0</v>
      </c>
      <c r="P18" s="42">
        <f t="shared" si="7"/>
        <v>0</v>
      </c>
      <c r="Q18" s="42">
        <f t="shared" si="8"/>
        <v>0</v>
      </c>
      <c r="R18" s="49"/>
      <c r="S18" s="56">
        <v>4545.4544999999998</v>
      </c>
      <c r="T18" s="42">
        <f t="shared" si="9"/>
        <v>0</v>
      </c>
      <c r="U18" s="42">
        <f t="shared" si="10"/>
        <v>0</v>
      </c>
      <c r="V18" s="42">
        <f t="shared" si="11"/>
        <v>0</v>
      </c>
      <c r="W18" s="46">
        <f t="shared" si="12"/>
        <v>2009000</v>
      </c>
    </row>
    <row r="19" spans="1:23" s="9" customFormat="1" x14ac:dyDescent="0.3">
      <c r="A19" s="54">
        <v>15</v>
      </c>
      <c r="B19" s="19">
        <v>46119</v>
      </c>
      <c r="C19" s="63">
        <v>0.75</v>
      </c>
      <c r="D19" s="40">
        <v>2268519</v>
      </c>
      <c r="E19" s="55">
        <f t="shared" si="0"/>
        <v>1701389</v>
      </c>
      <c r="F19" s="55">
        <f t="shared" si="1"/>
        <v>136111</v>
      </c>
      <c r="G19" s="55">
        <f t="shared" si="2"/>
        <v>1837500</v>
      </c>
      <c r="H19" s="64">
        <v>7.0000000000000007E-2</v>
      </c>
      <c r="I19" s="40">
        <v>2268519</v>
      </c>
      <c r="J19" s="42">
        <f t="shared" si="3"/>
        <v>158796</v>
      </c>
      <c r="K19" s="42">
        <f t="shared" si="4"/>
        <v>12704</v>
      </c>
      <c r="L19" s="42">
        <f t="shared" si="5"/>
        <v>171500</v>
      </c>
      <c r="M19" s="15"/>
      <c r="N19" s="44">
        <v>6363.6360000000004</v>
      </c>
      <c r="O19" s="42">
        <f t="shared" si="6"/>
        <v>0</v>
      </c>
      <c r="P19" s="42">
        <f t="shared" si="7"/>
        <v>0</v>
      </c>
      <c r="Q19" s="42">
        <f t="shared" si="8"/>
        <v>0</v>
      </c>
      <c r="R19" s="48"/>
      <c r="S19" s="56">
        <v>4545.4544999999998</v>
      </c>
      <c r="T19" s="42">
        <f t="shared" si="9"/>
        <v>0</v>
      </c>
      <c r="U19" s="42">
        <f t="shared" si="10"/>
        <v>0</v>
      </c>
      <c r="V19" s="42">
        <f t="shared" si="11"/>
        <v>0</v>
      </c>
      <c r="W19" s="46">
        <f t="shared" si="12"/>
        <v>2009000</v>
      </c>
    </row>
    <row r="20" spans="1:23" s="21" customFormat="1" x14ac:dyDescent="0.3">
      <c r="A20" s="54">
        <v>16</v>
      </c>
      <c r="B20" s="19">
        <v>46120</v>
      </c>
      <c r="C20" s="63">
        <v>0.75</v>
      </c>
      <c r="D20" s="40">
        <v>2268519</v>
      </c>
      <c r="E20" s="55">
        <f t="shared" si="0"/>
        <v>1701389</v>
      </c>
      <c r="F20" s="55">
        <f t="shared" si="1"/>
        <v>136111</v>
      </c>
      <c r="G20" s="55">
        <f t="shared" si="2"/>
        <v>1837500</v>
      </c>
      <c r="H20" s="64">
        <v>0.2</v>
      </c>
      <c r="I20" s="40">
        <v>2268519</v>
      </c>
      <c r="J20" s="42">
        <f t="shared" si="3"/>
        <v>453704</v>
      </c>
      <c r="K20" s="42">
        <f t="shared" si="4"/>
        <v>36296</v>
      </c>
      <c r="L20" s="42">
        <f t="shared" si="5"/>
        <v>490000</v>
      </c>
      <c r="M20" s="15"/>
      <c r="N20" s="44">
        <v>6363.6360000000004</v>
      </c>
      <c r="O20" s="42">
        <f t="shared" si="6"/>
        <v>0</v>
      </c>
      <c r="P20" s="42">
        <f t="shared" si="7"/>
        <v>0</v>
      </c>
      <c r="Q20" s="42">
        <f t="shared" si="8"/>
        <v>0</v>
      </c>
      <c r="R20" s="49"/>
      <c r="S20" s="56">
        <v>4545.4544999999998</v>
      </c>
      <c r="T20" s="42">
        <f t="shared" si="9"/>
        <v>0</v>
      </c>
      <c r="U20" s="42">
        <f t="shared" si="10"/>
        <v>0</v>
      </c>
      <c r="V20" s="42">
        <f t="shared" si="11"/>
        <v>0</v>
      </c>
      <c r="W20" s="46">
        <f>G20+L20+Q20+V20</f>
        <v>2327500</v>
      </c>
    </row>
    <row r="21" spans="1:23" s="21" customFormat="1" x14ac:dyDescent="0.3">
      <c r="A21" s="54">
        <v>17</v>
      </c>
      <c r="B21" s="19">
        <v>46121</v>
      </c>
      <c r="C21" s="63">
        <v>1</v>
      </c>
      <c r="D21" s="40">
        <v>2268519</v>
      </c>
      <c r="E21" s="55">
        <f t="shared" si="0"/>
        <v>2268519</v>
      </c>
      <c r="F21" s="55">
        <f t="shared" si="1"/>
        <v>181482</v>
      </c>
      <c r="G21" s="55">
        <f t="shared" si="2"/>
        <v>2450001</v>
      </c>
      <c r="H21" s="64">
        <v>7.0000000000000007E-2</v>
      </c>
      <c r="I21" s="40">
        <v>2268519</v>
      </c>
      <c r="J21" s="42">
        <f t="shared" si="3"/>
        <v>158796</v>
      </c>
      <c r="K21" s="42">
        <f t="shared" si="4"/>
        <v>12704</v>
      </c>
      <c r="L21" s="42">
        <f t="shared" si="5"/>
        <v>171500</v>
      </c>
      <c r="M21" s="15"/>
      <c r="N21" s="44">
        <v>6363.6360000000004</v>
      </c>
      <c r="O21" s="42">
        <f t="shared" si="6"/>
        <v>0</v>
      </c>
      <c r="P21" s="42">
        <f t="shared" si="7"/>
        <v>0</v>
      </c>
      <c r="Q21" s="42">
        <f t="shared" si="8"/>
        <v>0</v>
      </c>
      <c r="R21" s="49"/>
      <c r="S21" s="56">
        <v>4545.4544999999998</v>
      </c>
      <c r="T21" s="42">
        <f t="shared" si="9"/>
        <v>0</v>
      </c>
      <c r="U21" s="42">
        <f t="shared" si="10"/>
        <v>0</v>
      </c>
      <c r="V21" s="42">
        <f t="shared" si="11"/>
        <v>0</v>
      </c>
      <c r="W21" s="46">
        <f t="shared" si="12"/>
        <v>2621501</v>
      </c>
    </row>
    <row r="22" spans="1:23" s="9" customFormat="1" x14ac:dyDescent="0.3">
      <c r="A22" s="54">
        <v>18</v>
      </c>
      <c r="B22" s="19">
        <v>46122</v>
      </c>
      <c r="C22" s="63">
        <v>0.75</v>
      </c>
      <c r="D22" s="40">
        <v>2268519</v>
      </c>
      <c r="E22" s="55">
        <f t="shared" si="0"/>
        <v>1701389</v>
      </c>
      <c r="F22" s="55">
        <f t="shared" si="1"/>
        <v>136111</v>
      </c>
      <c r="G22" s="55">
        <f t="shared" si="2"/>
        <v>1837500</v>
      </c>
      <c r="H22" s="64"/>
      <c r="I22" s="40">
        <v>2268519</v>
      </c>
      <c r="J22" s="42">
        <f t="shared" si="3"/>
        <v>0</v>
      </c>
      <c r="K22" s="42">
        <f t="shared" si="4"/>
        <v>0</v>
      </c>
      <c r="L22" s="42">
        <f t="shared" si="5"/>
        <v>0</v>
      </c>
      <c r="M22" s="15"/>
      <c r="N22" s="44">
        <v>6363.6360000000004</v>
      </c>
      <c r="O22" s="42">
        <f t="shared" si="6"/>
        <v>0</v>
      </c>
      <c r="P22" s="42">
        <f t="shared" si="7"/>
        <v>0</v>
      </c>
      <c r="Q22" s="42">
        <f t="shared" si="8"/>
        <v>0</v>
      </c>
      <c r="R22" s="48"/>
      <c r="S22" s="56">
        <v>4545.4544999999998</v>
      </c>
      <c r="T22" s="42">
        <f t="shared" si="9"/>
        <v>0</v>
      </c>
      <c r="U22" s="42">
        <f t="shared" si="10"/>
        <v>0</v>
      </c>
      <c r="V22" s="42">
        <f t="shared" si="11"/>
        <v>0</v>
      </c>
      <c r="W22" s="46">
        <f t="shared" si="12"/>
        <v>1837500</v>
      </c>
    </row>
    <row r="23" spans="1:23" s="21" customFormat="1" x14ac:dyDescent="0.3">
      <c r="A23" s="54">
        <v>19</v>
      </c>
      <c r="B23" s="19">
        <v>46123</v>
      </c>
      <c r="C23" s="63">
        <v>0.5</v>
      </c>
      <c r="D23" s="40">
        <v>2268519</v>
      </c>
      <c r="E23" s="55">
        <f t="shared" si="0"/>
        <v>1134260</v>
      </c>
      <c r="F23" s="55">
        <f t="shared" si="1"/>
        <v>90741</v>
      </c>
      <c r="G23" s="55">
        <f t="shared" si="2"/>
        <v>1225001</v>
      </c>
      <c r="H23" s="64"/>
      <c r="I23" s="40">
        <v>2268519</v>
      </c>
      <c r="J23" s="42">
        <f t="shared" si="3"/>
        <v>0</v>
      </c>
      <c r="K23" s="42">
        <f t="shared" si="4"/>
        <v>0</v>
      </c>
      <c r="L23" s="42">
        <f t="shared" si="5"/>
        <v>0</v>
      </c>
      <c r="M23" s="15"/>
      <c r="N23" s="44">
        <v>6363.6360000000004</v>
      </c>
      <c r="O23" s="42">
        <f t="shared" si="6"/>
        <v>0</v>
      </c>
      <c r="P23" s="42">
        <f t="shared" si="7"/>
        <v>0</v>
      </c>
      <c r="Q23" s="42">
        <f t="shared" si="8"/>
        <v>0</v>
      </c>
      <c r="R23" s="49"/>
      <c r="S23" s="56">
        <v>4545.4544999999998</v>
      </c>
      <c r="T23" s="42">
        <f t="shared" si="9"/>
        <v>0</v>
      </c>
      <c r="U23" s="42">
        <f t="shared" si="10"/>
        <v>0</v>
      </c>
      <c r="V23" s="42">
        <f t="shared" si="11"/>
        <v>0</v>
      </c>
      <c r="W23" s="46">
        <f t="shared" si="12"/>
        <v>1225001</v>
      </c>
    </row>
    <row r="24" spans="1:23" s="9" customFormat="1" x14ac:dyDescent="0.3">
      <c r="A24" s="54">
        <v>20</v>
      </c>
      <c r="B24" s="19">
        <v>46124</v>
      </c>
      <c r="C24" s="63">
        <v>0.2</v>
      </c>
      <c r="D24" s="40">
        <v>2268519</v>
      </c>
      <c r="E24" s="55">
        <f t="shared" si="0"/>
        <v>453704</v>
      </c>
      <c r="F24" s="55">
        <f t="shared" si="1"/>
        <v>36296</v>
      </c>
      <c r="G24" s="55">
        <f t="shared" si="2"/>
        <v>490000</v>
      </c>
      <c r="H24" s="64"/>
      <c r="I24" s="40">
        <v>2268519</v>
      </c>
      <c r="J24" s="42">
        <f t="shared" si="3"/>
        <v>0</v>
      </c>
      <c r="K24" s="42">
        <f t="shared" si="4"/>
        <v>0</v>
      </c>
      <c r="L24" s="42">
        <f t="shared" si="5"/>
        <v>0</v>
      </c>
      <c r="M24" s="15"/>
      <c r="N24" s="44">
        <v>6363.6360000000004</v>
      </c>
      <c r="O24" s="42">
        <f t="shared" si="6"/>
        <v>0</v>
      </c>
      <c r="P24" s="42">
        <f t="shared" si="7"/>
        <v>0</v>
      </c>
      <c r="Q24" s="42">
        <f t="shared" si="8"/>
        <v>0</v>
      </c>
      <c r="R24" s="48"/>
      <c r="S24" s="56">
        <v>4545.4544999999998</v>
      </c>
      <c r="T24" s="42">
        <f t="shared" si="9"/>
        <v>0</v>
      </c>
      <c r="U24" s="42">
        <f t="shared" si="10"/>
        <v>0</v>
      </c>
      <c r="V24" s="42">
        <f t="shared" si="11"/>
        <v>0</v>
      </c>
      <c r="W24" s="46">
        <f t="shared" si="12"/>
        <v>490000</v>
      </c>
    </row>
    <row r="25" spans="1:23" s="9" customFormat="1" x14ac:dyDescent="0.3">
      <c r="A25" s="54">
        <v>21</v>
      </c>
      <c r="B25" s="19">
        <v>46125</v>
      </c>
      <c r="C25" s="63">
        <v>1</v>
      </c>
      <c r="D25" s="40">
        <v>2268519</v>
      </c>
      <c r="E25" s="55">
        <f t="shared" si="0"/>
        <v>2268519</v>
      </c>
      <c r="F25" s="55">
        <f t="shared" si="1"/>
        <v>181482</v>
      </c>
      <c r="G25" s="55">
        <f t="shared" si="2"/>
        <v>2450001</v>
      </c>
      <c r="H25" s="64">
        <v>0.27</v>
      </c>
      <c r="I25" s="40">
        <v>2268519</v>
      </c>
      <c r="J25" s="42">
        <f t="shared" si="3"/>
        <v>612500</v>
      </c>
      <c r="K25" s="42">
        <f t="shared" si="4"/>
        <v>49000</v>
      </c>
      <c r="L25" s="42">
        <f t="shared" si="5"/>
        <v>661500</v>
      </c>
      <c r="M25" s="15"/>
      <c r="N25" s="44">
        <v>6363.6360000000004</v>
      </c>
      <c r="O25" s="42">
        <f t="shared" si="6"/>
        <v>0</v>
      </c>
      <c r="P25" s="42">
        <f t="shared" si="7"/>
        <v>0</v>
      </c>
      <c r="Q25" s="42">
        <f t="shared" si="8"/>
        <v>0</v>
      </c>
      <c r="R25" s="48"/>
      <c r="S25" s="56">
        <v>4545.4544999999998</v>
      </c>
      <c r="T25" s="42">
        <f t="shared" si="9"/>
        <v>0</v>
      </c>
      <c r="U25" s="42">
        <f t="shared" si="10"/>
        <v>0</v>
      </c>
      <c r="V25" s="42">
        <f t="shared" si="11"/>
        <v>0</v>
      </c>
      <c r="W25" s="46">
        <f t="shared" si="12"/>
        <v>3111501</v>
      </c>
    </row>
    <row r="26" spans="1:23" s="21" customFormat="1" x14ac:dyDescent="0.3">
      <c r="A26" s="54">
        <v>22</v>
      </c>
      <c r="B26" s="19">
        <v>46126</v>
      </c>
      <c r="C26" s="63">
        <v>0.75</v>
      </c>
      <c r="D26" s="40">
        <v>2268519</v>
      </c>
      <c r="E26" s="55">
        <f t="shared" si="0"/>
        <v>1701389</v>
      </c>
      <c r="F26" s="55">
        <f t="shared" si="1"/>
        <v>136111</v>
      </c>
      <c r="G26" s="55">
        <f t="shared" si="2"/>
        <v>1837500</v>
      </c>
      <c r="H26" s="64"/>
      <c r="I26" s="40">
        <v>2268519</v>
      </c>
      <c r="J26" s="42">
        <f t="shared" si="3"/>
        <v>0</v>
      </c>
      <c r="K26" s="42">
        <f t="shared" si="4"/>
        <v>0</v>
      </c>
      <c r="L26" s="42">
        <f t="shared" si="5"/>
        <v>0</v>
      </c>
      <c r="M26" s="15">
        <v>165</v>
      </c>
      <c r="N26" s="44">
        <v>6363.6360000000004</v>
      </c>
      <c r="O26" s="42">
        <f t="shared" si="6"/>
        <v>1050000</v>
      </c>
      <c r="P26" s="42">
        <f t="shared" si="7"/>
        <v>84000</v>
      </c>
      <c r="Q26" s="42">
        <f t="shared" si="8"/>
        <v>1134000</v>
      </c>
      <c r="R26" s="49"/>
      <c r="S26" s="56">
        <v>4545.4544999999998</v>
      </c>
      <c r="T26" s="42">
        <f t="shared" si="9"/>
        <v>0</v>
      </c>
      <c r="U26" s="42">
        <f t="shared" si="10"/>
        <v>0</v>
      </c>
      <c r="V26" s="42">
        <f t="shared" si="11"/>
        <v>0</v>
      </c>
      <c r="W26" s="46">
        <f t="shared" si="12"/>
        <v>2971500</v>
      </c>
    </row>
    <row r="27" spans="1:23" s="9" customFormat="1" x14ac:dyDescent="0.3">
      <c r="A27" s="54">
        <v>23</v>
      </c>
      <c r="B27" s="19">
        <v>46127</v>
      </c>
      <c r="C27" s="63">
        <v>0.75</v>
      </c>
      <c r="D27" s="40">
        <v>2268519</v>
      </c>
      <c r="E27" s="55">
        <f t="shared" ref="E27:E34" si="13">ROUND(D27*C27,0)</f>
        <v>1701389</v>
      </c>
      <c r="F27" s="55">
        <f t="shared" ref="F27:F34" si="14">ROUND(E27*8%,0)</f>
        <v>136111</v>
      </c>
      <c r="G27" s="55">
        <f t="shared" ref="G27:G34" si="15">E27+F27</f>
        <v>1837500</v>
      </c>
      <c r="H27" s="64">
        <v>7.0000000000000007E-2</v>
      </c>
      <c r="I27" s="40">
        <v>2268519</v>
      </c>
      <c r="J27" s="42">
        <f t="shared" ref="J27:J34" si="16">ROUND(I27*H27,0)</f>
        <v>158796</v>
      </c>
      <c r="K27" s="42">
        <f t="shared" ref="K27:K34" si="17">ROUND(J27*8%,0)</f>
        <v>12704</v>
      </c>
      <c r="L27" s="42">
        <f t="shared" ref="L27:L34" si="18">J27+K27</f>
        <v>171500</v>
      </c>
      <c r="M27" s="15"/>
      <c r="N27" s="44">
        <v>6363.6360000000004</v>
      </c>
      <c r="O27" s="42">
        <f t="shared" ref="O27:O34" si="19">ROUND(N27*M27,0)</f>
        <v>0</v>
      </c>
      <c r="P27" s="42">
        <f t="shared" ref="P27:P34" si="20">ROUND(O27*8%,0)</f>
        <v>0</v>
      </c>
      <c r="Q27" s="42">
        <f t="shared" ref="Q27:Q34" si="21">O27+P27</f>
        <v>0</v>
      </c>
      <c r="R27" s="48"/>
      <c r="S27" s="56">
        <v>4545.4544999999998</v>
      </c>
      <c r="T27" s="42">
        <f t="shared" ref="T27:T34" si="22">ROUND(R27*S27,0)</f>
        <v>0</v>
      </c>
      <c r="U27" s="42">
        <f t="shared" ref="U27:U34" si="23">ROUND(T27*10%,0)</f>
        <v>0</v>
      </c>
      <c r="V27" s="42">
        <f t="shared" si="11"/>
        <v>0</v>
      </c>
      <c r="W27" s="46">
        <f t="shared" ref="W27:W34" si="24">G27+L27+Q27+V27</f>
        <v>2009000</v>
      </c>
    </row>
    <row r="28" spans="1:23" s="9" customFormat="1" x14ac:dyDescent="0.3">
      <c r="A28" s="54">
        <v>24</v>
      </c>
      <c r="B28" s="19">
        <v>46128</v>
      </c>
      <c r="C28" s="63">
        <v>1</v>
      </c>
      <c r="D28" s="40">
        <v>2268519</v>
      </c>
      <c r="E28" s="55">
        <f t="shared" si="13"/>
        <v>2268519</v>
      </c>
      <c r="F28" s="55">
        <f t="shared" si="14"/>
        <v>181482</v>
      </c>
      <c r="G28" s="55">
        <f t="shared" si="15"/>
        <v>2450001</v>
      </c>
      <c r="H28" s="64">
        <v>7.0000000000000007E-2</v>
      </c>
      <c r="I28" s="40">
        <v>2268519</v>
      </c>
      <c r="J28" s="42">
        <f t="shared" si="16"/>
        <v>158796</v>
      </c>
      <c r="K28" s="42">
        <f t="shared" si="17"/>
        <v>12704</v>
      </c>
      <c r="L28" s="42">
        <f t="shared" si="18"/>
        <v>171500</v>
      </c>
      <c r="M28" s="15"/>
      <c r="N28" s="44">
        <v>6363.6360000000004</v>
      </c>
      <c r="O28" s="42">
        <f t="shared" si="19"/>
        <v>0</v>
      </c>
      <c r="P28" s="42">
        <f t="shared" si="20"/>
        <v>0</v>
      </c>
      <c r="Q28" s="42">
        <f t="shared" si="21"/>
        <v>0</v>
      </c>
      <c r="R28" s="48"/>
      <c r="S28" s="56">
        <v>4545.4544999999998</v>
      </c>
      <c r="T28" s="42">
        <f t="shared" si="22"/>
        <v>0</v>
      </c>
      <c r="U28" s="42">
        <f t="shared" si="23"/>
        <v>0</v>
      </c>
      <c r="V28" s="42">
        <f t="shared" si="11"/>
        <v>0</v>
      </c>
      <c r="W28" s="46">
        <f t="shared" si="24"/>
        <v>2621501</v>
      </c>
    </row>
    <row r="29" spans="1:23" s="21" customFormat="1" x14ac:dyDescent="0.3">
      <c r="A29" s="54">
        <v>25</v>
      </c>
      <c r="B29" s="19">
        <v>46129</v>
      </c>
      <c r="C29" s="63">
        <v>0.75</v>
      </c>
      <c r="D29" s="40">
        <v>2268519</v>
      </c>
      <c r="E29" s="55">
        <f t="shared" si="13"/>
        <v>1701389</v>
      </c>
      <c r="F29" s="55">
        <f t="shared" si="14"/>
        <v>136111</v>
      </c>
      <c r="G29" s="55">
        <f t="shared" si="15"/>
        <v>1837500</v>
      </c>
      <c r="H29" s="64">
        <v>0.2</v>
      </c>
      <c r="I29" s="40">
        <v>2268519</v>
      </c>
      <c r="J29" s="42">
        <f t="shared" si="16"/>
        <v>453704</v>
      </c>
      <c r="K29" s="42">
        <f t="shared" si="17"/>
        <v>36296</v>
      </c>
      <c r="L29" s="42">
        <f t="shared" si="18"/>
        <v>490000</v>
      </c>
      <c r="M29" s="15"/>
      <c r="N29" s="44">
        <v>6363.6360000000004</v>
      </c>
      <c r="O29" s="42">
        <f t="shared" si="19"/>
        <v>0</v>
      </c>
      <c r="P29" s="42">
        <f t="shared" si="20"/>
        <v>0</v>
      </c>
      <c r="Q29" s="42">
        <f t="shared" si="21"/>
        <v>0</v>
      </c>
      <c r="R29" s="49"/>
      <c r="S29" s="56">
        <v>4545.4544999999998</v>
      </c>
      <c r="T29" s="42">
        <f t="shared" si="22"/>
        <v>0</v>
      </c>
      <c r="U29" s="42">
        <f t="shared" si="23"/>
        <v>0</v>
      </c>
      <c r="V29" s="42">
        <f t="shared" si="11"/>
        <v>0</v>
      </c>
      <c r="W29" s="46">
        <f t="shared" si="24"/>
        <v>2327500</v>
      </c>
    </row>
    <row r="30" spans="1:23" s="21" customFormat="1" x14ac:dyDescent="0.3">
      <c r="A30" s="54">
        <v>26</v>
      </c>
      <c r="B30" s="19">
        <v>46130</v>
      </c>
      <c r="C30" s="63">
        <v>0.5</v>
      </c>
      <c r="D30" s="40">
        <v>2268519</v>
      </c>
      <c r="E30" s="55">
        <f t="shared" si="13"/>
        <v>1134260</v>
      </c>
      <c r="F30" s="55">
        <f t="shared" si="14"/>
        <v>90741</v>
      </c>
      <c r="G30" s="55">
        <f t="shared" si="15"/>
        <v>1225001</v>
      </c>
      <c r="H30" s="64">
        <v>7.0000000000000007E-2</v>
      </c>
      <c r="I30" s="40">
        <v>2268519</v>
      </c>
      <c r="J30" s="42">
        <f t="shared" si="16"/>
        <v>158796</v>
      </c>
      <c r="K30" s="42">
        <f t="shared" si="17"/>
        <v>12704</v>
      </c>
      <c r="L30" s="42">
        <f t="shared" si="18"/>
        <v>171500</v>
      </c>
      <c r="M30" s="15"/>
      <c r="N30" s="44">
        <v>6363.6360000000004</v>
      </c>
      <c r="O30" s="42">
        <f t="shared" si="19"/>
        <v>0</v>
      </c>
      <c r="P30" s="42">
        <f t="shared" si="20"/>
        <v>0</v>
      </c>
      <c r="Q30" s="42">
        <f t="shared" si="21"/>
        <v>0</v>
      </c>
      <c r="R30" s="49"/>
      <c r="S30" s="56">
        <v>4545.4544999999998</v>
      </c>
      <c r="T30" s="42">
        <f t="shared" si="22"/>
        <v>0</v>
      </c>
      <c r="U30" s="42">
        <f t="shared" si="23"/>
        <v>0</v>
      </c>
      <c r="V30" s="42">
        <f t="shared" si="11"/>
        <v>0</v>
      </c>
      <c r="W30" s="46">
        <f t="shared" si="24"/>
        <v>1396501</v>
      </c>
    </row>
    <row r="31" spans="1:23" s="9" customFormat="1" x14ac:dyDescent="0.3">
      <c r="A31" s="54">
        <v>27</v>
      </c>
      <c r="B31" s="19">
        <v>46131</v>
      </c>
      <c r="C31" s="63">
        <v>0.2</v>
      </c>
      <c r="D31" s="40">
        <v>2268519</v>
      </c>
      <c r="E31" s="55">
        <f t="shared" si="13"/>
        <v>453704</v>
      </c>
      <c r="F31" s="55">
        <f t="shared" si="14"/>
        <v>36296</v>
      </c>
      <c r="G31" s="55">
        <f t="shared" si="15"/>
        <v>490000</v>
      </c>
      <c r="H31" s="64"/>
      <c r="I31" s="40">
        <v>2268519</v>
      </c>
      <c r="J31" s="42">
        <f t="shared" si="16"/>
        <v>0</v>
      </c>
      <c r="K31" s="42">
        <f t="shared" si="17"/>
        <v>0</v>
      </c>
      <c r="L31" s="42">
        <f t="shared" si="18"/>
        <v>0</v>
      </c>
      <c r="M31" s="15"/>
      <c r="N31" s="44">
        <v>6363.6360000000004</v>
      </c>
      <c r="O31" s="42">
        <f t="shared" si="19"/>
        <v>0</v>
      </c>
      <c r="P31" s="42">
        <f t="shared" si="20"/>
        <v>0</v>
      </c>
      <c r="Q31" s="42">
        <f t="shared" si="21"/>
        <v>0</v>
      </c>
      <c r="R31" s="48"/>
      <c r="S31" s="56">
        <v>4545.4544999999998</v>
      </c>
      <c r="T31" s="42">
        <f t="shared" si="22"/>
        <v>0</v>
      </c>
      <c r="U31" s="42">
        <f t="shared" si="23"/>
        <v>0</v>
      </c>
      <c r="V31" s="42">
        <f t="shared" si="11"/>
        <v>0</v>
      </c>
      <c r="W31" s="46">
        <f t="shared" si="24"/>
        <v>490000</v>
      </c>
    </row>
    <row r="32" spans="1:23" s="21" customFormat="1" x14ac:dyDescent="0.3">
      <c r="A32" s="54">
        <v>28</v>
      </c>
      <c r="B32" s="19">
        <v>46132</v>
      </c>
      <c r="C32" s="63">
        <v>0.75</v>
      </c>
      <c r="D32" s="40">
        <v>2268519</v>
      </c>
      <c r="E32" s="55">
        <f t="shared" si="13"/>
        <v>1701389</v>
      </c>
      <c r="F32" s="55">
        <f t="shared" si="14"/>
        <v>136111</v>
      </c>
      <c r="G32" s="55">
        <f t="shared" si="15"/>
        <v>1837500</v>
      </c>
      <c r="H32" s="64">
        <v>0.13</v>
      </c>
      <c r="I32" s="40">
        <v>2268519</v>
      </c>
      <c r="J32" s="42">
        <f t="shared" si="16"/>
        <v>294907</v>
      </c>
      <c r="K32" s="42">
        <f t="shared" si="17"/>
        <v>23593</v>
      </c>
      <c r="L32" s="42">
        <f t="shared" si="18"/>
        <v>318500</v>
      </c>
      <c r="M32" s="15"/>
      <c r="N32" s="44">
        <v>6363.6360000000004</v>
      </c>
      <c r="O32" s="42">
        <f t="shared" si="19"/>
        <v>0</v>
      </c>
      <c r="P32" s="42">
        <f t="shared" si="20"/>
        <v>0</v>
      </c>
      <c r="Q32" s="42">
        <f t="shared" si="21"/>
        <v>0</v>
      </c>
      <c r="R32" s="49"/>
      <c r="S32" s="56">
        <v>4545.4544999999998</v>
      </c>
      <c r="T32" s="42">
        <f t="shared" si="22"/>
        <v>0</v>
      </c>
      <c r="U32" s="42">
        <f t="shared" si="23"/>
        <v>0</v>
      </c>
      <c r="V32" s="42">
        <f t="shared" si="11"/>
        <v>0</v>
      </c>
      <c r="W32" s="46">
        <f t="shared" si="24"/>
        <v>2156000</v>
      </c>
    </row>
    <row r="33" spans="1:23" s="9" customFormat="1" x14ac:dyDescent="0.3">
      <c r="A33" s="54">
        <v>29</v>
      </c>
      <c r="B33" s="19">
        <v>46133</v>
      </c>
      <c r="C33" s="63">
        <v>0.75</v>
      </c>
      <c r="D33" s="40">
        <v>2268519</v>
      </c>
      <c r="E33" s="55">
        <f t="shared" si="13"/>
        <v>1701389</v>
      </c>
      <c r="F33" s="55">
        <f t="shared" si="14"/>
        <v>136111</v>
      </c>
      <c r="G33" s="55">
        <f t="shared" si="15"/>
        <v>1837500</v>
      </c>
      <c r="H33" s="64">
        <v>7.0000000000000007E-2</v>
      </c>
      <c r="I33" s="40">
        <v>2268519</v>
      </c>
      <c r="J33" s="42">
        <f t="shared" si="16"/>
        <v>158796</v>
      </c>
      <c r="K33" s="42">
        <f t="shared" si="17"/>
        <v>12704</v>
      </c>
      <c r="L33" s="42">
        <f t="shared" si="18"/>
        <v>171500</v>
      </c>
      <c r="M33" s="15"/>
      <c r="N33" s="44">
        <v>6363.6360000000004</v>
      </c>
      <c r="O33" s="42">
        <f t="shared" si="19"/>
        <v>0</v>
      </c>
      <c r="P33" s="42">
        <f t="shared" si="20"/>
        <v>0</v>
      </c>
      <c r="Q33" s="42">
        <f t="shared" si="21"/>
        <v>0</v>
      </c>
      <c r="R33" s="48">
        <v>2420</v>
      </c>
      <c r="S33" s="56">
        <v>4545.4544999999998</v>
      </c>
      <c r="T33" s="42">
        <f t="shared" si="22"/>
        <v>11000000</v>
      </c>
      <c r="U33" s="42">
        <f t="shared" si="23"/>
        <v>1100000</v>
      </c>
      <c r="V33" s="42">
        <f t="shared" si="11"/>
        <v>12100000</v>
      </c>
      <c r="W33" s="46">
        <f t="shared" si="24"/>
        <v>14109000</v>
      </c>
    </row>
    <row r="34" spans="1:23" s="9" customFormat="1" x14ac:dyDescent="0.3">
      <c r="A34" s="54">
        <v>30</v>
      </c>
      <c r="B34" s="19">
        <v>46134</v>
      </c>
      <c r="C34" s="63">
        <v>0.75</v>
      </c>
      <c r="D34" s="40">
        <v>2268519</v>
      </c>
      <c r="E34" s="55">
        <f t="shared" si="13"/>
        <v>1701389</v>
      </c>
      <c r="F34" s="55">
        <f t="shared" si="14"/>
        <v>136111</v>
      </c>
      <c r="G34" s="55">
        <f t="shared" si="15"/>
        <v>1837500</v>
      </c>
      <c r="H34" s="64">
        <v>7.0000000000000007E-2</v>
      </c>
      <c r="I34" s="40">
        <v>2268519</v>
      </c>
      <c r="J34" s="42">
        <f t="shared" si="16"/>
        <v>158796</v>
      </c>
      <c r="K34" s="42">
        <f t="shared" si="17"/>
        <v>12704</v>
      </c>
      <c r="L34" s="42">
        <f t="shared" si="18"/>
        <v>171500</v>
      </c>
      <c r="M34" s="15"/>
      <c r="N34" s="44">
        <v>6363.6360000000004</v>
      </c>
      <c r="O34" s="42">
        <f t="shared" si="19"/>
        <v>0</v>
      </c>
      <c r="P34" s="42">
        <f t="shared" si="20"/>
        <v>0</v>
      </c>
      <c r="Q34" s="42">
        <f t="shared" si="21"/>
        <v>0</v>
      </c>
      <c r="R34" s="48"/>
      <c r="S34" s="56">
        <v>4545.4544999999998</v>
      </c>
      <c r="T34" s="42">
        <f t="shared" si="22"/>
        <v>0</v>
      </c>
      <c r="U34" s="42">
        <f t="shared" si="23"/>
        <v>0</v>
      </c>
      <c r="V34" s="42">
        <f t="shared" si="11"/>
        <v>0</v>
      </c>
      <c r="W34" s="46">
        <f t="shared" si="24"/>
        <v>2009000</v>
      </c>
    </row>
    <row r="35" spans="1:23" x14ac:dyDescent="0.3">
      <c r="A35" s="65"/>
      <c r="B35" s="66"/>
      <c r="C35" s="62">
        <v>20.350000000000001</v>
      </c>
      <c r="D35" s="7"/>
      <c r="E35" s="57">
        <f>SUM(E5:E34)</f>
        <v>46164361</v>
      </c>
      <c r="F35" s="57">
        <f>SUM(F5:F34)</f>
        <v>3693150</v>
      </c>
      <c r="G35" s="59">
        <f>SUM(G5:G34)</f>
        <v>49857511</v>
      </c>
      <c r="H35" s="62">
        <v>2.37</v>
      </c>
      <c r="I35" s="58"/>
      <c r="J35" s="58">
        <f>SUM(J5:J34)</f>
        <v>5376386</v>
      </c>
      <c r="K35" s="58">
        <f>SUM(K5:K34)</f>
        <v>430114</v>
      </c>
      <c r="L35" s="60">
        <f>SUM(L5:L34)</f>
        <v>5806500</v>
      </c>
      <c r="M35" s="7">
        <f>SUM(M5:M34)</f>
        <v>165</v>
      </c>
      <c r="N35" s="58"/>
      <c r="O35" s="58">
        <f>SUM(O5:O34)</f>
        <v>1050000</v>
      </c>
      <c r="P35" s="58">
        <f>SUM(P5:P34)</f>
        <v>84000</v>
      </c>
      <c r="Q35" s="60">
        <f>SUM(Q5:Q34)</f>
        <v>1134000</v>
      </c>
      <c r="R35" s="7">
        <f>SUM(R5:R34)</f>
        <v>2636</v>
      </c>
      <c r="S35" s="7"/>
      <c r="T35" s="58">
        <f>SUM(T5:T34)</f>
        <v>11981819</v>
      </c>
      <c r="U35" s="58">
        <f>SUM(U5:U34)</f>
        <v>1198181</v>
      </c>
      <c r="V35" s="60">
        <f>SUM(V5:V34)</f>
        <v>13180000</v>
      </c>
      <c r="W35" s="60">
        <f>Q35+L35+G35+V35</f>
        <v>69978011</v>
      </c>
    </row>
    <row r="36" spans="1:23" x14ac:dyDescent="0.3">
      <c r="A36" s="3"/>
      <c r="B36" s="67" t="s">
        <v>1</v>
      </c>
      <c r="C36" s="67"/>
      <c r="D36" s="67"/>
      <c r="E36" s="67"/>
      <c r="F36" s="52"/>
      <c r="G36" s="52"/>
      <c r="H36" s="61"/>
      <c r="I36" s="5"/>
      <c r="J36" s="4"/>
      <c r="K36" s="4"/>
      <c r="L36" s="4"/>
      <c r="M36" s="4"/>
      <c r="N36" s="4"/>
      <c r="O36" s="4"/>
      <c r="P36" s="4"/>
      <c r="Q36" s="4"/>
      <c r="R36" s="67" t="s">
        <v>1</v>
      </c>
      <c r="S36" s="67"/>
      <c r="T36" s="67"/>
      <c r="U36" s="67"/>
      <c r="V36" s="67"/>
      <c r="W36" s="67"/>
    </row>
    <row r="37" spans="1:23" x14ac:dyDescent="0.3">
      <c r="A37" s="3"/>
      <c r="B37" s="68" t="s">
        <v>0</v>
      </c>
      <c r="C37" s="68"/>
      <c r="D37" s="68"/>
      <c r="E37" s="68"/>
      <c r="F37" s="53"/>
      <c r="G37" s="53"/>
      <c r="H37" s="1"/>
      <c r="I37" s="2"/>
      <c r="J37" s="1"/>
      <c r="K37" s="1"/>
      <c r="L37" s="1"/>
      <c r="M37" s="1"/>
      <c r="N37" s="1"/>
      <c r="O37" s="68" t="s">
        <v>15</v>
      </c>
      <c r="P37" s="68"/>
      <c r="Q37" s="68"/>
      <c r="R37" s="68"/>
      <c r="S37" s="68"/>
      <c r="T37" s="68"/>
      <c r="U37" s="68"/>
      <c r="V37" s="68"/>
      <c r="W37" s="68"/>
    </row>
  </sheetData>
  <mergeCells count="12">
    <mergeCell ref="A35:B35"/>
    <mergeCell ref="B36:E36"/>
    <mergeCell ref="R36:W36"/>
    <mergeCell ref="B37:E37"/>
    <mergeCell ref="O37:W37"/>
    <mergeCell ref="A1:W1"/>
    <mergeCell ref="C3:G3"/>
    <mergeCell ref="H3:L3"/>
    <mergeCell ref="M3:Q3"/>
    <mergeCell ref="R3:V3"/>
    <mergeCell ref="W3:W4"/>
    <mergeCell ref="A4:B4"/>
  </mergeCells>
  <conditionalFormatting sqref="B5:B34">
    <cfRule type="expression" dxfId="6" priority="1" stopIfTrue="1">
      <formula>WEEKDAY($B5)=1</formula>
    </cfRule>
  </conditionalFormatting>
  <dataValidations count="1">
    <dataValidation type="decimal" showInputMessage="1" showErrorMessage="1" sqref="C1:C34 C36:C1048576" xr:uid="{2964B730-5761-433F-B9FD-BEF1A8DC1194}">
      <formula1>0</formula1>
      <formula2>1</formula2>
    </dataValidation>
  </dataValidations>
  <pageMargins left="0.23622047244094491" right="0.19685039370078741" top="0.35433070866141736" bottom="0.74803149606299213" header="0.31496062992125984" footer="0.31496062992125984"/>
  <pageSetup paperSize="9" scale="6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0AF1E-23BF-484C-A365-070D6B2225E9}">
  <sheetPr codeName="Sheet1">
    <pageSetUpPr fitToPage="1"/>
  </sheetPr>
  <dimension ref="A1:W29"/>
  <sheetViews>
    <sheetView view="pageBreakPreview" zoomScale="115" zoomScaleNormal="115" zoomScaleSheetLayoutView="115" workbookViewId="0">
      <pane ySplit="4" topLeftCell="A11" activePane="bottomLeft" state="frozen"/>
      <selection pane="bottomLeft" activeCell="I20" sqref="I20"/>
    </sheetView>
  </sheetViews>
  <sheetFormatPr defaultRowHeight="14" x14ac:dyDescent="0.3"/>
  <cols>
    <col min="5" max="5" width="10.1640625" bestFit="1" customWidth="1"/>
    <col min="6" max="7" width="10.1640625" customWidth="1"/>
    <col min="10" max="10" width="9.9140625" bestFit="1" customWidth="1"/>
    <col min="11" max="12" width="9.9140625" customWidth="1"/>
    <col min="15" max="15" width="9.9140625" bestFit="1" customWidth="1"/>
    <col min="16" max="17" width="9.9140625" customWidth="1"/>
    <col min="20" max="20" width="9.9140625" bestFit="1" customWidth="1"/>
    <col min="21" max="22" width="9.9140625" customWidth="1"/>
    <col min="23" max="23" width="10.6640625" bestFit="1" customWidth="1"/>
  </cols>
  <sheetData>
    <row r="1" spans="1:23" ht="44.25" customHeight="1" x14ac:dyDescent="0.3">
      <c r="A1" s="69" t="s">
        <v>18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</row>
    <row r="2" spans="1:23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7"/>
      <c r="V2" s="27"/>
      <c r="W2" s="27"/>
    </row>
    <row r="3" spans="1:23" ht="26.25" customHeight="1" x14ac:dyDescent="0.3">
      <c r="A3" s="26" t="s">
        <v>13</v>
      </c>
      <c r="B3" s="25" t="s">
        <v>12</v>
      </c>
      <c r="C3" s="71" t="s">
        <v>11</v>
      </c>
      <c r="D3" s="72"/>
      <c r="E3" s="72"/>
      <c r="F3" s="72"/>
      <c r="G3" s="73"/>
      <c r="H3" s="74" t="s">
        <v>10</v>
      </c>
      <c r="I3" s="72"/>
      <c r="J3" s="72"/>
      <c r="K3" s="72"/>
      <c r="L3" s="73"/>
      <c r="M3" s="74" t="s">
        <v>9</v>
      </c>
      <c r="N3" s="72"/>
      <c r="O3" s="72"/>
      <c r="P3" s="72"/>
      <c r="Q3" s="73"/>
      <c r="R3" s="75" t="s">
        <v>8</v>
      </c>
      <c r="S3" s="76"/>
      <c r="T3" s="76"/>
      <c r="U3" s="76"/>
      <c r="V3" s="77"/>
      <c r="W3" s="78" t="s">
        <v>7</v>
      </c>
    </row>
    <row r="4" spans="1:23" ht="60.5" customHeight="1" x14ac:dyDescent="0.3">
      <c r="A4" s="80" t="s">
        <v>17</v>
      </c>
      <c r="B4" s="81"/>
      <c r="C4" s="24" t="s">
        <v>5</v>
      </c>
      <c r="D4" s="24" t="s">
        <v>28</v>
      </c>
      <c r="E4" s="24" t="s">
        <v>29</v>
      </c>
      <c r="F4" s="24" t="s">
        <v>23</v>
      </c>
      <c r="G4" s="24" t="s">
        <v>27</v>
      </c>
      <c r="H4" s="24" t="s">
        <v>5</v>
      </c>
      <c r="I4" s="24" t="s">
        <v>28</v>
      </c>
      <c r="J4" s="24" t="s">
        <v>29</v>
      </c>
      <c r="K4" s="24" t="s">
        <v>23</v>
      </c>
      <c r="L4" s="24" t="s">
        <v>27</v>
      </c>
      <c r="M4" s="24" t="s">
        <v>4</v>
      </c>
      <c r="N4" s="24" t="s">
        <v>28</v>
      </c>
      <c r="O4" s="24" t="s">
        <v>29</v>
      </c>
      <c r="P4" s="24" t="s">
        <v>23</v>
      </c>
      <c r="Q4" s="24" t="s">
        <v>27</v>
      </c>
      <c r="R4" s="24" t="s">
        <v>4</v>
      </c>
      <c r="S4" s="24" t="s">
        <v>28</v>
      </c>
      <c r="T4" s="24" t="s">
        <v>29</v>
      </c>
      <c r="U4" s="24" t="s">
        <v>26</v>
      </c>
      <c r="V4" s="24" t="s">
        <v>27</v>
      </c>
      <c r="W4" s="79"/>
    </row>
    <row r="5" spans="1:23" s="21" customFormat="1" x14ac:dyDescent="0.3">
      <c r="A5" s="54">
        <v>1</v>
      </c>
      <c r="B5" s="19">
        <v>46083</v>
      </c>
      <c r="C5" s="18">
        <v>0.2</v>
      </c>
      <c r="D5" s="40">
        <v>2268519</v>
      </c>
      <c r="E5" s="55">
        <f>ROUND(D5*C5,0)</f>
        <v>453704</v>
      </c>
      <c r="F5" s="55">
        <f>ROUND(E5*8%,0)</f>
        <v>36296</v>
      </c>
      <c r="G5" s="55">
        <f>E5+F5</f>
        <v>490000</v>
      </c>
      <c r="H5" s="31"/>
      <c r="I5" s="40">
        <v>2268519</v>
      </c>
      <c r="J5" s="42">
        <f>ROUND(I5*H5,0)</f>
        <v>0</v>
      </c>
      <c r="K5" s="42">
        <f>ROUND(J5*8%,0)</f>
        <v>0</v>
      </c>
      <c r="L5" s="42">
        <f>J5+K5</f>
        <v>0</v>
      </c>
      <c r="M5" s="15"/>
      <c r="N5" s="44">
        <v>6363.6360000000004</v>
      </c>
      <c r="O5" s="42">
        <f>ROUND(N5*M5,0)</f>
        <v>0</v>
      </c>
      <c r="P5" s="42">
        <f>ROUND(O5*8%,0)</f>
        <v>0</v>
      </c>
      <c r="Q5" s="42">
        <f>O5+P5</f>
        <v>0</v>
      </c>
      <c r="R5" s="49"/>
      <c r="S5" s="56">
        <v>4545.4544999999998</v>
      </c>
      <c r="T5" s="42">
        <f>ROUND(R5*S5,0)</f>
        <v>0</v>
      </c>
      <c r="U5" s="42">
        <f>ROUND(T5*10%,0)</f>
        <v>0</v>
      </c>
      <c r="V5" s="42">
        <f>ROUND(T5+U5,-1)</f>
        <v>0</v>
      </c>
      <c r="W5" s="46">
        <f>G5+L5+Q5+V5</f>
        <v>490000</v>
      </c>
    </row>
    <row r="6" spans="1:23" s="21" customFormat="1" x14ac:dyDescent="0.3">
      <c r="A6" s="54">
        <v>2</v>
      </c>
      <c r="B6" s="19">
        <v>46084</v>
      </c>
      <c r="C6" s="18">
        <v>0.25</v>
      </c>
      <c r="D6" s="40">
        <v>2268519</v>
      </c>
      <c r="E6" s="55">
        <f t="shared" ref="E6:E26" si="0">ROUND(D6*C6,0)</f>
        <v>567130</v>
      </c>
      <c r="F6" s="55">
        <f t="shared" ref="F6:F26" si="1">ROUND(E6*8%,0)</f>
        <v>45370</v>
      </c>
      <c r="G6" s="55">
        <f t="shared" ref="G6:G26" si="2">E6+F6</f>
        <v>612500</v>
      </c>
      <c r="H6" s="31"/>
      <c r="I6" s="40">
        <v>2268519</v>
      </c>
      <c r="J6" s="42">
        <f t="shared" ref="J6:J26" si="3">ROUND(I6*H6,0)</f>
        <v>0</v>
      </c>
      <c r="K6" s="42">
        <f t="shared" ref="K6:K26" si="4">ROUND(J6*8%,0)</f>
        <v>0</v>
      </c>
      <c r="L6" s="42">
        <f t="shared" ref="L6:L26" si="5">J6+K6</f>
        <v>0</v>
      </c>
      <c r="M6" s="15"/>
      <c r="N6" s="44">
        <v>6363.6360000000004</v>
      </c>
      <c r="O6" s="42">
        <f t="shared" ref="O6:O26" si="6">ROUND(N6*M6,0)</f>
        <v>0</v>
      </c>
      <c r="P6" s="42">
        <f t="shared" ref="P6:P26" si="7">ROUND(O6*8%,0)</f>
        <v>0</v>
      </c>
      <c r="Q6" s="42">
        <f t="shared" ref="Q6:Q26" si="8">O6+P6</f>
        <v>0</v>
      </c>
      <c r="R6" s="49"/>
      <c r="S6" s="56">
        <v>4545.4544999999998</v>
      </c>
      <c r="T6" s="42">
        <f t="shared" ref="T6:T26" si="9">ROUND(R6*S6,0)</f>
        <v>0</v>
      </c>
      <c r="U6" s="42">
        <f t="shared" ref="U6:U26" si="10">ROUND(T6*10%,0)</f>
        <v>0</v>
      </c>
      <c r="V6" s="42">
        <f t="shared" ref="V6:V26" si="11">ROUND(T6+U6,-1)</f>
        <v>0</v>
      </c>
      <c r="W6" s="46">
        <f t="shared" ref="W6:W26" si="12">G6+L6+Q6+V6</f>
        <v>612500</v>
      </c>
    </row>
    <row r="7" spans="1:23" s="9" customFormat="1" x14ac:dyDescent="0.3">
      <c r="A7" s="54">
        <v>3</v>
      </c>
      <c r="B7" s="19">
        <v>46085</v>
      </c>
      <c r="C7" s="18">
        <v>0.5</v>
      </c>
      <c r="D7" s="40">
        <v>2268519</v>
      </c>
      <c r="E7" s="55">
        <f t="shared" si="0"/>
        <v>1134260</v>
      </c>
      <c r="F7" s="55">
        <f t="shared" si="1"/>
        <v>90741</v>
      </c>
      <c r="G7" s="55">
        <f t="shared" si="2"/>
        <v>1225001</v>
      </c>
      <c r="H7" s="31"/>
      <c r="I7" s="40">
        <v>2268519</v>
      </c>
      <c r="J7" s="42">
        <f t="shared" si="3"/>
        <v>0</v>
      </c>
      <c r="K7" s="42">
        <f t="shared" si="4"/>
        <v>0</v>
      </c>
      <c r="L7" s="42">
        <f t="shared" si="5"/>
        <v>0</v>
      </c>
      <c r="M7" s="15"/>
      <c r="N7" s="44">
        <v>6363.6360000000004</v>
      </c>
      <c r="O7" s="42">
        <f t="shared" si="6"/>
        <v>0</v>
      </c>
      <c r="P7" s="42">
        <f t="shared" si="7"/>
        <v>0</v>
      </c>
      <c r="Q7" s="42">
        <f t="shared" si="8"/>
        <v>0</v>
      </c>
      <c r="R7" s="48"/>
      <c r="S7" s="56">
        <v>4545.4544999999998</v>
      </c>
      <c r="T7" s="42">
        <f t="shared" si="9"/>
        <v>0</v>
      </c>
      <c r="U7" s="42">
        <f t="shared" si="10"/>
        <v>0</v>
      </c>
      <c r="V7" s="42">
        <f t="shared" si="11"/>
        <v>0</v>
      </c>
      <c r="W7" s="46">
        <f t="shared" si="12"/>
        <v>1225001</v>
      </c>
    </row>
    <row r="8" spans="1:23" s="21" customFormat="1" x14ac:dyDescent="0.3">
      <c r="A8" s="54">
        <v>4</v>
      </c>
      <c r="B8" s="19">
        <v>46086</v>
      </c>
      <c r="C8" s="18">
        <v>0.5</v>
      </c>
      <c r="D8" s="40">
        <v>2268519</v>
      </c>
      <c r="E8" s="55">
        <f t="shared" si="0"/>
        <v>1134260</v>
      </c>
      <c r="F8" s="55">
        <f t="shared" si="1"/>
        <v>90741</v>
      </c>
      <c r="G8" s="55">
        <f t="shared" si="2"/>
        <v>1225001</v>
      </c>
      <c r="H8" s="31"/>
      <c r="I8" s="40">
        <v>2268519</v>
      </c>
      <c r="J8" s="42">
        <f t="shared" si="3"/>
        <v>0</v>
      </c>
      <c r="K8" s="42">
        <f t="shared" si="4"/>
        <v>0</v>
      </c>
      <c r="L8" s="42">
        <f t="shared" si="5"/>
        <v>0</v>
      </c>
      <c r="M8" s="15"/>
      <c r="N8" s="44">
        <v>6363.6360000000004</v>
      </c>
      <c r="O8" s="42">
        <f t="shared" si="6"/>
        <v>0</v>
      </c>
      <c r="P8" s="42">
        <f t="shared" si="7"/>
        <v>0</v>
      </c>
      <c r="Q8" s="42">
        <f t="shared" si="8"/>
        <v>0</v>
      </c>
      <c r="R8" s="49"/>
      <c r="S8" s="56">
        <v>4545.4544999999998</v>
      </c>
      <c r="T8" s="42">
        <f t="shared" si="9"/>
        <v>0</v>
      </c>
      <c r="U8" s="42">
        <f t="shared" si="10"/>
        <v>0</v>
      </c>
      <c r="V8" s="42">
        <f t="shared" si="11"/>
        <v>0</v>
      </c>
      <c r="W8" s="46">
        <f t="shared" si="12"/>
        <v>1225001</v>
      </c>
    </row>
    <row r="9" spans="1:23" s="9" customFormat="1" x14ac:dyDescent="0.3">
      <c r="A9" s="54">
        <v>5</v>
      </c>
      <c r="B9" s="19">
        <v>46087</v>
      </c>
      <c r="C9" s="18">
        <v>0.5</v>
      </c>
      <c r="D9" s="40">
        <v>2268519</v>
      </c>
      <c r="E9" s="55">
        <f t="shared" si="0"/>
        <v>1134260</v>
      </c>
      <c r="F9" s="55">
        <f t="shared" si="1"/>
        <v>90741</v>
      </c>
      <c r="G9" s="55">
        <f t="shared" si="2"/>
        <v>1225001</v>
      </c>
      <c r="H9" s="31"/>
      <c r="I9" s="40">
        <v>2268519</v>
      </c>
      <c r="J9" s="42">
        <f t="shared" si="3"/>
        <v>0</v>
      </c>
      <c r="K9" s="42">
        <f t="shared" si="4"/>
        <v>0</v>
      </c>
      <c r="L9" s="42">
        <f t="shared" si="5"/>
        <v>0</v>
      </c>
      <c r="M9" s="15"/>
      <c r="N9" s="44">
        <v>6363.6360000000004</v>
      </c>
      <c r="O9" s="42">
        <f t="shared" si="6"/>
        <v>0</v>
      </c>
      <c r="P9" s="42">
        <f t="shared" si="7"/>
        <v>0</v>
      </c>
      <c r="Q9" s="42">
        <f t="shared" si="8"/>
        <v>0</v>
      </c>
      <c r="R9" s="48"/>
      <c r="S9" s="56">
        <v>4545.4544999999998</v>
      </c>
      <c r="T9" s="42">
        <f t="shared" si="9"/>
        <v>0</v>
      </c>
      <c r="U9" s="42">
        <f t="shared" si="10"/>
        <v>0</v>
      </c>
      <c r="V9" s="42">
        <f t="shared" si="11"/>
        <v>0</v>
      </c>
      <c r="W9" s="46">
        <f t="shared" si="12"/>
        <v>1225001</v>
      </c>
    </row>
    <row r="10" spans="1:23" s="9" customFormat="1" x14ac:dyDescent="0.3">
      <c r="A10" s="54">
        <v>6</v>
      </c>
      <c r="B10" s="19">
        <v>46088</v>
      </c>
      <c r="C10" s="18">
        <v>0.33</v>
      </c>
      <c r="D10" s="40">
        <v>2268519</v>
      </c>
      <c r="E10" s="55">
        <f t="shared" si="0"/>
        <v>748611</v>
      </c>
      <c r="F10" s="55">
        <f t="shared" si="1"/>
        <v>59889</v>
      </c>
      <c r="G10" s="55">
        <f t="shared" si="2"/>
        <v>808500</v>
      </c>
      <c r="H10" s="31">
        <v>7.0000000000000007E-2</v>
      </c>
      <c r="I10" s="40">
        <v>2268519</v>
      </c>
      <c r="J10" s="42">
        <f t="shared" si="3"/>
        <v>158796</v>
      </c>
      <c r="K10" s="42">
        <f t="shared" si="4"/>
        <v>12704</v>
      </c>
      <c r="L10" s="42">
        <f t="shared" si="5"/>
        <v>171500</v>
      </c>
      <c r="M10" s="15"/>
      <c r="N10" s="44">
        <v>6363.6360000000004</v>
      </c>
      <c r="O10" s="42">
        <f t="shared" si="6"/>
        <v>0</v>
      </c>
      <c r="P10" s="42">
        <f t="shared" si="7"/>
        <v>0</v>
      </c>
      <c r="Q10" s="42">
        <f t="shared" si="8"/>
        <v>0</v>
      </c>
      <c r="R10" s="48"/>
      <c r="S10" s="56">
        <v>4545.4544999999998</v>
      </c>
      <c r="T10" s="42">
        <f t="shared" si="9"/>
        <v>0</v>
      </c>
      <c r="U10" s="42">
        <f t="shared" si="10"/>
        <v>0</v>
      </c>
      <c r="V10" s="42">
        <f t="shared" si="11"/>
        <v>0</v>
      </c>
      <c r="W10" s="46">
        <f t="shared" si="12"/>
        <v>980000</v>
      </c>
    </row>
    <row r="11" spans="1:23" s="21" customFormat="1" x14ac:dyDescent="0.3">
      <c r="A11" s="54">
        <v>7</v>
      </c>
      <c r="B11" s="19">
        <v>46089</v>
      </c>
      <c r="C11" s="18"/>
      <c r="D11" s="40">
        <v>2268519</v>
      </c>
      <c r="E11" s="55">
        <f t="shared" si="0"/>
        <v>0</v>
      </c>
      <c r="F11" s="55">
        <f t="shared" si="1"/>
        <v>0</v>
      </c>
      <c r="G11" s="55">
        <f t="shared" si="2"/>
        <v>0</v>
      </c>
      <c r="H11" s="31"/>
      <c r="I11" s="40">
        <v>2268519</v>
      </c>
      <c r="J11" s="42">
        <f t="shared" si="3"/>
        <v>0</v>
      </c>
      <c r="K11" s="42">
        <f t="shared" si="4"/>
        <v>0</v>
      </c>
      <c r="L11" s="42">
        <f t="shared" si="5"/>
        <v>0</v>
      </c>
      <c r="M11" s="15"/>
      <c r="N11" s="44">
        <v>6363.6360000000004</v>
      </c>
      <c r="O11" s="42">
        <f t="shared" si="6"/>
        <v>0</v>
      </c>
      <c r="P11" s="42">
        <f t="shared" si="7"/>
        <v>0</v>
      </c>
      <c r="Q11" s="42">
        <f t="shared" si="8"/>
        <v>0</v>
      </c>
      <c r="R11" s="49"/>
      <c r="S11" s="56">
        <v>4545.4544999999998</v>
      </c>
      <c r="T11" s="42">
        <f t="shared" si="9"/>
        <v>0</v>
      </c>
      <c r="U11" s="42">
        <f t="shared" si="10"/>
        <v>0</v>
      </c>
      <c r="V11" s="42">
        <f t="shared" si="11"/>
        <v>0</v>
      </c>
      <c r="W11" s="46">
        <f t="shared" si="12"/>
        <v>0</v>
      </c>
    </row>
    <row r="12" spans="1:23" s="21" customFormat="1" x14ac:dyDescent="0.3">
      <c r="A12" s="54">
        <v>8</v>
      </c>
      <c r="B12" s="19">
        <v>46090</v>
      </c>
      <c r="C12" s="18">
        <v>0.75</v>
      </c>
      <c r="D12" s="40">
        <v>2268519</v>
      </c>
      <c r="E12" s="55">
        <f t="shared" si="0"/>
        <v>1701389</v>
      </c>
      <c r="F12" s="55">
        <f t="shared" si="1"/>
        <v>136111</v>
      </c>
      <c r="G12" s="55">
        <f t="shared" si="2"/>
        <v>1837500</v>
      </c>
      <c r="H12" s="31"/>
      <c r="I12" s="40">
        <v>2268519</v>
      </c>
      <c r="J12" s="42">
        <f t="shared" si="3"/>
        <v>0</v>
      </c>
      <c r="K12" s="42">
        <f t="shared" si="4"/>
        <v>0</v>
      </c>
      <c r="L12" s="42">
        <f t="shared" si="5"/>
        <v>0</v>
      </c>
      <c r="M12" s="15"/>
      <c r="N12" s="44">
        <v>6363.6360000000004</v>
      </c>
      <c r="O12" s="42">
        <f t="shared" si="6"/>
        <v>0</v>
      </c>
      <c r="P12" s="42">
        <f t="shared" si="7"/>
        <v>0</v>
      </c>
      <c r="Q12" s="42">
        <f t="shared" si="8"/>
        <v>0</v>
      </c>
      <c r="R12" s="49"/>
      <c r="S12" s="56">
        <v>4545.4544999999998</v>
      </c>
      <c r="T12" s="42">
        <f t="shared" si="9"/>
        <v>0</v>
      </c>
      <c r="U12" s="42">
        <f t="shared" si="10"/>
        <v>0</v>
      </c>
      <c r="V12" s="42">
        <f t="shared" si="11"/>
        <v>0</v>
      </c>
      <c r="W12" s="46">
        <f t="shared" si="12"/>
        <v>1837500</v>
      </c>
    </row>
    <row r="13" spans="1:23" s="9" customFormat="1" x14ac:dyDescent="0.3">
      <c r="A13" s="54">
        <v>9</v>
      </c>
      <c r="B13" s="19">
        <v>46091</v>
      </c>
      <c r="C13" s="18">
        <v>0.75</v>
      </c>
      <c r="D13" s="40">
        <v>2268519</v>
      </c>
      <c r="E13" s="55">
        <f t="shared" si="0"/>
        <v>1701389</v>
      </c>
      <c r="F13" s="55">
        <f t="shared" si="1"/>
        <v>136111</v>
      </c>
      <c r="G13" s="55">
        <f t="shared" si="2"/>
        <v>1837500</v>
      </c>
      <c r="H13" s="31"/>
      <c r="I13" s="40">
        <v>2268519</v>
      </c>
      <c r="J13" s="42">
        <f t="shared" si="3"/>
        <v>0</v>
      </c>
      <c r="K13" s="42">
        <f t="shared" si="4"/>
        <v>0</v>
      </c>
      <c r="L13" s="42">
        <f t="shared" si="5"/>
        <v>0</v>
      </c>
      <c r="M13" s="15"/>
      <c r="N13" s="44">
        <v>6363.6360000000004</v>
      </c>
      <c r="O13" s="42">
        <f t="shared" si="6"/>
        <v>0</v>
      </c>
      <c r="P13" s="42">
        <f t="shared" si="7"/>
        <v>0</v>
      </c>
      <c r="Q13" s="42">
        <f t="shared" si="8"/>
        <v>0</v>
      </c>
      <c r="R13" s="48"/>
      <c r="S13" s="56">
        <v>4545.4544999999998</v>
      </c>
      <c r="T13" s="42">
        <f t="shared" si="9"/>
        <v>0</v>
      </c>
      <c r="U13" s="42">
        <f t="shared" si="10"/>
        <v>0</v>
      </c>
      <c r="V13" s="42">
        <f t="shared" si="11"/>
        <v>0</v>
      </c>
      <c r="W13" s="46">
        <f t="shared" si="12"/>
        <v>1837500</v>
      </c>
    </row>
    <row r="14" spans="1:23" s="21" customFormat="1" x14ac:dyDescent="0.3">
      <c r="A14" s="54">
        <v>10</v>
      </c>
      <c r="B14" s="19">
        <v>46092</v>
      </c>
      <c r="C14" s="18">
        <v>0.5</v>
      </c>
      <c r="D14" s="40">
        <v>2268519</v>
      </c>
      <c r="E14" s="55">
        <f t="shared" si="0"/>
        <v>1134260</v>
      </c>
      <c r="F14" s="55">
        <f t="shared" si="1"/>
        <v>90741</v>
      </c>
      <c r="G14" s="55">
        <f t="shared" si="2"/>
        <v>1225001</v>
      </c>
      <c r="H14" s="31">
        <v>7.0000000000000007E-2</v>
      </c>
      <c r="I14" s="40">
        <v>2268519</v>
      </c>
      <c r="J14" s="42">
        <f t="shared" si="3"/>
        <v>158796</v>
      </c>
      <c r="K14" s="42">
        <f t="shared" si="4"/>
        <v>12704</v>
      </c>
      <c r="L14" s="42">
        <f t="shared" si="5"/>
        <v>171500</v>
      </c>
      <c r="M14" s="15"/>
      <c r="N14" s="44">
        <v>6363.6360000000004</v>
      </c>
      <c r="O14" s="42">
        <f t="shared" si="6"/>
        <v>0</v>
      </c>
      <c r="P14" s="42">
        <f t="shared" si="7"/>
        <v>0</v>
      </c>
      <c r="Q14" s="42">
        <f t="shared" si="8"/>
        <v>0</v>
      </c>
      <c r="R14" s="49"/>
      <c r="S14" s="56">
        <v>4545.4544999999998</v>
      </c>
      <c r="T14" s="42">
        <f t="shared" si="9"/>
        <v>0</v>
      </c>
      <c r="U14" s="42">
        <f t="shared" si="10"/>
        <v>0</v>
      </c>
      <c r="V14" s="42">
        <f t="shared" si="11"/>
        <v>0</v>
      </c>
      <c r="W14" s="46">
        <f t="shared" si="12"/>
        <v>1396501</v>
      </c>
    </row>
    <row r="15" spans="1:23" s="9" customFormat="1" x14ac:dyDescent="0.3">
      <c r="A15" s="54">
        <v>11</v>
      </c>
      <c r="B15" s="19">
        <v>46093</v>
      </c>
      <c r="C15" s="18">
        <v>0.2</v>
      </c>
      <c r="D15" s="40">
        <v>2268519</v>
      </c>
      <c r="E15" s="55">
        <f t="shared" si="0"/>
        <v>453704</v>
      </c>
      <c r="F15" s="55">
        <f t="shared" si="1"/>
        <v>36296</v>
      </c>
      <c r="G15" s="55">
        <f t="shared" si="2"/>
        <v>490000</v>
      </c>
      <c r="H15" s="31">
        <v>7.0000000000000007E-2</v>
      </c>
      <c r="I15" s="40">
        <v>2268519</v>
      </c>
      <c r="J15" s="42">
        <f t="shared" si="3"/>
        <v>158796</v>
      </c>
      <c r="K15" s="42">
        <f t="shared" si="4"/>
        <v>12704</v>
      </c>
      <c r="L15" s="42">
        <f t="shared" si="5"/>
        <v>171500</v>
      </c>
      <c r="M15" s="15"/>
      <c r="N15" s="44">
        <v>6363.6360000000004</v>
      </c>
      <c r="O15" s="42">
        <f t="shared" si="6"/>
        <v>0</v>
      </c>
      <c r="P15" s="42">
        <f t="shared" si="7"/>
        <v>0</v>
      </c>
      <c r="Q15" s="42">
        <f t="shared" si="8"/>
        <v>0</v>
      </c>
      <c r="R15" s="48"/>
      <c r="S15" s="56">
        <v>4545.4544999999998</v>
      </c>
      <c r="T15" s="42">
        <f t="shared" si="9"/>
        <v>0</v>
      </c>
      <c r="U15" s="42">
        <f t="shared" si="10"/>
        <v>0</v>
      </c>
      <c r="V15" s="42">
        <f t="shared" si="11"/>
        <v>0</v>
      </c>
      <c r="W15" s="46">
        <f t="shared" si="12"/>
        <v>661500</v>
      </c>
    </row>
    <row r="16" spans="1:23" s="9" customFormat="1" x14ac:dyDescent="0.3">
      <c r="A16" s="54">
        <v>12</v>
      </c>
      <c r="B16" s="19">
        <v>46094</v>
      </c>
      <c r="C16" s="18">
        <v>0.2</v>
      </c>
      <c r="D16" s="40">
        <v>2268519</v>
      </c>
      <c r="E16" s="55">
        <f t="shared" si="0"/>
        <v>453704</v>
      </c>
      <c r="F16" s="55">
        <f t="shared" si="1"/>
        <v>36296</v>
      </c>
      <c r="G16" s="55">
        <f t="shared" si="2"/>
        <v>490000</v>
      </c>
      <c r="H16" s="31">
        <v>7.0000000000000007E-2</v>
      </c>
      <c r="I16" s="40">
        <v>2268519</v>
      </c>
      <c r="J16" s="42">
        <f t="shared" si="3"/>
        <v>158796</v>
      </c>
      <c r="K16" s="42">
        <f t="shared" si="4"/>
        <v>12704</v>
      </c>
      <c r="L16" s="42">
        <f t="shared" si="5"/>
        <v>171500</v>
      </c>
      <c r="M16" s="15"/>
      <c r="N16" s="44">
        <v>6363.6360000000004</v>
      </c>
      <c r="O16" s="42">
        <f t="shared" si="6"/>
        <v>0</v>
      </c>
      <c r="P16" s="42">
        <f t="shared" si="7"/>
        <v>0</v>
      </c>
      <c r="Q16" s="42">
        <f t="shared" si="8"/>
        <v>0</v>
      </c>
      <c r="R16" s="48"/>
      <c r="S16" s="56">
        <v>4545.4544999999998</v>
      </c>
      <c r="T16" s="42">
        <f t="shared" si="9"/>
        <v>0</v>
      </c>
      <c r="U16" s="42">
        <f t="shared" si="10"/>
        <v>0</v>
      </c>
      <c r="V16" s="42">
        <f t="shared" si="11"/>
        <v>0</v>
      </c>
      <c r="W16" s="46">
        <f t="shared" si="12"/>
        <v>661500</v>
      </c>
    </row>
    <row r="17" spans="1:23" s="21" customFormat="1" x14ac:dyDescent="0.3">
      <c r="A17" s="54">
        <v>13</v>
      </c>
      <c r="B17" s="19">
        <v>46095</v>
      </c>
      <c r="C17" s="18">
        <v>0.2</v>
      </c>
      <c r="D17" s="40">
        <v>2268519</v>
      </c>
      <c r="E17" s="55">
        <f t="shared" si="0"/>
        <v>453704</v>
      </c>
      <c r="F17" s="55">
        <f t="shared" si="1"/>
        <v>36296</v>
      </c>
      <c r="G17" s="55">
        <f t="shared" si="2"/>
        <v>490000</v>
      </c>
      <c r="H17" s="31">
        <v>0.13</v>
      </c>
      <c r="I17" s="40">
        <v>2268519</v>
      </c>
      <c r="J17" s="42">
        <f t="shared" si="3"/>
        <v>294907</v>
      </c>
      <c r="K17" s="42">
        <f t="shared" si="4"/>
        <v>23593</v>
      </c>
      <c r="L17" s="42">
        <f t="shared" si="5"/>
        <v>318500</v>
      </c>
      <c r="M17" s="15"/>
      <c r="N17" s="44">
        <v>6363.6360000000004</v>
      </c>
      <c r="O17" s="42">
        <f t="shared" si="6"/>
        <v>0</v>
      </c>
      <c r="P17" s="42">
        <f t="shared" si="7"/>
        <v>0</v>
      </c>
      <c r="Q17" s="42">
        <f t="shared" si="8"/>
        <v>0</v>
      </c>
      <c r="R17" s="49"/>
      <c r="S17" s="56">
        <v>4545.4544999999998</v>
      </c>
      <c r="T17" s="42">
        <f t="shared" si="9"/>
        <v>0</v>
      </c>
      <c r="U17" s="42">
        <f t="shared" si="10"/>
        <v>0</v>
      </c>
      <c r="V17" s="42">
        <f t="shared" si="11"/>
        <v>0</v>
      </c>
      <c r="W17" s="46">
        <f t="shared" si="12"/>
        <v>808500</v>
      </c>
    </row>
    <row r="18" spans="1:23" s="21" customFormat="1" x14ac:dyDescent="0.3">
      <c r="A18" s="54">
        <v>14</v>
      </c>
      <c r="B18" s="19">
        <v>46096</v>
      </c>
      <c r="C18" s="18"/>
      <c r="D18" s="40">
        <v>2268519</v>
      </c>
      <c r="E18" s="55">
        <f t="shared" si="0"/>
        <v>0</v>
      </c>
      <c r="F18" s="55">
        <f t="shared" si="1"/>
        <v>0</v>
      </c>
      <c r="G18" s="55">
        <f t="shared" si="2"/>
        <v>0</v>
      </c>
      <c r="H18" s="31"/>
      <c r="I18" s="40">
        <v>2268519</v>
      </c>
      <c r="J18" s="42">
        <f t="shared" si="3"/>
        <v>0</v>
      </c>
      <c r="K18" s="42">
        <f t="shared" si="4"/>
        <v>0</v>
      </c>
      <c r="L18" s="42">
        <f t="shared" si="5"/>
        <v>0</v>
      </c>
      <c r="M18" s="15"/>
      <c r="N18" s="44">
        <v>6363.6360000000004</v>
      </c>
      <c r="O18" s="42">
        <f t="shared" si="6"/>
        <v>0</v>
      </c>
      <c r="P18" s="42">
        <f t="shared" si="7"/>
        <v>0</v>
      </c>
      <c r="Q18" s="42">
        <f t="shared" si="8"/>
        <v>0</v>
      </c>
      <c r="R18" s="49"/>
      <c r="S18" s="56">
        <v>4545.4544999999998</v>
      </c>
      <c r="T18" s="42">
        <f t="shared" si="9"/>
        <v>0</v>
      </c>
      <c r="U18" s="42">
        <f t="shared" si="10"/>
        <v>0</v>
      </c>
      <c r="V18" s="42">
        <f t="shared" si="11"/>
        <v>0</v>
      </c>
      <c r="W18" s="46">
        <f t="shared" si="12"/>
        <v>0</v>
      </c>
    </row>
    <row r="19" spans="1:23" s="9" customFormat="1" x14ac:dyDescent="0.3">
      <c r="A19" s="54">
        <v>15</v>
      </c>
      <c r="B19" s="19">
        <v>46097</v>
      </c>
      <c r="C19" s="18">
        <v>0.25</v>
      </c>
      <c r="D19" s="40">
        <v>2268519</v>
      </c>
      <c r="E19" s="55">
        <f t="shared" si="0"/>
        <v>567130</v>
      </c>
      <c r="F19" s="55">
        <f t="shared" si="1"/>
        <v>45370</v>
      </c>
      <c r="G19" s="55">
        <f t="shared" si="2"/>
        <v>612500</v>
      </c>
      <c r="H19" s="31">
        <v>7.0000000000000007E-2</v>
      </c>
      <c r="I19" s="40">
        <v>2268519</v>
      </c>
      <c r="J19" s="42">
        <f t="shared" si="3"/>
        <v>158796</v>
      </c>
      <c r="K19" s="42">
        <f t="shared" si="4"/>
        <v>12704</v>
      </c>
      <c r="L19" s="42">
        <f t="shared" si="5"/>
        <v>171500</v>
      </c>
      <c r="M19" s="15"/>
      <c r="N19" s="44">
        <v>6363.6360000000004</v>
      </c>
      <c r="O19" s="42">
        <f t="shared" si="6"/>
        <v>0</v>
      </c>
      <c r="P19" s="42">
        <f t="shared" si="7"/>
        <v>0</v>
      </c>
      <c r="Q19" s="42">
        <f t="shared" si="8"/>
        <v>0</v>
      </c>
      <c r="R19" s="48"/>
      <c r="S19" s="56">
        <v>4545.4544999999998</v>
      </c>
      <c r="T19" s="42">
        <f t="shared" si="9"/>
        <v>0</v>
      </c>
      <c r="U19" s="42">
        <f t="shared" si="10"/>
        <v>0</v>
      </c>
      <c r="V19" s="42">
        <f t="shared" si="11"/>
        <v>0</v>
      </c>
      <c r="W19" s="46">
        <f t="shared" si="12"/>
        <v>784000</v>
      </c>
    </row>
    <row r="20" spans="1:23" s="21" customFormat="1" x14ac:dyDescent="0.3">
      <c r="A20" s="54">
        <v>16</v>
      </c>
      <c r="B20" s="19">
        <v>46098</v>
      </c>
      <c r="C20" s="18">
        <v>0.5</v>
      </c>
      <c r="D20" s="40">
        <v>2268519</v>
      </c>
      <c r="E20" s="55">
        <f t="shared" si="0"/>
        <v>1134260</v>
      </c>
      <c r="F20" s="55">
        <f t="shared" si="1"/>
        <v>90741</v>
      </c>
      <c r="G20" s="55">
        <f t="shared" si="2"/>
        <v>1225001</v>
      </c>
      <c r="H20" s="31">
        <v>7.0000000000000007E-2</v>
      </c>
      <c r="I20" s="40">
        <v>2268519</v>
      </c>
      <c r="J20" s="42">
        <f t="shared" si="3"/>
        <v>158796</v>
      </c>
      <c r="K20" s="42">
        <f t="shared" si="4"/>
        <v>12704</v>
      </c>
      <c r="L20" s="42">
        <f t="shared" si="5"/>
        <v>171500</v>
      </c>
      <c r="M20" s="15"/>
      <c r="N20" s="44">
        <v>6363.6360000000004</v>
      </c>
      <c r="O20" s="42">
        <f t="shared" si="6"/>
        <v>0</v>
      </c>
      <c r="P20" s="42">
        <f t="shared" si="7"/>
        <v>0</v>
      </c>
      <c r="Q20" s="42">
        <f t="shared" si="8"/>
        <v>0</v>
      </c>
      <c r="R20" s="49"/>
      <c r="S20" s="56">
        <v>4545.4544999999998</v>
      </c>
      <c r="T20" s="42">
        <f t="shared" si="9"/>
        <v>0</v>
      </c>
      <c r="U20" s="42">
        <f t="shared" si="10"/>
        <v>0</v>
      </c>
      <c r="V20" s="42">
        <f t="shared" si="11"/>
        <v>0</v>
      </c>
      <c r="W20" s="46">
        <f t="shared" si="12"/>
        <v>1396501</v>
      </c>
    </row>
    <row r="21" spans="1:23" s="21" customFormat="1" x14ac:dyDescent="0.3">
      <c r="A21" s="54">
        <v>17</v>
      </c>
      <c r="B21" s="19">
        <v>46099</v>
      </c>
      <c r="C21" s="18">
        <v>0.33</v>
      </c>
      <c r="D21" s="40">
        <v>2268519</v>
      </c>
      <c r="E21" s="55">
        <f t="shared" si="0"/>
        <v>748611</v>
      </c>
      <c r="F21" s="55">
        <f t="shared" si="1"/>
        <v>59889</v>
      </c>
      <c r="G21" s="55">
        <f t="shared" si="2"/>
        <v>808500</v>
      </c>
      <c r="H21" s="31"/>
      <c r="I21" s="40">
        <v>2268519</v>
      </c>
      <c r="J21" s="42">
        <f t="shared" si="3"/>
        <v>0</v>
      </c>
      <c r="K21" s="42">
        <f t="shared" si="4"/>
        <v>0</v>
      </c>
      <c r="L21" s="42">
        <f t="shared" si="5"/>
        <v>0</v>
      </c>
      <c r="M21" s="15"/>
      <c r="N21" s="44">
        <v>6363.6360000000004</v>
      </c>
      <c r="O21" s="42">
        <f t="shared" si="6"/>
        <v>0</v>
      </c>
      <c r="P21" s="42">
        <f t="shared" si="7"/>
        <v>0</v>
      </c>
      <c r="Q21" s="42">
        <f t="shared" si="8"/>
        <v>0</v>
      </c>
      <c r="R21" s="49">
        <v>1880</v>
      </c>
      <c r="S21" s="56">
        <v>4545.4544999999998</v>
      </c>
      <c r="T21" s="42">
        <f t="shared" si="9"/>
        <v>8545454</v>
      </c>
      <c r="U21" s="42">
        <f t="shared" si="10"/>
        <v>854545</v>
      </c>
      <c r="V21" s="42">
        <f t="shared" si="11"/>
        <v>9400000</v>
      </c>
      <c r="W21" s="46">
        <f t="shared" si="12"/>
        <v>10208500</v>
      </c>
    </row>
    <row r="22" spans="1:23" s="9" customFormat="1" x14ac:dyDescent="0.3">
      <c r="A22" s="54">
        <v>18</v>
      </c>
      <c r="B22" s="19">
        <v>46100</v>
      </c>
      <c r="C22" s="18">
        <v>0.33</v>
      </c>
      <c r="D22" s="40">
        <v>2268519</v>
      </c>
      <c r="E22" s="55">
        <f t="shared" si="0"/>
        <v>748611</v>
      </c>
      <c r="F22" s="55">
        <f t="shared" si="1"/>
        <v>59889</v>
      </c>
      <c r="G22" s="55">
        <f t="shared" si="2"/>
        <v>808500</v>
      </c>
      <c r="H22" s="31"/>
      <c r="I22" s="40">
        <v>2268519</v>
      </c>
      <c r="J22" s="42">
        <f t="shared" si="3"/>
        <v>0</v>
      </c>
      <c r="K22" s="42">
        <f t="shared" si="4"/>
        <v>0</v>
      </c>
      <c r="L22" s="42">
        <f t="shared" si="5"/>
        <v>0</v>
      </c>
      <c r="M22" s="15"/>
      <c r="N22" s="44">
        <v>6363.6360000000004</v>
      </c>
      <c r="O22" s="42">
        <f t="shared" si="6"/>
        <v>0</v>
      </c>
      <c r="P22" s="42">
        <f t="shared" si="7"/>
        <v>0</v>
      </c>
      <c r="Q22" s="42">
        <f t="shared" si="8"/>
        <v>0</v>
      </c>
      <c r="R22" s="48"/>
      <c r="S22" s="56">
        <v>4545.4544999999998</v>
      </c>
      <c r="T22" s="42">
        <f t="shared" si="9"/>
        <v>0</v>
      </c>
      <c r="U22" s="42">
        <f t="shared" si="10"/>
        <v>0</v>
      </c>
      <c r="V22" s="42">
        <f t="shared" si="11"/>
        <v>0</v>
      </c>
      <c r="W22" s="46">
        <f t="shared" si="12"/>
        <v>808500</v>
      </c>
    </row>
    <row r="23" spans="1:23" s="21" customFormat="1" x14ac:dyDescent="0.3">
      <c r="A23" s="54">
        <v>19</v>
      </c>
      <c r="B23" s="19">
        <v>46101</v>
      </c>
      <c r="C23" s="18">
        <v>0.75</v>
      </c>
      <c r="D23" s="40">
        <v>2268519</v>
      </c>
      <c r="E23" s="55">
        <f t="shared" si="0"/>
        <v>1701389</v>
      </c>
      <c r="F23" s="55">
        <f t="shared" si="1"/>
        <v>136111</v>
      </c>
      <c r="G23" s="55">
        <f t="shared" si="2"/>
        <v>1837500</v>
      </c>
      <c r="H23" s="31">
        <v>0.2</v>
      </c>
      <c r="I23" s="40">
        <v>2268519</v>
      </c>
      <c r="J23" s="42">
        <f t="shared" si="3"/>
        <v>453704</v>
      </c>
      <c r="K23" s="42">
        <f t="shared" si="4"/>
        <v>36296</v>
      </c>
      <c r="L23" s="42">
        <f t="shared" si="5"/>
        <v>490000</v>
      </c>
      <c r="M23" s="15"/>
      <c r="N23" s="44">
        <v>6363.6360000000004</v>
      </c>
      <c r="O23" s="42">
        <f t="shared" si="6"/>
        <v>0</v>
      </c>
      <c r="P23" s="42">
        <f t="shared" si="7"/>
        <v>0</v>
      </c>
      <c r="Q23" s="42">
        <f t="shared" si="8"/>
        <v>0</v>
      </c>
      <c r="R23" s="49"/>
      <c r="S23" s="56">
        <v>4545.4544999999998</v>
      </c>
      <c r="T23" s="42">
        <f t="shared" si="9"/>
        <v>0</v>
      </c>
      <c r="U23" s="42">
        <f t="shared" si="10"/>
        <v>0</v>
      </c>
      <c r="V23" s="42">
        <f t="shared" si="11"/>
        <v>0</v>
      </c>
      <c r="W23" s="46">
        <f t="shared" si="12"/>
        <v>2327500</v>
      </c>
    </row>
    <row r="24" spans="1:23" s="9" customFormat="1" x14ac:dyDescent="0.3">
      <c r="A24" s="54">
        <v>20</v>
      </c>
      <c r="B24" s="19">
        <v>46102</v>
      </c>
      <c r="C24" s="18">
        <v>0.5</v>
      </c>
      <c r="D24" s="40">
        <v>2268519</v>
      </c>
      <c r="E24" s="55">
        <f t="shared" si="0"/>
        <v>1134260</v>
      </c>
      <c r="F24" s="55">
        <f t="shared" si="1"/>
        <v>90741</v>
      </c>
      <c r="G24" s="55">
        <f t="shared" si="2"/>
        <v>1225001</v>
      </c>
      <c r="H24" s="31">
        <v>7.0000000000000007E-2</v>
      </c>
      <c r="I24" s="40">
        <v>2268519</v>
      </c>
      <c r="J24" s="42">
        <f t="shared" si="3"/>
        <v>158796</v>
      </c>
      <c r="K24" s="42">
        <f t="shared" si="4"/>
        <v>12704</v>
      </c>
      <c r="L24" s="42">
        <f t="shared" si="5"/>
        <v>171500</v>
      </c>
      <c r="M24" s="15"/>
      <c r="N24" s="44">
        <v>6363.6360000000004</v>
      </c>
      <c r="O24" s="42">
        <f t="shared" si="6"/>
        <v>0</v>
      </c>
      <c r="P24" s="42">
        <f t="shared" si="7"/>
        <v>0</v>
      </c>
      <c r="Q24" s="42">
        <f t="shared" si="8"/>
        <v>0</v>
      </c>
      <c r="R24" s="48"/>
      <c r="S24" s="56">
        <v>4545.4544999999998</v>
      </c>
      <c r="T24" s="42">
        <f t="shared" si="9"/>
        <v>0</v>
      </c>
      <c r="U24" s="42">
        <f t="shared" si="10"/>
        <v>0</v>
      </c>
      <c r="V24" s="42">
        <f t="shared" si="11"/>
        <v>0</v>
      </c>
      <c r="W24" s="46">
        <f t="shared" si="12"/>
        <v>1396501</v>
      </c>
    </row>
    <row r="25" spans="1:23" s="9" customFormat="1" x14ac:dyDescent="0.3">
      <c r="A25" s="54">
        <v>21</v>
      </c>
      <c r="B25" s="19">
        <v>46103</v>
      </c>
      <c r="C25" s="18"/>
      <c r="D25" s="40">
        <v>2268519</v>
      </c>
      <c r="E25" s="55">
        <f t="shared" si="0"/>
        <v>0</v>
      </c>
      <c r="F25" s="55">
        <f t="shared" si="1"/>
        <v>0</v>
      </c>
      <c r="G25" s="55">
        <f t="shared" si="2"/>
        <v>0</v>
      </c>
      <c r="H25" s="31"/>
      <c r="I25" s="40">
        <v>2268519</v>
      </c>
      <c r="J25" s="42">
        <f t="shared" si="3"/>
        <v>0</v>
      </c>
      <c r="K25" s="42">
        <f t="shared" si="4"/>
        <v>0</v>
      </c>
      <c r="L25" s="42">
        <f t="shared" si="5"/>
        <v>0</v>
      </c>
      <c r="M25" s="15"/>
      <c r="N25" s="44">
        <v>6363.6360000000004</v>
      </c>
      <c r="O25" s="42">
        <f t="shared" si="6"/>
        <v>0</v>
      </c>
      <c r="P25" s="42">
        <f t="shared" si="7"/>
        <v>0</v>
      </c>
      <c r="Q25" s="42">
        <f t="shared" si="8"/>
        <v>0</v>
      </c>
      <c r="R25" s="48"/>
      <c r="S25" s="56">
        <v>4545.4544999999998</v>
      </c>
      <c r="T25" s="42">
        <f t="shared" si="9"/>
        <v>0</v>
      </c>
      <c r="U25" s="42">
        <f t="shared" si="10"/>
        <v>0</v>
      </c>
      <c r="V25" s="42">
        <f t="shared" si="11"/>
        <v>0</v>
      </c>
      <c r="W25" s="46">
        <f t="shared" si="12"/>
        <v>0</v>
      </c>
    </row>
    <row r="26" spans="1:23" s="21" customFormat="1" x14ac:dyDescent="0.3">
      <c r="A26" s="54">
        <v>22</v>
      </c>
      <c r="B26" s="19">
        <v>46104</v>
      </c>
      <c r="C26" s="18">
        <v>0.75</v>
      </c>
      <c r="D26" s="40">
        <v>2268519</v>
      </c>
      <c r="E26" s="55">
        <f t="shared" si="0"/>
        <v>1701389</v>
      </c>
      <c r="F26" s="55">
        <f t="shared" si="1"/>
        <v>136111</v>
      </c>
      <c r="G26" s="55">
        <f t="shared" si="2"/>
        <v>1837500</v>
      </c>
      <c r="H26" s="31"/>
      <c r="I26" s="40">
        <v>2268519</v>
      </c>
      <c r="J26" s="42">
        <f t="shared" si="3"/>
        <v>0</v>
      </c>
      <c r="K26" s="42">
        <f t="shared" si="4"/>
        <v>0</v>
      </c>
      <c r="L26" s="42">
        <f t="shared" si="5"/>
        <v>0</v>
      </c>
      <c r="M26" s="15"/>
      <c r="N26" s="44">
        <v>6363.6360000000004</v>
      </c>
      <c r="O26" s="42">
        <f t="shared" si="6"/>
        <v>0</v>
      </c>
      <c r="P26" s="42">
        <f t="shared" si="7"/>
        <v>0</v>
      </c>
      <c r="Q26" s="42">
        <f t="shared" si="8"/>
        <v>0</v>
      </c>
      <c r="R26" s="49"/>
      <c r="S26" s="56">
        <v>4545.4544999999998</v>
      </c>
      <c r="T26" s="42">
        <f t="shared" si="9"/>
        <v>0</v>
      </c>
      <c r="U26" s="42">
        <f t="shared" si="10"/>
        <v>0</v>
      </c>
      <c r="V26" s="42">
        <f t="shared" si="11"/>
        <v>0</v>
      </c>
      <c r="W26" s="46">
        <f t="shared" si="12"/>
        <v>1837500</v>
      </c>
    </row>
    <row r="27" spans="1:23" x14ac:dyDescent="0.3">
      <c r="A27" s="65"/>
      <c r="B27" s="66"/>
      <c r="C27" s="7">
        <v>8.2899999999999991</v>
      </c>
      <c r="D27" s="7"/>
      <c r="E27" s="57">
        <f>SUM(E5:E26)</f>
        <v>18806025</v>
      </c>
      <c r="F27" s="57">
        <f>SUM(F5:F26)</f>
        <v>1504481</v>
      </c>
      <c r="G27" s="59">
        <f>SUM(G5:G26)</f>
        <v>20310506</v>
      </c>
      <c r="H27" s="7">
        <v>0.82</v>
      </c>
      <c r="I27" s="58"/>
      <c r="J27" s="58">
        <f>SUM(J5:J26)</f>
        <v>1860183</v>
      </c>
      <c r="K27" s="58">
        <f>SUM(K5:K26)</f>
        <v>148817</v>
      </c>
      <c r="L27" s="60">
        <f>SUM(L5:L26)</f>
        <v>2009000</v>
      </c>
      <c r="M27" s="7">
        <f>SUM(M5:M26)</f>
        <v>0</v>
      </c>
      <c r="N27" s="58"/>
      <c r="O27" s="58">
        <f>SUM(O5:O26)</f>
        <v>0</v>
      </c>
      <c r="P27" s="58">
        <f>SUM(P5:P26)</f>
        <v>0</v>
      </c>
      <c r="Q27" s="60">
        <f>SUM(Q5:Q26)</f>
        <v>0</v>
      </c>
      <c r="R27" s="7">
        <f>SUM(R5:R26)</f>
        <v>1880</v>
      </c>
      <c r="S27" s="7"/>
      <c r="T27" s="58">
        <f>SUM(T5:T26)</f>
        <v>8545454</v>
      </c>
      <c r="U27" s="58">
        <f>SUM(U5:U26)</f>
        <v>854545</v>
      </c>
      <c r="V27" s="60">
        <f>ROUND(SUM(V5:V26),-1)</f>
        <v>9400000</v>
      </c>
      <c r="W27" s="60">
        <f>G27+L27+V27+Q27</f>
        <v>31719506</v>
      </c>
    </row>
    <row r="28" spans="1:23" x14ac:dyDescent="0.3">
      <c r="A28" s="3"/>
      <c r="B28" s="67" t="s">
        <v>1</v>
      </c>
      <c r="C28" s="67"/>
      <c r="D28" s="67"/>
      <c r="E28" s="67"/>
      <c r="F28" s="52"/>
      <c r="G28" s="52"/>
      <c r="H28" s="6"/>
      <c r="I28" s="5"/>
      <c r="J28" s="4"/>
      <c r="K28" s="4"/>
      <c r="L28" s="4"/>
      <c r="M28" s="4"/>
      <c r="N28" s="4"/>
      <c r="O28" s="4"/>
      <c r="P28" s="4"/>
      <c r="Q28" s="4"/>
      <c r="R28" s="67" t="s">
        <v>1</v>
      </c>
      <c r="S28" s="67"/>
      <c r="T28" s="67"/>
      <c r="U28" s="67"/>
      <c r="V28" s="67"/>
      <c r="W28" s="67"/>
    </row>
    <row r="29" spans="1:23" x14ac:dyDescent="0.3">
      <c r="A29" s="3"/>
      <c r="B29" s="68" t="s">
        <v>0</v>
      </c>
      <c r="C29" s="68"/>
      <c r="D29" s="68"/>
      <c r="E29" s="68"/>
      <c r="F29" s="53"/>
      <c r="G29" s="53"/>
      <c r="H29" s="1"/>
      <c r="I29" s="2"/>
      <c r="J29" s="1"/>
      <c r="K29" s="1"/>
      <c r="L29" s="1"/>
      <c r="M29" s="1"/>
      <c r="N29" s="1"/>
      <c r="O29" s="68" t="s">
        <v>15</v>
      </c>
      <c r="P29" s="68"/>
      <c r="Q29" s="68"/>
      <c r="R29" s="68"/>
      <c r="S29" s="68"/>
      <c r="T29" s="68"/>
      <c r="U29" s="68"/>
      <c r="V29" s="68"/>
      <c r="W29" s="68"/>
    </row>
  </sheetData>
  <mergeCells count="12">
    <mergeCell ref="C3:G3"/>
    <mergeCell ref="H3:L3"/>
    <mergeCell ref="M3:Q3"/>
    <mergeCell ref="R3:V3"/>
    <mergeCell ref="A1:W1"/>
    <mergeCell ref="W3:W4"/>
    <mergeCell ref="A4:B4"/>
    <mergeCell ref="A27:B27"/>
    <mergeCell ref="B28:E28"/>
    <mergeCell ref="R28:W28"/>
    <mergeCell ref="B29:E29"/>
    <mergeCell ref="O29:W29"/>
  </mergeCells>
  <conditionalFormatting sqref="B5:B26">
    <cfRule type="expression" dxfId="5" priority="1" stopIfTrue="1">
      <formula>WEEKDAY($B5)=1</formula>
    </cfRule>
  </conditionalFormatting>
  <dataValidations count="1">
    <dataValidation type="decimal" showInputMessage="1" showErrorMessage="1" sqref="C1:C1048576" xr:uid="{AE6D49A0-8543-426B-82CF-1F1A9984EADB}">
      <formula1>0</formula1>
      <formula2>1</formula2>
    </dataValidation>
  </dataValidations>
  <pageMargins left="0.23622047244094491" right="0.19685039370078741" top="0.35433070866141736" bottom="0.74803149606299213" header="0.31496062992125984" footer="0.31496062992125984"/>
  <pageSetup paperSize="9" scale="6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3AD7-1096-4C18-A2CF-C3505F6AA3A5}">
  <sheetPr codeName="Sheet3">
    <pageSetUpPr fitToPage="1"/>
  </sheetPr>
  <dimension ref="A1:S26"/>
  <sheetViews>
    <sheetView zoomScale="114" zoomScaleNormal="70" zoomScaleSheetLayoutView="100" workbookViewId="0">
      <pane ySplit="4" topLeftCell="A5" activePane="bottomLeft" state="frozen"/>
      <selection pane="bottomLeft" activeCell="D7" sqref="D7"/>
    </sheetView>
  </sheetViews>
  <sheetFormatPr defaultRowHeight="14" x14ac:dyDescent="0.3"/>
  <cols>
    <col min="3" max="3" width="9" bestFit="1" customWidth="1"/>
    <col min="4" max="4" width="10.75" customWidth="1"/>
    <col min="5" max="5" width="11.25" hidden="1" customWidth="1"/>
    <col min="6" max="6" width="11.25" customWidth="1"/>
    <col min="7" max="7" width="10.1640625" hidden="1" customWidth="1"/>
    <col min="11" max="11" width="8.6640625" customWidth="1"/>
    <col min="12" max="12" width="12.33203125" customWidth="1"/>
    <col min="15" max="15" width="9.9140625" bestFit="1" customWidth="1"/>
    <col min="18" max="18" width="9.9140625" bestFit="1" customWidth="1"/>
    <col min="19" max="19" width="10.6640625" bestFit="1" customWidth="1"/>
  </cols>
  <sheetData>
    <row r="1" spans="1:19" ht="44.25" customHeight="1" x14ac:dyDescent="0.3">
      <c r="A1" s="69" t="s">
        <v>18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</row>
    <row r="2" spans="1:19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7"/>
    </row>
    <row r="3" spans="1:19" ht="26.25" customHeight="1" x14ac:dyDescent="0.3">
      <c r="A3" s="26" t="s">
        <v>13</v>
      </c>
      <c r="B3" s="25" t="s">
        <v>12</v>
      </c>
      <c r="C3" s="73" t="s">
        <v>11</v>
      </c>
      <c r="D3" s="73"/>
      <c r="E3" s="82"/>
      <c r="F3" s="82"/>
      <c r="G3" s="82"/>
      <c r="H3" s="83" t="s">
        <v>10</v>
      </c>
      <c r="I3" s="83"/>
      <c r="J3" s="83"/>
      <c r="K3" s="82"/>
      <c r="L3" s="82"/>
      <c r="M3" s="74" t="s">
        <v>9</v>
      </c>
      <c r="N3" s="84"/>
      <c r="O3" s="85"/>
      <c r="P3" s="83" t="s">
        <v>8</v>
      </c>
      <c r="Q3" s="82"/>
      <c r="R3" s="82"/>
      <c r="S3" s="78" t="s">
        <v>7</v>
      </c>
    </row>
    <row r="4" spans="1:19" ht="33" customHeight="1" x14ac:dyDescent="0.3">
      <c r="A4" s="80" t="s">
        <v>17</v>
      </c>
      <c r="B4" s="81"/>
      <c r="C4" s="24" t="s">
        <v>5</v>
      </c>
      <c r="D4" s="24" t="s">
        <v>19</v>
      </c>
      <c r="E4" s="24" t="s">
        <v>20</v>
      </c>
      <c r="F4" s="24" t="s">
        <v>21</v>
      </c>
      <c r="G4" s="24" t="s">
        <v>22</v>
      </c>
      <c r="H4" s="24" t="s">
        <v>5</v>
      </c>
      <c r="I4" s="24" t="s">
        <v>19</v>
      </c>
      <c r="J4" s="24" t="s">
        <v>21</v>
      </c>
      <c r="K4" s="24" t="s">
        <v>3</v>
      </c>
      <c r="L4" s="24" t="s">
        <v>2</v>
      </c>
      <c r="M4" s="24" t="s">
        <v>4</v>
      </c>
      <c r="N4" s="24" t="s">
        <v>3</v>
      </c>
      <c r="O4" s="24" t="s">
        <v>2</v>
      </c>
      <c r="P4" s="24" t="s">
        <v>4</v>
      </c>
      <c r="Q4" s="24" t="s">
        <v>3</v>
      </c>
      <c r="R4" s="24" t="s">
        <v>2</v>
      </c>
      <c r="S4" s="79"/>
    </row>
    <row r="5" spans="1:19" s="9" customFormat="1" x14ac:dyDescent="0.3">
      <c r="A5" s="20">
        <v>1</v>
      </c>
      <c r="B5" s="19">
        <v>46048</v>
      </c>
      <c r="C5" s="18">
        <v>0.75</v>
      </c>
      <c r="D5" s="35">
        <v>2268519</v>
      </c>
      <c r="E5" s="12">
        <v>2450000</v>
      </c>
      <c r="F5" s="12">
        <f>C5*D5</f>
        <v>1701389.25</v>
      </c>
      <c r="G5" s="11">
        <f t="shared" ref="G5:G17" si="0">E5*C5</f>
        <v>1837500</v>
      </c>
      <c r="H5" s="30">
        <v>0.13</v>
      </c>
      <c r="I5" s="35">
        <v>2268519</v>
      </c>
      <c r="J5" s="35">
        <f>H5*I5</f>
        <v>294907.47000000003</v>
      </c>
      <c r="K5" s="16">
        <v>2450000</v>
      </c>
      <c r="L5" s="11">
        <f t="shared" ref="L5:L20" si="1">K5*H5</f>
        <v>318500</v>
      </c>
      <c r="M5" s="15"/>
      <c r="N5" s="14">
        <v>7000</v>
      </c>
      <c r="O5" s="11">
        <f t="shared" ref="O5:O17" si="2">N5*M5</f>
        <v>0</v>
      </c>
      <c r="P5" s="13"/>
      <c r="Q5" s="12">
        <v>5000</v>
      </c>
      <c r="R5" s="11">
        <f t="shared" ref="R5:R17" si="3">P5*Q5</f>
        <v>0</v>
      </c>
      <c r="S5" s="10">
        <f t="shared" ref="S5:S20" si="4">G5+L5+R5+O5</f>
        <v>2156000</v>
      </c>
    </row>
    <row r="6" spans="1:19" s="9" customFormat="1" x14ac:dyDescent="0.3">
      <c r="A6" s="20">
        <v>2</v>
      </c>
      <c r="B6" s="19">
        <v>46049</v>
      </c>
      <c r="C6" s="18">
        <v>0.75</v>
      </c>
      <c r="D6" s="35">
        <v>2268519</v>
      </c>
      <c r="E6" s="12">
        <v>2450000</v>
      </c>
      <c r="F6" s="12">
        <f t="shared" ref="F6:F20" si="5">C6*D6</f>
        <v>1701389.25</v>
      </c>
      <c r="G6" s="11">
        <f t="shared" si="0"/>
        <v>1837500</v>
      </c>
      <c r="H6" s="31"/>
      <c r="I6" s="35">
        <v>2268519</v>
      </c>
      <c r="J6" s="35">
        <f t="shared" ref="J6:J20" si="6">H6*I6</f>
        <v>0</v>
      </c>
      <c r="K6" s="16">
        <v>2450000</v>
      </c>
      <c r="L6" s="11">
        <f t="shared" si="1"/>
        <v>0</v>
      </c>
      <c r="M6" s="15"/>
      <c r="N6" s="14">
        <v>7000</v>
      </c>
      <c r="O6" s="11">
        <f t="shared" si="2"/>
        <v>0</v>
      </c>
      <c r="P6" s="13"/>
      <c r="Q6" s="12">
        <v>5000</v>
      </c>
      <c r="R6" s="11">
        <f t="shared" si="3"/>
        <v>0</v>
      </c>
      <c r="S6" s="10">
        <f t="shared" si="4"/>
        <v>1837500</v>
      </c>
    </row>
    <row r="7" spans="1:19" s="9" customFormat="1" x14ac:dyDescent="0.3">
      <c r="A7" s="20">
        <v>3</v>
      </c>
      <c r="B7" s="19">
        <v>46050</v>
      </c>
      <c r="C7" s="18">
        <v>0.5</v>
      </c>
      <c r="D7" s="35">
        <v>2268519</v>
      </c>
      <c r="E7" s="12">
        <v>2450000</v>
      </c>
      <c r="F7" s="12">
        <f t="shared" si="5"/>
        <v>1134259.5</v>
      </c>
      <c r="G7" s="11">
        <f t="shared" si="0"/>
        <v>1225000</v>
      </c>
      <c r="H7" s="31">
        <v>7.0000000000000007E-2</v>
      </c>
      <c r="I7" s="35">
        <v>2268519</v>
      </c>
      <c r="J7" s="35">
        <f t="shared" si="6"/>
        <v>158796.33000000002</v>
      </c>
      <c r="K7" s="16">
        <v>2450000</v>
      </c>
      <c r="L7" s="11">
        <f t="shared" si="1"/>
        <v>171500.00000000003</v>
      </c>
      <c r="M7" s="15"/>
      <c r="N7" s="14">
        <v>7000</v>
      </c>
      <c r="O7" s="11">
        <f t="shared" si="2"/>
        <v>0</v>
      </c>
      <c r="P7" s="13"/>
      <c r="Q7" s="12">
        <v>5000</v>
      </c>
      <c r="R7" s="11">
        <f t="shared" si="3"/>
        <v>0</v>
      </c>
      <c r="S7" s="10">
        <f t="shared" si="4"/>
        <v>1396500</v>
      </c>
    </row>
    <row r="8" spans="1:19" s="9" customFormat="1" x14ac:dyDescent="0.3">
      <c r="A8" s="20">
        <v>4</v>
      </c>
      <c r="B8" s="19">
        <v>46051</v>
      </c>
      <c r="C8" s="18">
        <v>0.33</v>
      </c>
      <c r="D8" s="35">
        <v>2268519</v>
      </c>
      <c r="E8" s="12">
        <v>2450000</v>
      </c>
      <c r="F8" s="12">
        <f t="shared" si="5"/>
        <v>748611.27</v>
      </c>
      <c r="G8" s="11">
        <f t="shared" si="0"/>
        <v>808500</v>
      </c>
      <c r="H8" s="31"/>
      <c r="I8" s="35">
        <v>2268519</v>
      </c>
      <c r="J8" s="35">
        <f t="shared" si="6"/>
        <v>0</v>
      </c>
      <c r="K8" s="16">
        <v>2450000</v>
      </c>
      <c r="L8" s="11">
        <f t="shared" si="1"/>
        <v>0</v>
      </c>
      <c r="M8" s="15">
        <v>187</v>
      </c>
      <c r="N8" s="14">
        <v>7000</v>
      </c>
      <c r="O8" s="11">
        <f t="shared" si="2"/>
        <v>1309000</v>
      </c>
      <c r="P8" s="13"/>
      <c r="Q8" s="12">
        <v>5000</v>
      </c>
      <c r="R8" s="11">
        <f t="shared" si="3"/>
        <v>0</v>
      </c>
      <c r="S8" s="10">
        <f t="shared" si="4"/>
        <v>2117500</v>
      </c>
    </row>
    <row r="9" spans="1:19" s="9" customFormat="1" x14ac:dyDescent="0.3">
      <c r="A9" s="20">
        <v>5</v>
      </c>
      <c r="B9" s="19">
        <v>46052</v>
      </c>
      <c r="C9" s="18">
        <v>0.2</v>
      </c>
      <c r="D9" s="35">
        <v>2268519</v>
      </c>
      <c r="E9" s="12">
        <v>2450000</v>
      </c>
      <c r="F9" s="12">
        <f t="shared" si="5"/>
        <v>453703.80000000005</v>
      </c>
      <c r="G9" s="11">
        <f t="shared" si="0"/>
        <v>490000</v>
      </c>
      <c r="H9" s="31"/>
      <c r="I9" s="35">
        <v>2268519</v>
      </c>
      <c r="J9" s="35">
        <f t="shared" si="6"/>
        <v>0</v>
      </c>
      <c r="K9" s="16">
        <v>2450000</v>
      </c>
      <c r="L9" s="11">
        <f t="shared" si="1"/>
        <v>0</v>
      </c>
      <c r="M9" s="15"/>
      <c r="N9" s="14">
        <v>7000</v>
      </c>
      <c r="O9" s="11">
        <f t="shared" si="2"/>
        <v>0</v>
      </c>
      <c r="P9" s="13"/>
      <c r="Q9" s="12">
        <v>5000</v>
      </c>
      <c r="R9" s="11">
        <f t="shared" si="3"/>
        <v>0</v>
      </c>
      <c r="S9" s="10">
        <f t="shared" si="4"/>
        <v>490000</v>
      </c>
    </row>
    <row r="10" spans="1:19" s="9" customFormat="1" x14ac:dyDescent="0.3">
      <c r="A10" s="20">
        <v>6</v>
      </c>
      <c r="B10" s="19">
        <v>46053</v>
      </c>
      <c r="C10" s="18">
        <v>0.33</v>
      </c>
      <c r="D10" s="35">
        <v>2268519</v>
      </c>
      <c r="E10" s="12">
        <v>2450000</v>
      </c>
      <c r="F10" s="12">
        <f t="shared" si="5"/>
        <v>748611.27</v>
      </c>
      <c r="G10" s="11">
        <f t="shared" si="0"/>
        <v>808500</v>
      </c>
      <c r="H10" s="31">
        <v>7.0000000000000007E-2</v>
      </c>
      <c r="I10" s="35">
        <v>2268519</v>
      </c>
      <c r="J10" s="35">
        <f t="shared" si="6"/>
        <v>158796.33000000002</v>
      </c>
      <c r="K10" s="16">
        <v>2450000</v>
      </c>
      <c r="L10" s="11">
        <f t="shared" si="1"/>
        <v>171500.00000000003</v>
      </c>
      <c r="M10" s="15"/>
      <c r="N10" s="14">
        <v>7000</v>
      </c>
      <c r="O10" s="11">
        <f t="shared" si="2"/>
        <v>0</v>
      </c>
      <c r="P10" s="13">
        <v>2917</v>
      </c>
      <c r="Q10" s="12">
        <v>5000</v>
      </c>
      <c r="R10" s="11">
        <f t="shared" si="3"/>
        <v>14585000</v>
      </c>
      <c r="S10" s="10">
        <f t="shared" si="4"/>
        <v>15565000</v>
      </c>
    </row>
    <row r="11" spans="1:19" s="21" customFormat="1" x14ac:dyDescent="0.3">
      <c r="A11" s="20">
        <v>7</v>
      </c>
      <c r="B11" s="19">
        <v>46054</v>
      </c>
      <c r="C11" s="18"/>
      <c r="D11" s="35">
        <v>2268519</v>
      </c>
      <c r="E11" s="12">
        <v>2450000</v>
      </c>
      <c r="F11" s="12">
        <f t="shared" si="5"/>
        <v>0</v>
      </c>
      <c r="G11" s="11">
        <f t="shared" si="0"/>
        <v>0</v>
      </c>
      <c r="H11" s="31"/>
      <c r="I11" s="35">
        <v>2268519</v>
      </c>
      <c r="J11" s="35">
        <f t="shared" si="6"/>
        <v>0</v>
      </c>
      <c r="K11" s="16">
        <v>2450000</v>
      </c>
      <c r="L11" s="11">
        <f t="shared" si="1"/>
        <v>0</v>
      </c>
      <c r="M11" s="15"/>
      <c r="N11" s="14">
        <v>7000</v>
      </c>
      <c r="O11" s="11">
        <f t="shared" si="2"/>
        <v>0</v>
      </c>
      <c r="P11" s="23"/>
      <c r="Q11" s="12">
        <v>5000</v>
      </c>
      <c r="R11" s="11">
        <f t="shared" si="3"/>
        <v>0</v>
      </c>
      <c r="S11" s="10">
        <f t="shared" si="4"/>
        <v>0</v>
      </c>
    </row>
    <row r="12" spans="1:19" s="21" customFormat="1" x14ac:dyDescent="0.3">
      <c r="A12" s="20">
        <v>8</v>
      </c>
      <c r="B12" s="19">
        <v>46055</v>
      </c>
      <c r="C12" s="18">
        <v>0.25</v>
      </c>
      <c r="D12" s="35">
        <v>2268519</v>
      </c>
      <c r="E12" s="12">
        <v>2450000</v>
      </c>
      <c r="F12" s="12">
        <f t="shared" si="5"/>
        <v>567129.75</v>
      </c>
      <c r="G12" s="11">
        <f t="shared" si="0"/>
        <v>612500</v>
      </c>
      <c r="H12" s="31">
        <v>7.0000000000000007E-2</v>
      </c>
      <c r="I12" s="35">
        <v>2268519</v>
      </c>
      <c r="J12" s="35">
        <f t="shared" si="6"/>
        <v>158796.33000000002</v>
      </c>
      <c r="K12" s="16">
        <v>2450000</v>
      </c>
      <c r="L12" s="11">
        <f t="shared" si="1"/>
        <v>171500.00000000003</v>
      </c>
      <c r="M12" s="15"/>
      <c r="N12" s="14">
        <v>7000</v>
      </c>
      <c r="O12" s="11">
        <f t="shared" si="2"/>
        <v>0</v>
      </c>
      <c r="P12" s="23"/>
      <c r="Q12" s="12">
        <v>5000</v>
      </c>
      <c r="R12" s="22">
        <f t="shared" si="3"/>
        <v>0</v>
      </c>
      <c r="S12" s="10">
        <f t="shared" si="4"/>
        <v>784000</v>
      </c>
    </row>
    <row r="13" spans="1:19" s="9" customFormat="1" x14ac:dyDescent="0.3">
      <c r="A13" s="20">
        <v>9</v>
      </c>
      <c r="B13" s="19">
        <v>46056</v>
      </c>
      <c r="C13" s="18">
        <v>0.33</v>
      </c>
      <c r="D13" s="35">
        <v>2268519</v>
      </c>
      <c r="E13" s="12">
        <v>2450000</v>
      </c>
      <c r="F13" s="12">
        <f t="shared" si="5"/>
        <v>748611.27</v>
      </c>
      <c r="G13" s="11">
        <f t="shared" si="0"/>
        <v>808500</v>
      </c>
      <c r="H13" s="31">
        <v>7.0000000000000007E-2</v>
      </c>
      <c r="I13" s="35">
        <v>2268519</v>
      </c>
      <c r="J13" s="35">
        <f t="shared" si="6"/>
        <v>158796.33000000002</v>
      </c>
      <c r="K13" s="16">
        <v>2450000</v>
      </c>
      <c r="L13" s="11">
        <f t="shared" si="1"/>
        <v>171500.00000000003</v>
      </c>
      <c r="M13" s="15"/>
      <c r="N13" s="14">
        <v>7000</v>
      </c>
      <c r="O13" s="11">
        <f t="shared" si="2"/>
        <v>0</v>
      </c>
      <c r="P13" s="13"/>
      <c r="Q13" s="12">
        <v>5000</v>
      </c>
      <c r="R13" s="11">
        <f t="shared" si="3"/>
        <v>0</v>
      </c>
      <c r="S13" s="10">
        <f t="shared" si="4"/>
        <v>980000</v>
      </c>
    </row>
    <row r="14" spans="1:19" s="9" customFormat="1" x14ac:dyDescent="0.3">
      <c r="A14" s="20">
        <v>10</v>
      </c>
      <c r="B14" s="19">
        <v>46057</v>
      </c>
      <c r="C14" s="18">
        <v>0.33</v>
      </c>
      <c r="D14" s="35">
        <v>2268519</v>
      </c>
      <c r="E14" s="12">
        <v>2450000</v>
      </c>
      <c r="F14" s="12">
        <f t="shared" si="5"/>
        <v>748611.27</v>
      </c>
      <c r="G14" s="11">
        <f t="shared" si="0"/>
        <v>808500</v>
      </c>
      <c r="H14" s="31">
        <v>0.13</v>
      </c>
      <c r="I14" s="35">
        <v>2268519</v>
      </c>
      <c r="J14" s="35">
        <f t="shared" si="6"/>
        <v>294907.47000000003</v>
      </c>
      <c r="K14" s="16">
        <v>2450000</v>
      </c>
      <c r="L14" s="11">
        <f t="shared" si="1"/>
        <v>318500</v>
      </c>
      <c r="M14" s="15"/>
      <c r="N14" s="14">
        <v>7000</v>
      </c>
      <c r="O14" s="11">
        <f t="shared" si="2"/>
        <v>0</v>
      </c>
      <c r="P14" s="13"/>
      <c r="Q14" s="12">
        <v>5000</v>
      </c>
      <c r="R14" s="11">
        <f t="shared" si="3"/>
        <v>0</v>
      </c>
      <c r="S14" s="10">
        <f t="shared" si="4"/>
        <v>1127000</v>
      </c>
    </row>
    <row r="15" spans="1:19" s="21" customFormat="1" x14ac:dyDescent="0.3">
      <c r="A15" s="20">
        <v>11</v>
      </c>
      <c r="B15" s="19">
        <v>46058</v>
      </c>
      <c r="C15" s="18">
        <v>0.75</v>
      </c>
      <c r="D15" s="35">
        <v>2268519</v>
      </c>
      <c r="E15" s="12">
        <v>2450000</v>
      </c>
      <c r="F15" s="12">
        <f t="shared" si="5"/>
        <v>1701389.25</v>
      </c>
      <c r="G15" s="11">
        <f t="shared" si="0"/>
        <v>1837500</v>
      </c>
      <c r="H15" s="31"/>
      <c r="I15" s="35">
        <v>2268519</v>
      </c>
      <c r="J15" s="35">
        <f t="shared" si="6"/>
        <v>0</v>
      </c>
      <c r="K15" s="16">
        <v>2450000</v>
      </c>
      <c r="L15" s="11">
        <f t="shared" si="1"/>
        <v>0</v>
      </c>
      <c r="M15" s="15"/>
      <c r="N15" s="14">
        <v>7000</v>
      </c>
      <c r="O15" s="11">
        <f t="shared" si="2"/>
        <v>0</v>
      </c>
      <c r="P15" s="23"/>
      <c r="Q15" s="12">
        <v>5000</v>
      </c>
      <c r="R15" s="11">
        <f t="shared" si="3"/>
        <v>0</v>
      </c>
      <c r="S15" s="10">
        <f t="shared" si="4"/>
        <v>1837500</v>
      </c>
    </row>
    <row r="16" spans="1:19" s="21" customFormat="1" x14ac:dyDescent="0.3">
      <c r="A16" s="20">
        <v>12</v>
      </c>
      <c r="B16" s="19">
        <v>46059</v>
      </c>
      <c r="C16" s="18">
        <v>0.25</v>
      </c>
      <c r="D16" s="35">
        <v>2268519</v>
      </c>
      <c r="E16" s="12">
        <v>2450000</v>
      </c>
      <c r="F16" s="12">
        <f t="shared" si="5"/>
        <v>567129.75</v>
      </c>
      <c r="G16" s="11">
        <f t="shared" si="0"/>
        <v>612500</v>
      </c>
      <c r="H16" s="31"/>
      <c r="I16" s="35">
        <v>2268519</v>
      </c>
      <c r="J16" s="35">
        <f t="shared" si="6"/>
        <v>0</v>
      </c>
      <c r="K16" s="16">
        <v>2450000</v>
      </c>
      <c r="L16" s="11">
        <f t="shared" si="1"/>
        <v>0</v>
      </c>
      <c r="M16" s="15"/>
      <c r="N16" s="14">
        <v>7000</v>
      </c>
      <c r="O16" s="11">
        <f t="shared" si="2"/>
        <v>0</v>
      </c>
      <c r="P16" s="23"/>
      <c r="Q16" s="12">
        <v>5000</v>
      </c>
      <c r="R16" s="22">
        <f t="shared" si="3"/>
        <v>0</v>
      </c>
      <c r="S16" s="10">
        <f t="shared" si="4"/>
        <v>612500</v>
      </c>
    </row>
    <row r="17" spans="1:19" s="9" customFormat="1" x14ac:dyDescent="0.3">
      <c r="A17" s="20">
        <v>13</v>
      </c>
      <c r="B17" s="19">
        <v>46060</v>
      </c>
      <c r="C17" s="18">
        <v>0.2</v>
      </c>
      <c r="D17" s="35">
        <v>2268519</v>
      </c>
      <c r="E17" s="12">
        <v>2450000</v>
      </c>
      <c r="F17" s="12">
        <f t="shared" si="5"/>
        <v>453703.80000000005</v>
      </c>
      <c r="G17" s="11">
        <f t="shared" si="0"/>
        <v>490000</v>
      </c>
      <c r="H17" s="31">
        <v>0.13</v>
      </c>
      <c r="I17" s="35">
        <v>2268519</v>
      </c>
      <c r="J17" s="35">
        <f t="shared" si="6"/>
        <v>294907.47000000003</v>
      </c>
      <c r="K17" s="16">
        <v>2450000</v>
      </c>
      <c r="L17" s="11">
        <f t="shared" si="1"/>
        <v>318500</v>
      </c>
      <c r="M17" s="15"/>
      <c r="N17" s="14">
        <v>7000</v>
      </c>
      <c r="O17" s="11">
        <f t="shared" si="2"/>
        <v>0</v>
      </c>
      <c r="P17" s="13"/>
      <c r="Q17" s="12">
        <v>5000</v>
      </c>
      <c r="R17" s="11">
        <f t="shared" si="3"/>
        <v>0</v>
      </c>
      <c r="S17" s="10">
        <f t="shared" si="4"/>
        <v>808500</v>
      </c>
    </row>
    <row r="18" spans="1:19" s="21" customFormat="1" x14ac:dyDescent="0.3">
      <c r="A18" s="20">
        <v>14</v>
      </c>
      <c r="B18" s="19">
        <v>46061</v>
      </c>
      <c r="C18" s="18"/>
      <c r="D18" s="35">
        <v>2268519</v>
      </c>
      <c r="E18" s="12">
        <v>2450000</v>
      </c>
      <c r="F18" s="12">
        <f t="shared" si="5"/>
        <v>0</v>
      </c>
      <c r="G18" s="11">
        <f>E18*C18</f>
        <v>0</v>
      </c>
      <c r="H18" s="31"/>
      <c r="I18" s="35">
        <v>2268519</v>
      </c>
      <c r="J18" s="35">
        <f t="shared" si="6"/>
        <v>0</v>
      </c>
      <c r="K18" s="16">
        <v>2450000</v>
      </c>
      <c r="L18" s="11">
        <f t="shared" si="1"/>
        <v>0</v>
      </c>
      <c r="M18" s="15"/>
      <c r="N18" s="14">
        <v>7000</v>
      </c>
      <c r="O18" s="11">
        <f>N18*M18</f>
        <v>0</v>
      </c>
      <c r="P18" s="23"/>
      <c r="Q18" s="12">
        <v>5000</v>
      </c>
      <c r="R18" s="22">
        <f>P18*Q18</f>
        <v>0</v>
      </c>
      <c r="S18" s="10">
        <f t="shared" si="4"/>
        <v>0</v>
      </c>
    </row>
    <row r="19" spans="1:19" s="9" customFormat="1" x14ac:dyDescent="0.3">
      <c r="A19" s="20">
        <v>15</v>
      </c>
      <c r="B19" s="19">
        <v>46062</v>
      </c>
      <c r="C19" s="18">
        <v>0.2</v>
      </c>
      <c r="D19" s="35">
        <v>2268519</v>
      </c>
      <c r="E19" s="12">
        <v>2450000</v>
      </c>
      <c r="F19" s="12">
        <f t="shared" si="5"/>
        <v>453703.80000000005</v>
      </c>
      <c r="G19" s="11">
        <f>E19*C19</f>
        <v>490000</v>
      </c>
      <c r="H19" s="31">
        <v>7.0000000000000007E-2</v>
      </c>
      <c r="I19" s="35">
        <v>2268519</v>
      </c>
      <c r="J19" s="35">
        <f t="shared" si="6"/>
        <v>158796.33000000002</v>
      </c>
      <c r="K19" s="16">
        <v>2450000</v>
      </c>
      <c r="L19" s="11">
        <f t="shared" si="1"/>
        <v>171500.00000000003</v>
      </c>
      <c r="M19" s="15"/>
      <c r="N19" s="14">
        <v>7000</v>
      </c>
      <c r="O19" s="11">
        <f>N19*M19</f>
        <v>0</v>
      </c>
      <c r="P19" s="13"/>
      <c r="Q19" s="12">
        <v>5000</v>
      </c>
      <c r="R19" s="11">
        <f>P19*Q19</f>
        <v>0</v>
      </c>
      <c r="S19" s="10">
        <f t="shared" si="4"/>
        <v>661500</v>
      </c>
    </row>
    <row r="20" spans="1:19" s="9" customFormat="1" x14ac:dyDescent="0.3">
      <c r="A20" s="20">
        <v>16</v>
      </c>
      <c r="B20" s="19">
        <v>46063</v>
      </c>
      <c r="C20" s="18">
        <v>0.2</v>
      </c>
      <c r="D20" s="35">
        <v>2268519</v>
      </c>
      <c r="E20" s="12">
        <v>2450000</v>
      </c>
      <c r="F20" s="12">
        <f t="shared" si="5"/>
        <v>453703.80000000005</v>
      </c>
      <c r="G20" s="11">
        <f>E20*C20</f>
        <v>490000</v>
      </c>
      <c r="H20" s="31">
        <v>0.13</v>
      </c>
      <c r="I20" s="35">
        <v>2268519</v>
      </c>
      <c r="J20" s="35">
        <f t="shared" si="6"/>
        <v>294907.47000000003</v>
      </c>
      <c r="K20" s="16">
        <v>2450000</v>
      </c>
      <c r="L20" s="11">
        <f t="shared" si="1"/>
        <v>318500</v>
      </c>
      <c r="M20" s="15"/>
      <c r="N20" s="14">
        <v>7000</v>
      </c>
      <c r="O20" s="11">
        <f>N20*M20</f>
        <v>0</v>
      </c>
      <c r="P20" s="13">
        <v>1880</v>
      </c>
      <c r="Q20" s="12">
        <v>5000</v>
      </c>
      <c r="R20" s="11">
        <f>P20*Q20</f>
        <v>9400000</v>
      </c>
      <c r="S20" s="10">
        <f t="shared" si="4"/>
        <v>10208500</v>
      </c>
    </row>
    <row r="21" spans="1:19" x14ac:dyDescent="0.3">
      <c r="A21" s="65"/>
      <c r="B21" s="66"/>
      <c r="C21" s="36">
        <f>SUM(C5:C20)</f>
        <v>5.370000000000001</v>
      </c>
      <c r="D21" s="8"/>
      <c r="E21" s="7"/>
      <c r="F21" s="38">
        <f>SUM(F5:F20)</f>
        <v>12181947.030000001</v>
      </c>
      <c r="G21" s="38">
        <f>C21*E20</f>
        <v>13156500.000000002</v>
      </c>
      <c r="H21" s="37">
        <f>SUM(H5:H20)</f>
        <v>0.87</v>
      </c>
      <c r="I21" s="7"/>
      <c r="J21" s="7">
        <f>SUM(J5:J20)</f>
        <v>1973611.5300000003</v>
      </c>
      <c r="K21" s="7"/>
      <c r="L21" s="7">
        <f>H21*K20</f>
        <v>2131500</v>
      </c>
      <c r="M21" s="7">
        <f>SUM(M5:M20)</f>
        <v>187</v>
      </c>
      <c r="N21" s="7"/>
      <c r="O21" s="7">
        <f>SUM(O5:O20)</f>
        <v>1309000</v>
      </c>
      <c r="P21" s="7">
        <f>SUM(P5:P20)</f>
        <v>4797</v>
      </c>
      <c r="Q21" s="7"/>
      <c r="R21" s="7">
        <f>SUM(R5:R20)</f>
        <v>23985000</v>
      </c>
      <c r="S21" s="7">
        <f>ROUND(SUM(S5:S20),-2)</f>
        <v>40582000</v>
      </c>
    </row>
    <row r="22" spans="1:19" x14ac:dyDescent="0.3">
      <c r="A22" s="3"/>
      <c r="B22" s="67" t="s">
        <v>1</v>
      </c>
      <c r="C22" s="67"/>
      <c r="D22" s="67"/>
      <c r="E22" s="67"/>
      <c r="F22" s="67"/>
      <c r="G22" s="67"/>
      <c r="H22" s="29"/>
      <c r="I22" s="29"/>
      <c r="J22" s="29"/>
      <c r="K22" s="5"/>
      <c r="L22" s="4">
        <f>H22*K20</f>
        <v>0</v>
      </c>
      <c r="M22" s="4"/>
      <c r="N22" s="4"/>
      <c r="O22" s="4"/>
      <c r="P22" s="67" t="s">
        <v>1</v>
      </c>
      <c r="Q22" s="67"/>
      <c r="R22" s="67"/>
      <c r="S22" s="67"/>
    </row>
    <row r="23" spans="1:19" x14ac:dyDescent="0.3">
      <c r="A23" s="3"/>
      <c r="B23" s="68" t="s">
        <v>0</v>
      </c>
      <c r="C23" s="68"/>
      <c r="D23" s="68"/>
      <c r="E23" s="68"/>
      <c r="F23" s="68"/>
      <c r="G23" s="68"/>
      <c r="H23" s="1"/>
      <c r="I23" s="1"/>
      <c r="J23" s="1"/>
      <c r="K23" s="2"/>
      <c r="L23" s="1"/>
      <c r="M23" s="1"/>
      <c r="N23" s="1"/>
      <c r="O23" s="68" t="s">
        <v>15</v>
      </c>
      <c r="P23" s="68"/>
      <c r="Q23" s="68"/>
      <c r="R23" s="68"/>
      <c r="S23" s="68"/>
    </row>
    <row r="26" spans="1:19" x14ac:dyDescent="0.3">
      <c r="C26" s="7"/>
      <c r="D26" s="34"/>
      <c r="E26" s="33"/>
      <c r="F26" s="33"/>
    </row>
  </sheetData>
  <mergeCells count="12">
    <mergeCell ref="A21:B21"/>
    <mergeCell ref="B22:G22"/>
    <mergeCell ref="P22:S22"/>
    <mergeCell ref="B23:G23"/>
    <mergeCell ref="O23:S23"/>
    <mergeCell ref="A1:S1"/>
    <mergeCell ref="C3:G3"/>
    <mergeCell ref="H3:L3"/>
    <mergeCell ref="M3:O3"/>
    <mergeCell ref="P3:R3"/>
    <mergeCell ref="S3:S4"/>
    <mergeCell ref="A4:B4"/>
  </mergeCells>
  <conditionalFormatting sqref="B5:B20">
    <cfRule type="expression" dxfId="4" priority="1" stopIfTrue="1">
      <formula>WEEKDAY($B5)=1</formula>
    </cfRule>
  </conditionalFormatting>
  <pageMargins left="0.23622047244094491" right="0.19685039370078741" top="0.35433070866141736" bottom="0.74803149606299213" header="0.31496062992125984" footer="0.31496062992125984"/>
  <pageSetup paperSize="9" scale="82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51A2F-8334-42A5-8710-571A36A73A78}">
  <sheetPr codeName="Sheet4">
    <pageSetUpPr fitToPage="1"/>
  </sheetPr>
  <dimension ref="A1:W23"/>
  <sheetViews>
    <sheetView zoomScaleNormal="100" zoomScaleSheetLayoutView="100" workbookViewId="0">
      <pane ySplit="4" topLeftCell="A5" activePane="bottomLeft" state="frozen"/>
      <selection pane="bottomLeft" activeCell="G7" sqref="G7"/>
    </sheetView>
  </sheetViews>
  <sheetFormatPr defaultRowHeight="14" x14ac:dyDescent="0.3"/>
  <cols>
    <col min="3" max="3" width="9" bestFit="1" customWidth="1"/>
    <col min="4" max="4" width="10.75" customWidth="1"/>
    <col min="5" max="6" width="11.25" customWidth="1"/>
    <col min="7" max="7" width="10.1640625" customWidth="1"/>
    <col min="11" max="11" width="8.6640625" customWidth="1"/>
    <col min="12" max="12" width="12.33203125" customWidth="1"/>
    <col min="15" max="15" width="9.9140625" bestFit="1" customWidth="1"/>
    <col min="16" max="17" width="9.9140625" customWidth="1"/>
    <col min="20" max="20" width="9.9140625" bestFit="1" customWidth="1"/>
    <col min="21" max="22" width="9.9140625" customWidth="1"/>
    <col min="23" max="23" width="10.6640625" customWidth="1"/>
  </cols>
  <sheetData>
    <row r="1" spans="1:23" ht="51" customHeight="1" x14ac:dyDescent="0.3">
      <c r="A1" s="69" t="s">
        <v>18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</row>
    <row r="2" spans="1:23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7"/>
      <c r="V2" s="27"/>
      <c r="W2" s="27"/>
    </row>
    <row r="3" spans="1:23" ht="26.25" customHeight="1" x14ac:dyDescent="0.3">
      <c r="A3" s="26" t="s">
        <v>13</v>
      </c>
      <c r="B3" s="25" t="s">
        <v>12</v>
      </c>
      <c r="C3" s="73" t="s">
        <v>11</v>
      </c>
      <c r="D3" s="73"/>
      <c r="E3" s="82"/>
      <c r="F3" s="82"/>
      <c r="G3" s="82"/>
      <c r="H3" s="83" t="s">
        <v>10</v>
      </c>
      <c r="I3" s="83"/>
      <c r="J3" s="83"/>
      <c r="K3" s="82"/>
      <c r="L3" s="82"/>
      <c r="M3" s="74" t="s">
        <v>9</v>
      </c>
      <c r="N3" s="72"/>
      <c r="O3" s="72"/>
      <c r="P3" s="72"/>
      <c r="Q3" s="73"/>
      <c r="R3" s="74" t="s">
        <v>8</v>
      </c>
      <c r="S3" s="72"/>
      <c r="T3" s="72"/>
      <c r="U3" s="72"/>
      <c r="V3" s="73"/>
      <c r="W3" s="78" t="s">
        <v>7</v>
      </c>
    </row>
    <row r="4" spans="1:23" ht="58" customHeight="1" x14ac:dyDescent="0.3">
      <c r="A4" s="80" t="s">
        <v>17</v>
      </c>
      <c r="B4" s="81"/>
      <c r="C4" s="24" t="s">
        <v>5</v>
      </c>
      <c r="D4" s="24" t="s">
        <v>19</v>
      </c>
      <c r="E4" s="24" t="s">
        <v>24</v>
      </c>
      <c r="F4" s="24" t="s">
        <v>23</v>
      </c>
      <c r="G4" s="24" t="s">
        <v>25</v>
      </c>
      <c r="H4" s="24" t="s">
        <v>5</v>
      </c>
      <c r="I4" s="24" t="s">
        <v>19</v>
      </c>
      <c r="J4" s="24" t="s">
        <v>24</v>
      </c>
      <c r="K4" s="24" t="s">
        <v>23</v>
      </c>
      <c r="L4" s="24" t="s">
        <v>25</v>
      </c>
      <c r="M4" s="24" t="s">
        <v>4</v>
      </c>
      <c r="N4" s="24" t="s">
        <v>19</v>
      </c>
      <c r="O4" s="24" t="s">
        <v>2</v>
      </c>
      <c r="P4" s="24" t="s">
        <v>23</v>
      </c>
      <c r="Q4" s="24" t="s">
        <v>25</v>
      </c>
      <c r="R4" s="24" t="s">
        <v>4</v>
      </c>
      <c r="S4" s="24" t="s">
        <v>3</v>
      </c>
      <c r="T4" s="24" t="s">
        <v>24</v>
      </c>
      <c r="U4" s="24" t="s">
        <v>26</v>
      </c>
      <c r="V4" s="24" t="s">
        <v>2</v>
      </c>
      <c r="W4" s="79"/>
    </row>
    <row r="5" spans="1:23" s="9" customFormat="1" ht="22.5" customHeight="1" x14ac:dyDescent="0.3">
      <c r="A5" s="20">
        <v>1</v>
      </c>
      <c r="B5" s="19">
        <v>46048</v>
      </c>
      <c r="C5" s="18">
        <v>0.75</v>
      </c>
      <c r="D5" s="40">
        <v>2268519</v>
      </c>
      <c r="E5" s="41">
        <f>ROUND(C5*D5,0)</f>
        <v>1701389</v>
      </c>
      <c r="F5" s="41">
        <f>ROUND(E5*8%,0)</f>
        <v>136111</v>
      </c>
      <c r="G5" s="42">
        <f>E5+F5</f>
        <v>1837500</v>
      </c>
      <c r="H5" s="30">
        <v>0.13</v>
      </c>
      <c r="I5" s="40">
        <v>2268519</v>
      </c>
      <c r="J5" s="40">
        <f>ROUND(H5*I5,0)</f>
        <v>294907</v>
      </c>
      <c r="K5" s="41">
        <f>ROUND(J5*8%,0)</f>
        <v>23593</v>
      </c>
      <c r="L5" s="42">
        <f>J5+K5</f>
        <v>318500</v>
      </c>
      <c r="M5" s="15"/>
      <c r="N5" s="44">
        <v>6363.6360000000004</v>
      </c>
      <c r="O5" s="43">
        <f t="shared" ref="O5:O20" si="0">N5*M5</f>
        <v>0</v>
      </c>
      <c r="P5" s="42">
        <f>ROUND(O5*8%,0)</f>
        <v>0</v>
      </c>
      <c r="Q5" s="42">
        <f>O5+P5</f>
        <v>0</v>
      </c>
      <c r="R5" s="48"/>
      <c r="S5" s="45">
        <v>4545.4544999999998</v>
      </c>
      <c r="T5" s="42">
        <f t="shared" ref="T5:T20" si="1">R5*S5</f>
        <v>0</v>
      </c>
      <c r="U5" s="42">
        <f>ROUND(T5*10%,0)</f>
        <v>0</v>
      </c>
      <c r="V5" s="42">
        <f>T5+U5</f>
        <v>0</v>
      </c>
      <c r="W5" s="46">
        <f>G5+L5+Q5+V5</f>
        <v>2156000</v>
      </c>
    </row>
    <row r="6" spans="1:23" s="9" customFormat="1" ht="22.5" customHeight="1" x14ac:dyDescent="0.3">
      <c r="A6" s="20">
        <v>2</v>
      </c>
      <c r="B6" s="19">
        <v>46049</v>
      </c>
      <c r="C6" s="18">
        <v>0.75</v>
      </c>
      <c r="D6" s="40">
        <v>2268519</v>
      </c>
      <c r="E6" s="41">
        <f t="shared" ref="E6:E20" si="2">ROUND(C6*D6,0)</f>
        <v>1701389</v>
      </c>
      <c r="F6" s="41">
        <f t="shared" ref="F6:F20" si="3">ROUND(E6*8%,0)</f>
        <v>136111</v>
      </c>
      <c r="G6" s="42">
        <f t="shared" ref="G6:G20" si="4">E6+F6</f>
        <v>1837500</v>
      </c>
      <c r="H6" s="31"/>
      <c r="I6" s="40">
        <v>2268519</v>
      </c>
      <c r="J6" s="40"/>
      <c r="K6" s="51">
        <f t="shared" ref="K6:K20" si="5">ROUND(J6*8%,0)</f>
        <v>0</v>
      </c>
      <c r="L6" s="42">
        <f t="shared" ref="L6:L20" si="6">J6+K6</f>
        <v>0</v>
      </c>
      <c r="M6" s="15"/>
      <c r="N6" s="44">
        <v>6363.6360000000004</v>
      </c>
      <c r="O6" s="43">
        <f t="shared" si="0"/>
        <v>0</v>
      </c>
      <c r="P6" s="42">
        <f t="shared" ref="P6:P20" si="7">ROUND(O6*8%,0)</f>
        <v>0</v>
      </c>
      <c r="Q6" s="42">
        <f t="shared" ref="Q6:Q20" si="8">O6+P6</f>
        <v>0</v>
      </c>
      <c r="R6" s="48"/>
      <c r="S6" s="45">
        <v>4545.4544999999998</v>
      </c>
      <c r="T6" s="42">
        <f t="shared" si="1"/>
        <v>0</v>
      </c>
      <c r="U6" s="42">
        <f t="shared" ref="U6:U20" si="9">ROUND(T6*10%,0)</f>
        <v>0</v>
      </c>
      <c r="V6" s="42">
        <f t="shared" ref="V6:V20" si="10">T6+U6</f>
        <v>0</v>
      </c>
      <c r="W6" s="46">
        <f t="shared" ref="W6:W20" si="11">G6+L6+Q6+V6</f>
        <v>1837500</v>
      </c>
    </row>
    <row r="7" spans="1:23" s="9" customFormat="1" ht="22.5" customHeight="1" x14ac:dyDescent="0.3">
      <c r="A7" s="20">
        <v>3</v>
      </c>
      <c r="B7" s="19">
        <v>46050</v>
      </c>
      <c r="C7" s="18">
        <v>0.5</v>
      </c>
      <c r="D7" s="40">
        <v>2268519</v>
      </c>
      <c r="E7" s="41">
        <f t="shared" si="2"/>
        <v>1134260</v>
      </c>
      <c r="F7" s="41">
        <f t="shared" si="3"/>
        <v>90741</v>
      </c>
      <c r="G7" s="42">
        <f>(E7+F7)-1</f>
        <v>1225000</v>
      </c>
      <c r="H7" s="31">
        <v>7.0000000000000007E-2</v>
      </c>
      <c r="I7" s="40">
        <v>2268519</v>
      </c>
      <c r="J7" s="40">
        <f t="shared" ref="J7:J20" si="12">ROUND(H7*I7,0)</f>
        <v>158796</v>
      </c>
      <c r="K7" s="41">
        <f t="shared" si="5"/>
        <v>12704</v>
      </c>
      <c r="L7" s="42">
        <f t="shared" si="6"/>
        <v>171500</v>
      </c>
      <c r="M7" s="15"/>
      <c r="N7" s="44">
        <v>6363.6360000000004</v>
      </c>
      <c r="O7" s="43">
        <f t="shared" si="0"/>
        <v>0</v>
      </c>
      <c r="P7" s="42">
        <f t="shared" si="7"/>
        <v>0</v>
      </c>
      <c r="Q7" s="42">
        <f t="shared" si="8"/>
        <v>0</v>
      </c>
      <c r="R7" s="48"/>
      <c r="S7" s="45">
        <v>4545.4544999999998</v>
      </c>
      <c r="T7" s="42">
        <f t="shared" si="1"/>
        <v>0</v>
      </c>
      <c r="U7" s="42">
        <f t="shared" si="9"/>
        <v>0</v>
      </c>
      <c r="V7" s="42">
        <f t="shared" si="10"/>
        <v>0</v>
      </c>
      <c r="W7" s="46">
        <f t="shared" si="11"/>
        <v>1396500</v>
      </c>
    </row>
    <row r="8" spans="1:23" s="9" customFormat="1" ht="22.5" customHeight="1" x14ac:dyDescent="0.3">
      <c r="A8" s="20">
        <v>4</v>
      </c>
      <c r="B8" s="19">
        <v>46051</v>
      </c>
      <c r="C8" s="18">
        <v>0.33</v>
      </c>
      <c r="D8" s="40">
        <v>2268519</v>
      </c>
      <c r="E8" s="41">
        <f t="shared" si="2"/>
        <v>748611</v>
      </c>
      <c r="F8" s="41">
        <f t="shared" si="3"/>
        <v>59889</v>
      </c>
      <c r="G8" s="42">
        <f>E8+F8</f>
        <v>808500</v>
      </c>
      <c r="H8" s="31"/>
      <c r="I8" s="40">
        <v>2268519</v>
      </c>
      <c r="J8" s="40"/>
      <c r="K8" s="41"/>
      <c r="L8" s="42">
        <f t="shared" si="6"/>
        <v>0</v>
      </c>
      <c r="M8" s="15">
        <v>187</v>
      </c>
      <c r="N8" s="44">
        <v>6363.6360000000004</v>
      </c>
      <c r="O8" s="42">
        <f>N8*M8</f>
        <v>1189999.932</v>
      </c>
      <c r="P8" s="42">
        <f>ROUND(O8*8%,0)</f>
        <v>95200</v>
      </c>
      <c r="Q8" s="42">
        <f t="shared" si="8"/>
        <v>1285199.932</v>
      </c>
      <c r="R8" s="48"/>
      <c r="S8" s="45">
        <v>4545.4544999999998</v>
      </c>
      <c r="T8" s="42">
        <f t="shared" si="1"/>
        <v>0</v>
      </c>
      <c r="U8" s="42">
        <f t="shared" si="9"/>
        <v>0</v>
      </c>
      <c r="V8" s="42">
        <f t="shared" si="10"/>
        <v>0</v>
      </c>
      <c r="W8" s="46">
        <f t="shared" si="11"/>
        <v>2093699.932</v>
      </c>
    </row>
    <row r="9" spans="1:23" s="9" customFormat="1" ht="22.5" customHeight="1" x14ac:dyDescent="0.3">
      <c r="A9" s="20">
        <v>5</v>
      </c>
      <c r="B9" s="19">
        <v>46052</v>
      </c>
      <c r="C9" s="18">
        <v>0.2</v>
      </c>
      <c r="D9" s="40">
        <v>2268519</v>
      </c>
      <c r="E9" s="41">
        <f t="shared" si="2"/>
        <v>453704</v>
      </c>
      <c r="F9" s="41">
        <f t="shared" si="3"/>
        <v>36296</v>
      </c>
      <c r="G9" s="42">
        <f t="shared" si="4"/>
        <v>490000</v>
      </c>
      <c r="H9" s="31"/>
      <c r="I9" s="40">
        <v>2268519</v>
      </c>
      <c r="J9" s="40"/>
      <c r="K9" s="41"/>
      <c r="L9" s="42">
        <f t="shared" si="6"/>
        <v>0</v>
      </c>
      <c r="M9" s="15"/>
      <c r="N9" s="44">
        <v>6363.6360000000004</v>
      </c>
      <c r="O9" s="43">
        <f t="shared" si="0"/>
        <v>0</v>
      </c>
      <c r="P9" s="42">
        <f t="shared" si="7"/>
        <v>0</v>
      </c>
      <c r="Q9" s="42">
        <f t="shared" si="8"/>
        <v>0</v>
      </c>
      <c r="R9" s="48"/>
      <c r="S9" s="45">
        <v>4545.4544999999998</v>
      </c>
      <c r="T9" s="42">
        <f t="shared" si="1"/>
        <v>0</v>
      </c>
      <c r="U9" s="42">
        <f t="shared" si="9"/>
        <v>0</v>
      </c>
      <c r="V9" s="42">
        <f t="shared" si="10"/>
        <v>0</v>
      </c>
      <c r="W9" s="46">
        <f t="shared" si="11"/>
        <v>490000</v>
      </c>
    </row>
    <row r="10" spans="1:23" s="9" customFormat="1" ht="22.5" customHeight="1" x14ac:dyDescent="0.3">
      <c r="A10" s="20">
        <v>6</v>
      </c>
      <c r="B10" s="19">
        <v>46053</v>
      </c>
      <c r="C10" s="18">
        <v>0.33</v>
      </c>
      <c r="D10" s="40">
        <v>2268519</v>
      </c>
      <c r="E10" s="41">
        <f t="shared" si="2"/>
        <v>748611</v>
      </c>
      <c r="F10" s="41">
        <f t="shared" si="3"/>
        <v>59889</v>
      </c>
      <c r="G10" s="42">
        <f t="shared" si="4"/>
        <v>808500</v>
      </c>
      <c r="H10" s="31">
        <v>7.0000000000000007E-2</v>
      </c>
      <c r="I10" s="40">
        <v>2268519</v>
      </c>
      <c r="J10" s="40">
        <f t="shared" si="12"/>
        <v>158796</v>
      </c>
      <c r="K10" s="41">
        <f t="shared" si="5"/>
        <v>12704</v>
      </c>
      <c r="L10" s="42">
        <f t="shared" si="6"/>
        <v>171500</v>
      </c>
      <c r="M10" s="15"/>
      <c r="N10" s="44">
        <v>6363.6360000000004</v>
      </c>
      <c r="O10" s="43">
        <f t="shared" si="0"/>
        <v>0</v>
      </c>
      <c r="P10" s="42">
        <f t="shared" si="7"/>
        <v>0</v>
      </c>
      <c r="Q10" s="42">
        <f t="shared" si="8"/>
        <v>0</v>
      </c>
      <c r="R10" s="48">
        <v>2917</v>
      </c>
      <c r="S10" s="45">
        <v>4545.4544999999998</v>
      </c>
      <c r="T10" s="42">
        <f t="shared" si="1"/>
        <v>13259090.7765</v>
      </c>
      <c r="U10" s="42">
        <f t="shared" si="9"/>
        <v>1325909</v>
      </c>
      <c r="V10" s="42">
        <f t="shared" si="10"/>
        <v>14584999.7765</v>
      </c>
      <c r="W10" s="46">
        <f t="shared" si="11"/>
        <v>15564999.7765</v>
      </c>
    </row>
    <row r="11" spans="1:23" s="21" customFormat="1" ht="22.5" customHeight="1" x14ac:dyDescent="0.3">
      <c r="A11" s="20">
        <v>7</v>
      </c>
      <c r="B11" s="19">
        <v>46054</v>
      </c>
      <c r="C11" s="18"/>
      <c r="D11" s="40">
        <v>2268519</v>
      </c>
      <c r="E11" s="41"/>
      <c r="F11" s="41"/>
      <c r="G11" s="42">
        <f t="shared" si="4"/>
        <v>0</v>
      </c>
      <c r="H11" s="31"/>
      <c r="I11" s="40">
        <v>2268519</v>
      </c>
      <c r="J11" s="40"/>
      <c r="K11" s="41"/>
      <c r="L11" s="42">
        <f t="shared" si="6"/>
        <v>0</v>
      </c>
      <c r="M11" s="15"/>
      <c r="N11" s="44">
        <v>6363.6360000000004</v>
      </c>
      <c r="O11" s="43">
        <f t="shared" si="0"/>
        <v>0</v>
      </c>
      <c r="P11" s="42">
        <f t="shared" si="7"/>
        <v>0</v>
      </c>
      <c r="Q11" s="42">
        <f t="shared" si="8"/>
        <v>0</v>
      </c>
      <c r="R11" s="49"/>
      <c r="S11" s="45">
        <v>4545.4544999999998</v>
      </c>
      <c r="T11" s="42">
        <f t="shared" si="1"/>
        <v>0</v>
      </c>
      <c r="U11" s="42">
        <f t="shared" si="9"/>
        <v>0</v>
      </c>
      <c r="V11" s="42">
        <f t="shared" si="10"/>
        <v>0</v>
      </c>
      <c r="W11" s="46">
        <f t="shared" si="11"/>
        <v>0</v>
      </c>
    </row>
    <row r="12" spans="1:23" s="21" customFormat="1" ht="22.5" customHeight="1" x14ac:dyDescent="0.3">
      <c r="A12" s="20">
        <v>8</v>
      </c>
      <c r="B12" s="19">
        <v>46055</v>
      </c>
      <c r="C12" s="18">
        <v>0.25</v>
      </c>
      <c r="D12" s="40">
        <v>2268519</v>
      </c>
      <c r="E12" s="41">
        <f t="shared" si="2"/>
        <v>567130</v>
      </c>
      <c r="F12" s="41">
        <f t="shared" si="3"/>
        <v>45370</v>
      </c>
      <c r="G12" s="42">
        <f t="shared" si="4"/>
        <v>612500</v>
      </c>
      <c r="H12" s="31">
        <v>7.0000000000000007E-2</v>
      </c>
      <c r="I12" s="40">
        <v>2268519</v>
      </c>
      <c r="J12" s="40">
        <f t="shared" si="12"/>
        <v>158796</v>
      </c>
      <c r="K12" s="41">
        <f t="shared" si="5"/>
        <v>12704</v>
      </c>
      <c r="L12" s="42">
        <f t="shared" si="6"/>
        <v>171500</v>
      </c>
      <c r="M12" s="15"/>
      <c r="N12" s="44">
        <v>6363.6360000000004</v>
      </c>
      <c r="O12" s="43">
        <f t="shared" si="0"/>
        <v>0</v>
      </c>
      <c r="P12" s="42">
        <f t="shared" si="7"/>
        <v>0</v>
      </c>
      <c r="Q12" s="42">
        <f t="shared" si="8"/>
        <v>0</v>
      </c>
      <c r="R12" s="49"/>
      <c r="S12" s="45">
        <v>4545.4544999999998</v>
      </c>
      <c r="T12" s="47">
        <f t="shared" si="1"/>
        <v>0</v>
      </c>
      <c r="U12" s="42">
        <f t="shared" si="9"/>
        <v>0</v>
      </c>
      <c r="V12" s="42">
        <f t="shared" si="10"/>
        <v>0</v>
      </c>
      <c r="W12" s="46">
        <f t="shared" si="11"/>
        <v>784000</v>
      </c>
    </row>
    <row r="13" spans="1:23" s="9" customFormat="1" ht="22.5" customHeight="1" x14ac:dyDescent="0.3">
      <c r="A13" s="20">
        <v>9</v>
      </c>
      <c r="B13" s="19">
        <v>46056</v>
      </c>
      <c r="C13" s="18">
        <v>0.33</v>
      </c>
      <c r="D13" s="40">
        <v>2268519</v>
      </c>
      <c r="E13" s="41">
        <f t="shared" si="2"/>
        <v>748611</v>
      </c>
      <c r="F13" s="41">
        <f t="shared" si="3"/>
        <v>59889</v>
      </c>
      <c r="G13" s="42">
        <f t="shared" si="4"/>
        <v>808500</v>
      </c>
      <c r="H13" s="31">
        <v>7.0000000000000007E-2</v>
      </c>
      <c r="I13" s="40">
        <v>2268519</v>
      </c>
      <c r="J13" s="40">
        <f t="shared" si="12"/>
        <v>158796</v>
      </c>
      <c r="K13" s="41">
        <f t="shared" si="5"/>
        <v>12704</v>
      </c>
      <c r="L13" s="42">
        <f t="shared" si="6"/>
        <v>171500</v>
      </c>
      <c r="M13" s="15"/>
      <c r="N13" s="44">
        <v>6363.6360000000004</v>
      </c>
      <c r="O13" s="43">
        <f t="shared" si="0"/>
        <v>0</v>
      </c>
      <c r="P13" s="42">
        <f t="shared" si="7"/>
        <v>0</v>
      </c>
      <c r="Q13" s="42">
        <f t="shared" si="8"/>
        <v>0</v>
      </c>
      <c r="R13" s="48"/>
      <c r="S13" s="45">
        <v>4545.4544999999998</v>
      </c>
      <c r="T13" s="42">
        <f t="shared" si="1"/>
        <v>0</v>
      </c>
      <c r="U13" s="42">
        <f t="shared" si="9"/>
        <v>0</v>
      </c>
      <c r="V13" s="42">
        <f t="shared" si="10"/>
        <v>0</v>
      </c>
      <c r="W13" s="46">
        <f t="shared" si="11"/>
        <v>980000</v>
      </c>
    </row>
    <row r="14" spans="1:23" s="9" customFormat="1" ht="22.5" customHeight="1" x14ac:dyDescent="0.3">
      <c r="A14" s="20">
        <v>10</v>
      </c>
      <c r="B14" s="19">
        <v>46057</v>
      </c>
      <c r="C14" s="18">
        <v>0.33</v>
      </c>
      <c r="D14" s="40">
        <v>2268519</v>
      </c>
      <c r="E14" s="41">
        <f t="shared" si="2"/>
        <v>748611</v>
      </c>
      <c r="F14" s="41">
        <f t="shared" si="3"/>
        <v>59889</v>
      </c>
      <c r="G14" s="42">
        <f t="shared" si="4"/>
        <v>808500</v>
      </c>
      <c r="H14" s="31">
        <v>0.13</v>
      </c>
      <c r="I14" s="40">
        <v>2268519</v>
      </c>
      <c r="J14" s="40">
        <f t="shared" si="12"/>
        <v>294907</v>
      </c>
      <c r="K14" s="41">
        <f t="shared" si="5"/>
        <v>23593</v>
      </c>
      <c r="L14" s="42">
        <f t="shared" si="6"/>
        <v>318500</v>
      </c>
      <c r="M14" s="15"/>
      <c r="N14" s="44">
        <v>6363.6360000000004</v>
      </c>
      <c r="O14" s="43">
        <f t="shared" si="0"/>
        <v>0</v>
      </c>
      <c r="P14" s="42">
        <f t="shared" si="7"/>
        <v>0</v>
      </c>
      <c r="Q14" s="42">
        <f t="shared" si="8"/>
        <v>0</v>
      </c>
      <c r="R14" s="48"/>
      <c r="S14" s="45">
        <v>4545.4544999999998</v>
      </c>
      <c r="T14" s="42">
        <f t="shared" si="1"/>
        <v>0</v>
      </c>
      <c r="U14" s="42">
        <f t="shared" si="9"/>
        <v>0</v>
      </c>
      <c r="V14" s="42">
        <f t="shared" si="10"/>
        <v>0</v>
      </c>
      <c r="W14" s="46">
        <f t="shared" si="11"/>
        <v>1127000</v>
      </c>
    </row>
    <row r="15" spans="1:23" s="21" customFormat="1" ht="22.5" customHeight="1" x14ac:dyDescent="0.3">
      <c r="A15" s="20">
        <v>11</v>
      </c>
      <c r="B15" s="19">
        <v>46058</v>
      </c>
      <c r="C15" s="18">
        <v>0.75</v>
      </c>
      <c r="D15" s="40">
        <v>2268519</v>
      </c>
      <c r="E15" s="41">
        <f t="shared" si="2"/>
        <v>1701389</v>
      </c>
      <c r="F15" s="41">
        <f t="shared" si="3"/>
        <v>136111</v>
      </c>
      <c r="G15" s="42">
        <f t="shared" si="4"/>
        <v>1837500</v>
      </c>
      <c r="H15" s="31"/>
      <c r="I15" s="40">
        <v>2268519</v>
      </c>
      <c r="J15" s="40"/>
      <c r="K15" s="41"/>
      <c r="L15" s="42">
        <f t="shared" si="6"/>
        <v>0</v>
      </c>
      <c r="M15" s="15"/>
      <c r="N15" s="44">
        <v>6363.6360000000004</v>
      </c>
      <c r="O15" s="43">
        <f t="shared" si="0"/>
        <v>0</v>
      </c>
      <c r="P15" s="42">
        <f t="shared" si="7"/>
        <v>0</v>
      </c>
      <c r="Q15" s="42">
        <f t="shared" si="8"/>
        <v>0</v>
      </c>
      <c r="R15" s="49"/>
      <c r="S15" s="45">
        <v>4545.4544999999998</v>
      </c>
      <c r="T15" s="42">
        <f t="shared" si="1"/>
        <v>0</v>
      </c>
      <c r="U15" s="42">
        <f t="shared" si="9"/>
        <v>0</v>
      </c>
      <c r="V15" s="42">
        <f t="shared" si="10"/>
        <v>0</v>
      </c>
      <c r="W15" s="46">
        <f t="shared" si="11"/>
        <v>1837500</v>
      </c>
    </row>
    <row r="16" spans="1:23" s="21" customFormat="1" ht="22.5" customHeight="1" x14ac:dyDescent="0.3">
      <c r="A16" s="20">
        <v>12</v>
      </c>
      <c r="B16" s="19">
        <v>46059</v>
      </c>
      <c r="C16" s="18">
        <v>0.25</v>
      </c>
      <c r="D16" s="40">
        <v>2268519</v>
      </c>
      <c r="E16" s="41">
        <f t="shared" si="2"/>
        <v>567130</v>
      </c>
      <c r="F16" s="41">
        <f t="shared" si="3"/>
        <v>45370</v>
      </c>
      <c r="G16" s="42">
        <f t="shared" si="4"/>
        <v>612500</v>
      </c>
      <c r="H16" s="31"/>
      <c r="I16" s="40">
        <v>2268519</v>
      </c>
      <c r="J16" s="40"/>
      <c r="K16" s="41"/>
      <c r="L16" s="42">
        <f t="shared" si="6"/>
        <v>0</v>
      </c>
      <c r="M16" s="15"/>
      <c r="N16" s="44">
        <v>6363.6360000000004</v>
      </c>
      <c r="O16" s="43">
        <f t="shared" si="0"/>
        <v>0</v>
      </c>
      <c r="P16" s="42">
        <f t="shared" si="7"/>
        <v>0</v>
      </c>
      <c r="Q16" s="42">
        <f t="shared" si="8"/>
        <v>0</v>
      </c>
      <c r="R16" s="49"/>
      <c r="S16" s="45">
        <v>4545.4544999999998</v>
      </c>
      <c r="T16" s="47">
        <f t="shared" si="1"/>
        <v>0</v>
      </c>
      <c r="U16" s="42">
        <f t="shared" si="9"/>
        <v>0</v>
      </c>
      <c r="V16" s="42">
        <f t="shared" si="10"/>
        <v>0</v>
      </c>
      <c r="W16" s="46">
        <f t="shared" si="11"/>
        <v>612500</v>
      </c>
    </row>
    <row r="17" spans="1:23" s="9" customFormat="1" ht="22.5" customHeight="1" x14ac:dyDescent="0.3">
      <c r="A17" s="20">
        <v>13</v>
      </c>
      <c r="B17" s="19">
        <v>46060</v>
      </c>
      <c r="C17" s="18">
        <v>0.2</v>
      </c>
      <c r="D17" s="40">
        <v>2268519</v>
      </c>
      <c r="E17" s="41">
        <f t="shared" si="2"/>
        <v>453704</v>
      </c>
      <c r="F17" s="41">
        <f t="shared" si="3"/>
        <v>36296</v>
      </c>
      <c r="G17" s="42">
        <f t="shared" si="4"/>
        <v>490000</v>
      </c>
      <c r="H17" s="31">
        <v>0.13</v>
      </c>
      <c r="I17" s="40">
        <v>2268519</v>
      </c>
      <c r="J17" s="40">
        <f t="shared" si="12"/>
        <v>294907</v>
      </c>
      <c r="K17" s="41">
        <f t="shared" si="5"/>
        <v>23593</v>
      </c>
      <c r="L17" s="42">
        <f t="shared" si="6"/>
        <v>318500</v>
      </c>
      <c r="M17" s="15"/>
      <c r="N17" s="44">
        <v>6363.6360000000004</v>
      </c>
      <c r="O17" s="43">
        <f t="shared" si="0"/>
        <v>0</v>
      </c>
      <c r="P17" s="42">
        <f t="shared" si="7"/>
        <v>0</v>
      </c>
      <c r="Q17" s="42">
        <f t="shared" si="8"/>
        <v>0</v>
      </c>
      <c r="R17" s="48"/>
      <c r="S17" s="45">
        <v>4545.4544999999998</v>
      </c>
      <c r="T17" s="42">
        <f t="shared" si="1"/>
        <v>0</v>
      </c>
      <c r="U17" s="42">
        <f t="shared" si="9"/>
        <v>0</v>
      </c>
      <c r="V17" s="42">
        <f t="shared" si="10"/>
        <v>0</v>
      </c>
      <c r="W17" s="46">
        <f t="shared" si="11"/>
        <v>808500</v>
      </c>
    </row>
    <row r="18" spans="1:23" s="21" customFormat="1" ht="22.5" customHeight="1" x14ac:dyDescent="0.3">
      <c r="A18" s="20">
        <v>14</v>
      </c>
      <c r="B18" s="19">
        <v>46061</v>
      </c>
      <c r="C18" s="18"/>
      <c r="D18" s="40">
        <v>2268519</v>
      </c>
      <c r="E18" s="41"/>
      <c r="F18" s="41"/>
      <c r="G18" s="42">
        <f t="shared" si="4"/>
        <v>0</v>
      </c>
      <c r="H18" s="31"/>
      <c r="I18" s="40">
        <v>2268519</v>
      </c>
      <c r="J18" s="40"/>
      <c r="K18" s="41"/>
      <c r="L18" s="42">
        <f t="shared" si="6"/>
        <v>0</v>
      </c>
      <c r="M18" s="15"/>
      <c r="N18" s="44">
        <v>6363.6360000000004</v>
      </c>
      <c r="O18" s="43">
        <f t="shared" si="0"/>
        <v>0</v>
      </c>
      <c r="P18" s="42">
        <f t="shared" si="7"/>
        <v>0</v>
      </c>
      <c r="Q18" s="42">
        <f t="shared" si="8"/>
        <v>0</v>
      </c>
      <c r="R18" s="49"/>
      <c r="S18" s="45">
        <v>4545.4544999999998</v>
      </c>
      <c r="T18" s="47">
        <f t="shared" si="1"/>
        <v>0</v>
      </c>
      <c r="U18" s="42">
        <f t="shared" si="9"/>
        <v>0</v>
      </c>
      <c r="V18" s="42">
        <f t="shared" si="10"/>
        <v>0</v>
      </c>
      <c r="W18" s="46">
        <f t="shared" si="11"/>
        <v>0</v>
      </c>
    </row>
    <row r="19" spans="1:23" s="9" customFormat="1" ht="22.5" customHeight="1" x14ac:dyDescent="0.3">
      <c r="A19" s="20">
        <v>15</v>
      </c>
      <c r="B19" s="19">
        <v>46062</v>
      </c>
      <c r="C19" s="18">
        <v>0.2</v>
      </c>
      <c r="D19" s="40">
        <v>2268519</v>
      </c>
      <c r="E19" s="41">
        <f t="shared" si="2"/>
        <v>453704</v>
      </c>
      <c r="F19" s="41">
        <f t="shared" si="3"/>
        <v>36296</v>
      </c>
      <c r="G19" s="42">
        <f t="shared" si="4"/>
        <v>490000</v>
      </c>
      <c r="H19" s="31">
        <v>7.0000000000000007E-2</v>
      </c>
      <c r="I19" s="40">
        <v>2268519</v>
      </c>
      <c r="J19" s="40">
        <f t="shared" si="12"/>
        <v>158796</v>
      </c>
      <c r="K19" s="41">
        <f t="shared" si="5"/>
        <v>12704</v>
      </c>
      <c r="L19" s="42">
        <f t="shared" si="6"/>
        <v>171500</v>
      </c>
      <c r="M19" s="15"/>
      <c r="N19" s="44">
        <v>6363.6360000000004</v>
      </c>
      <c r="O19" s="43">
        <f t="shared" si="0"/>
        <v>0</v>
      </c>
      <c r="P19" s="42">
        <f t="shared" si="7"/>
        <v>0</v>
      </c>
      <c r="Q19" s="42">
        <f t="shared" si="8"/>
        <v>0</v>
      </c>
      <c r="R19" s="48"/>
      <c r="S19" s="45">
        <v>4545.4544999999998</v>
      </c>
      <c r="T19" s="42">
        <f t="shared" si="1"/>
        <v>0</v>
      </c>
      <c r="U19" s="42">
        <f t="shared" si="9"/>
        <v>0</v>
      </c>
      <c r="V19" s="42">
        <f t="shared" si="10"/>
        <v>0</v>
      </c>
      <c r="W19" s="46">
        <f t="shared" si="11"/>
        <v>661500</v>
      </c>
    </row>
    <row r="20" spans="1:23" s="9" customFormat="1" ht="22.5" customHeight="1" x14ac:dyDescent="0.3">
      <c r="A20" s="20">
        <v>16</v>
      </c>
      <c r="B20" s="19">
        <v>46063</v>
      </c>
      <c r="C20" s="18">
        <v>0.2</v>
      </c>
      <c r="D20" s="40">
        <v>2268519</v>
      </c>
      <c r="E20" s="41">
        <f t="shared" si="2"/>
        <v>453704</v>
      </c>
      <c r="F20" s="41">
        <f t="shared" si="3"/>
        <v>36296</v>
      </c>
      <c r="G20" s="42">
        <f t="shared" si="4"/>
        <v>490000</v>
      </c>
      <c r="H20" s="31">
        <v>0.13</v>
      </c>
      <c r="I20" s="40">
        <v>2268519</v>
      </c>
      <c r="J20" s="40">
        <f t="shared" si="12"/>
        <v>294907</v>
      </c>
      <c r="K20" s="41">
        <f t="shared" si="5"/>
        <v>23593</v>
      </c>
      <c r="L20" s="42">
        <f t="shared" si="6"/>
        <v>318500</v>
      </c>
      <c r="M20" s="15"/>
      <c r="N20" s="44">
        <v>6363.6360000000004</v>
      </c>
      <c r="O20" s="43">
        <f t="shared" si="0"/>
        <v>0</v>
      </c>
      <c r="P20" s="42">
        <f t="shared" si="7"/>
        <v>0</v>
      </c>
      <c r="Q20" s="42">
        <f t="shared" si="8"/>
        <v>0</v>
      </c>
      <c r="R20" s="48">
        <v>1880</v>
      </c>
      <c r="S20" s="45">
        <v>4545.4544999999998</v>
      </c>
      <c r="T20" s="42">
        <f t="shared" si="1"/>
        <v>8545454.459999999</v>
      </c>
      <c r="U20" s="42">
        <f t="shared" si="9"/>
        <v>854545</v>
      </c>
      <c r="V20" s="42">
        <f t="shared" si="10"/>
        <v>9399999.459999999</v>
      </c>
      <c r="W20" s="46">
        <f t="shared" si="11"/>
        <v>10208499.459999999</v>
      </c>
    </row>
    <row r="21" spans="1:23" ht="22.5" customHeight="1" x14ac:dyDescent="0.3">
      <c r="A21" s="65"/>
      <c r="B21" s="66"/>
      <c r="C21" s="36">
        <f>SUM(C5:C20)</f>
        <v>5.370000000000001</v>
      </c>
      <c r="D21" s="8"/>
      <c r="E21" s="7"/>
      <c r="F21" s="38">
        <f>SUM(F5:F20)</f>
        <v>974554</v>
      </c>
      <c r="G21" s="38">
        <f>SUM(G5:G20)</f>
        <v>13156500</v>
      </c>
      <c r="H21" s="37">
        <f>SUM(H5:H20)</f>
        <v>0.87</v>
      </c>
      <c r="I21" s="7"/>
      <c r="J21" s="39">
        <f>SUM(J5:J20)</f>
        <v>1973608</v>
      </c>
      <c r="K21" s="7"/>
      <c r="L21" s="7">
        <f>SUM(L5:L20)</f>
        <v>2131500</v>
      </c>
      <c r="M21" s="7">
        <f>SUM(M5:M20)</f>
        <v>187</v>
      </c>
      <c r="N21" s="7"/>
      <c r="O21" s="38">
        <f>SUM(O5:O20)</f>
        <v>1189999.932</v>
      </c>
      <c r="P21" s="7"/>
      <c r="Q21" s="38">
        <f>SUM(Q5:Q20)</f>
        <v>1285199.932</v>
      </c>
      <c r="R21" s="7">
        <f>SUM(R5:R20)</f>
        <v>4797</v>
      </c>
      <c r="S21" s="7"/>
      <c r="T21" s="7">
        <f>SUM(T5:T20)</f>
        <v>21804545.236499999</v>
      </c>
      <c r="U21" s="7"/>
      <c r="V21" s="38">
        <f>SUM(V5:V20)</f>
        <v>23984999.236499999</v>
      </c>
      <c r="W21" s="7">
        <f>ROUND(SUM(W5:W20),-2)</f>
        <v>40558200</v>
      </c>
    </row>
    <row r="22" spans="1:23" x14ac:dyDescent="0.3">
      <c r="A22" s="3"/>
      <c r="B22" s="67" t="s">
        <v>1</v>
      </c>
      <c r="C22" s="67"/>
      <c r="D22" s="67"/>
      <c r="E22" s="67"/>
      <c r="F22" s="67"/>
      <c r="G22" s="67"/>
      <c r="H22" s="29"/>
      <c r="I22" s="29"/>
      <c r="J22" s="29"/>
      <c r="K22" s="5"/>
      <c r="L22" s="4">
        <f>H22*K20</f>
        <v>0</v>
      </c>
      <c r="M22" s="4"/>
      <c r="N22" s="4"/>
      <c r="O22" s="4"/>
      <c r="P22" s="4"/>
      <c r="Q22" s="4"/>
      <c r="R22" s="67" t="s">
        <v>1</v>
      </c>
      <c r="S22" s="67"/>
      <c r="T22" s="67"/>
      <c r="U22" s="67"/>
      <c r="V22" s="67"/>
      <c r="W22" s="67"/>
    </row>
    <row r="23" spans="1:23" x14ac:dyDescent="0.3">
      <c r="A23" s="3"/>
      <c r="B23" s="68" t="s">
        <v>0</v>
      </c>
      <c r="C23" s="68"/>
      <c r="D23" s="68"/>
      <c r="E23" s="68"/>
      <c r="F23" s="68"/>
      <c r="G23" s="68"/>
      <c r="H23" s="1"/>
      <c r="I23" s="1"/>
      <c r="J23" s="1"/>
      <c r="K23" s="2"/>
      <c r="L23" s="1"/>
      <c r="M23" s="1"/>
      <c r="N23" s="1"/>
      <c r="P23" s="50"/>
      <c r="Q23" s="50"/>
      <c r="R23" s="86" t="s">
        <v>15</v>
      </c>
      <c r="S23" s="86"/>
      <c r="T23" s="86"/>
      <c r="U23" s="86"/>
      <c r="V23" s="86"/>
      <c r="W23" s="86"/>
    </row>
  </sheetData>
  <mergeCells count="12">
    <mergeCell ref="M3:Q3"/>
    <mergeCell ref="R3:V3"/>
    <mergeCell ref="A1:W1"/>
    <mergeCell ref="C3:G3"/>
    <mergeCell ref="H3:L3"/>
    <mergeCell ref="W3:W4"/>
    <mergeCell ref="A4:B4"/>
    <mergeCell ref="A21:B21"/>
    <mergeCell ref="B22:G22"/>
    <mergeCell ref="R22:W22"/>
    <mergeCell ref="B23:G23"/>
    <mergeCell ref="R23:W23"/>
  </mergeCells>
  <conditionalFormatting sqref="B5:B20">
    <cfRule type="expression" dxfId="3" priority="1" stopIfTrue="1">
      <formula>WEEKDAY($B5)=1</formula>
    </cfRule>
  </conditionalFormatting>
  <pageMargins left="0.23622047244094491" right="0.19685039370078741" top="0.35433070866141736" bottom="0.74803149606299213" header="0.31496062992125984" footer="0.31496062992125984"/>
  <pageSetup paperSize="9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3F963-9F51-4A17-B87E-3E783E29A892}">
  <sheetPr codeName="Sheet5"/>
  <dimension ref="A1"/>
  <sheetViews>
    <sheetView workbookViewId="0"/>
  </sheetViews>
  <sheetFormatPr defaultRowHeight="1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2BE06-CD66-4F19-BB05-55A9B3FE26B9}">
  <sheetPr codeName="Sheet6"/>
  <dimension ref="E5:H9"/>
  <sheetViews>
    <sheetView workbookViewId="0">
      <selection activeCell="G13" sqref="G13"/>
    </sheetView>
  </sheetViews>
  <sheetFormatPr defaultRowHeight="14" x14ac:dyDescent="0.3"/>
  <cols>
    <col min="7" max="7" width="39.5" customWidth="1"/>
    <col min="8" max="8" width="9.75" bestFit="1" customWidth="1"/>
  </cols>
  <sheetData>
    <row r="5" spans="5:8" x14ac:dyDescent="0.3">
      <c r="F5" s="16">
        <f>F8*0.1</f>
        <v>245000</v>
      </c>
    </row>
    <row r="6" spans="5:8" x14ac:dyDescent="0.3">
      <c r="F6" s="32">
        <f>F8-F5</f>
        <v>2205000</v>
      </c>
    </row>
    <row r="8" spans="5:8" x14ac:dyDescent="0.3">
      <c r="E8">
        <v>5.37</v>
      </c>
      <c r="F8" s="16">
        <v>2450000</v>
      </c>
      <c r="G8" s="16">
        <f>E8*F8</f>
        <v>13156500</v>
      </c>
      <c r="H8" s="16">
        <f>G8*0.1</f>
        <v>1315650</v>
      </c>
    </row>
    <row r="9" spans="5:8" x14ac:dyDescent="0.3">
      <c r="G9" s="32">
        <f>G8-H8</f>
        <v>11840850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2BFCA-AB8D-4CDA-BE53-27D7A34CC7A7}">
  <sheetPr codeName="Sheet7">
    <pageSetUpPr fitToPage="1"/>
  </sheetPr>
  <dimension ref="A1:O32"/>
  <sheetViews>
    <sheetView view="pageBreakPreview" zoomScale="115" zoomScaleNormal="115" zoomScaleSheetLayoutView="115" workbookViewId="0">
      <pane ySplit="4" topLeftCell="A20" activePane="bottomLeft" state="frozen"/>
      <selection pane="bottomLeft" activeCell="A5" sqref="A5"/>
    </sheetView>
  </sheetViews>
  <sheetFormatPr defaultRowHeight="14" x14ac:dyDescent="0.3"/>
  <cols>
    <col min="5" max="5" width="10.1640625" bestFit="1" customWidth="1"/>
    <col min="8" max="8" width="9.9140625" bestFit="1" customWidth="1"/>
    <col min="11" max="11" width="9.9140625" bestFit="1" customWidth="1"/>
    <col min="14" max="14" width="9.9140625" bestFit="1" customWidth="1"/>
    <col min="15" max="15" width="10.6640625" bestFit="1" customWidth="1"/>
  </cols>
  <sheetData>
    <row r="1" spans="1:15" ht="44.25" customHeight="1" x14ac:dyDescent="0.3">
      <c r="A1" s="69" t="s">
        <v>14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</row>
    <row r="2" spans="1:15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7"/>
    </row>
    <row r="3" spans="1:15" ht="26.25" customHeight="1" x14ac:dyDescent="0.3">
      <c r="A3" s="26" t="s">
        <v>13</v>
      </c>
      <c r="B3" s="25" t="s">
        <v>12</v>
      </c>
      <c r="C3" s="73" t="s">
        <v>11</v>
      </c>
      <c r="D3" s="82"/>
      <c r="E3" s="82"/>
      <c r="F3" s="83" t="s">
        <v>10</v>
      </c>
      <c r="G3" s="82"/>
      <c r="H3" s="82"/>
      <c r="I3" s="74" t="s">
        <v>9</v>
      </c>
      <c r="J3" s="84"/>
      <c r="K3" s="85"/>
      <c r="L3" s="83" t="s">
        <v>8</v>
      </c>
      <c r="M3" s="82"/>
      <c r="N3" s="82"/>
      <c r="O3" s="78" t="s">
        <v>7</v>
      </c>
    </row>
    <row r="4" spans="1:15" ht="33" customHeight="1" x14ac:dyDescent="0.3">
      <c r="A4" s="80" t="s">
        <v>17</v>
      </c>
      <c r="B4" s="81"/>
      <c r="C4" s="24" t="s">
        <v>5</v>
      </c>
      <c r="D4" s="24" t="s">
        <v>3</v>
      </c>
      <c r="E4" s="24" t="s">
        <v>2</v>
      </c>
      <c r="F4" s="24" t="s">
        <v>5</v>
      </c>
      <c r="G4" s="24" t="s">
        <v>3</v>
      </c>
      <c r="H4" s="24" t="s">
        <v>2</v>
      </c>
      <c r="I4" s="24" t="s">
        <v>4</v>
      </c>
      <c r="J4" s="24" t="s">
        <v>3</v>
      </c>
      <c r="K4" s="24" t="s">
        <v>2</v>
      </c>
      <c r="L4" s="24" t="s">
        <v>4</v>
      </c>
      <c r="M4" s="24" t="s">
        <v>3</v>
      </c>
      <c r="N4" s="24" t="s">
        <v>2</v>
      </c>
      <c r="O4" s="79"/>
    </row>
    <row r="5" spans="1:15" s="9" customFormat="1" x14ac:dyDescent="0.3">
      <c r="A5" s="20">
        <v>1</v>
      </c>
      <c r="B5" s="19">
        <v>46023</v>
      </c>
      <c r="C5" s="18"/>
      <c r="D5" s="12">
        <v>2450000</v>
      </c>
      <c r="E5" s="11">
        <f t="shared" ref="E5:E29" si="0">D5*C5</f>
        <v>0</v>
      </c>
      <c r="F5" s="17"/>
      <c r="G5" s="16">
        <v>2450000</v>
      </c>
      <c r="H5" s="11">
        <f t="shared" ref="H5:H29" si="1">G5*F5</f>
        <v>0</v>
      </c>
      <c r="I5" s="15"/>
      <c r="J5" s="14">
        <v>7000</v>
      </c>
      <c r="K5" s="11">
        <f t="shared" ref="K5:K29" si="2">J5*I5</f>
        <v>0</v>
      </c>
      <c r="L5" s="13"/>
      <c r="M5" s="12">
        <v>5000</v>
      </c>
      <c r="N5" s="11">
        <f t="shared" ref="N5:N29" si="3">L5*M5</f>
        <v>0</v>
      </c>
      <c r="O5" s="10">
        <f t="shared" ref="O5:O29" si="4">E5+H5+N5+K5</f>
        <v>0</v>
      </c>
    </row>
    <row r="6" spans="1:15" s="9" customFormat="1" x14ac:dyDescent="0.3">
      <c r="A6" s="20">
        <v>2</v>
      </c>
      <c r="B6" s="19">
        <v>46024</v>
      </c>
      <c r="C6" s="18">
        <v>0.75</v>
      </c>
      <c r="D6" s="12">
        <v>2450000</v>
      </c>
      <c r="E6" s="11">
        <f t="shared" si="0"/>
        <v>1837500</v>
      </c>
      <c r="F6" s="17">
        <v>6.6666666666666666E-2</v>
      </c>
      <c r="G6" s="16">
        <v>2450000</v>
      </c>
      <c r="H6" s="11">
        <f t="shared" si="1"/>
        <v>163333.33333333334</v>
      </c>
      <c r="I6" s="15"/>
      <c r="J6" s="14">
        <v>7000</v>
      </c>
      <c r="K6" s="11">
        <f t="shared" si="2"/>
        <v>0</v>
      </c>
      <c r="L6" s="13"/>
      <c r="M6" s="12">
        <v>5000</v>
      </c>
      <c r="N6" s="11">
        <f t="shared" si="3"/>
        <v>0</v>
      </c>
      <c r="O6" s="10">
        <f t="shared" si="4"/>
        <v>2000833.3333333333</v>
      </c>
    </row>
    <row r="7" spans="1:15" s="9" customFormat="1" x14ac:dyDescent="0.3">
      <c r="A7" s="20">
        <v>3</v>
      </c>
      <c r="B7" s="19">
        <v>46025</v>
      </c>
      <c r="C7" s="18">
        <v>0.5</v>
      </c>
      <c r="D7" s="12">
        <v>2450000</v>
      </c>
      <c r="E7" s="11">
        <f t="shared" si="0"/>
        <v>1225000</v>
      </c>
      <c r="F7" s="17">
        <v>0.2</v>
      </c>
      <c r="G7" s="16">
        <v>2450000</v>
      </c>
      <c r="H7" s="11">
        <f t="shared" si="1"/>
        <v>490000</v>
      </c>
      <c r="I7" s="15"/>
      <c r="J7" s="14">
        <v>7000</v>
      </c>
      <c r="K7" s="11">
        <f t="shared" si="2"/>
        <v>0</v>
      </c>
      <c r="L7" s="13"/>
      <c r="M7" s="12">
        <v>5000</v>
      </c>
      <c r="N7" s="11">
        <f t="shared" si="3"/>
        <v>0</v>
      </c>
      <c r="O7" s="10">
        <f t="shared" si="4"/>
        <v>1715000</v>
      </c>
    </row>
    <row r="8" spans="1:15" s="9" customFormat="1" x14ac:dyDescent="0.3">
      <c r="A8" s="20">
        <v>4</v>
      </c>
      <c r="B8" s="19">
        <v>46026</v>
      </c>
      <c r="C8" s="18"/>
      <c r="D8" s="12">
        <v>2450000</v>
      </c>
      <c r="E8" s="11">
        <f t="shared" si="0"/>
        <v>0</v>
      </c>
      <c r="F8" s="17"/>
      <c r="G8" s="16">
        <v>2450000</v>
      </c>
      <c r="H8" s="11">
        <f t="shared" si="1"/>
        <v>0</v>
      </c>
      <c r="I8" s="15"/>
      <c r="J8" s="14">
        <v>7000</v>
      </c>
      <c r="K8" s="11">
        <f t="shared" si="2"/>
        <v>0</v>
      </c>
      <c r="L8" s="13"/>
      <c r="M8" s="12">
        <v>5000</v>
      </c>
      <c r="N8" s="11">
        <f t="shared" si="3"/>
        <v>0</v>
      </c>
      <c r="O8" s="10">
        <f t="shared" si="4"/>
        <v>0</v>
      </c>
    </row>
    <row r="9" spans="1:15" s="9" customFormat="1" x14ac:dyDescent="0.3">
      <c r="A9" s="20">
        <v>5</v>
      </c>
      <c r="B9" s="19">
        <v>46027</v>
      </c>
      <c r="C9" s="18">
        <v>0.5</v>
      </c>
      <c r="D9" s="12">
        <v>2450000</v>
      </c>
      <c r="E9" s="11">
        <f t="shared" si="0"/>
        <v>1225000</v>
      </c>
      <c r="F9" s="17">
        <v>6.6666666666666666E-2</v>
      </c>
      <c r="G9" s="16">
        <v>2450000</v>
      </c>
      <c r="H9" s="11">
        <f t="shared" si="1"/>
        <v>163333.33333333334</v>
      </c>
      <c r="I9" s="15"/>
      <c r="J9" s="14">
        <v>7000</v>
      </c>
      <c r="K9" s="11">
        <f t="shared" si="2"/>
        <v>0</v>
      </c>
      <c r="L9" s="13"/>
      <c r="M9" s="12">
        <v>5000</v>
      </c>
      <c r="N9" s="11">
        <f t="shared" si="3"/>
        <v>0</v>
      </c>
      <c r="O9" s="10">
        <f t="shared" si="4"/>
        <v>1388333.3333333333</v>
      </c>
    </row>
    <row r="10" spans="1:15" s="9" customFormat="1" x14ac:dyDescent="0.3">
      <c r="A10" s="20">
        <v>6</v>
      </c>
      <c r="B10" s="19">
        <v>46028</v>
      </c>
      <c r="C10" s="18">
        <v>0.75</v>
      </c>
      <c r="D10" s="12">
        <v>2450000</v>
      </c>
      <c r="E10" s="11">
        <f t="shared" si="0"/>
        <v>1837500</v>
      </c>
      <c r="F10" s="17">
        <v>6.6666666666666666E-2</v>
      </c>
      <c r="G10" s="16">
        <v>2450000</v>
      </c>
      <c r="H10" s="11">
        <f t="shared" si="1"/>
        <v>163333.33333333334</v>
      </c>
      <c r="I10" s="15"/>
      <c r="J10" s="14">
        <v>7000</v>
      </c>
      <c r="K10" s="11">
        <f t="shared" si="2"/>
        <v>0</v>
      </c>
      <c r="L10" s="13"/>
      <c r="M10" s="12">
        <v>5000</v>
      </c>
      <c r="N10" s="11">
        <f t="shared" si="3"/>
        <v>0</v>
      </c>
      <c r="O10" s="10">
        <f t="shared" si="4"/>
        <v>2000833.3333333333</v>
      </c>
    </row>
    <row r="11" spans="1:15" s="21" customFormat="1" x14ac:dyDescent="0.3">
      <c r="A11" s="20">
        <v>7</v>
      </c>
      <c r="B11" s="19">
        <v>46029</v>
      </c>
      <c r="C11" s="18">
        <v>0.5</v>
      </c>
      <c r="D11" s="12">
        <v>2450000</v>
      </c>
      <c r="E11" s="11">
        <f t="shared" si="0"/>
        <v>1225000</v>
      </c>
      <c r="F11" s="17">
        <v>6.6666666666666666E-2</v>
      </c>
      <c r="G11" s="16">
        <v>2450000</v>
      </c>
      <c r="H11" s="11">
        <f t="shared" si="1"/>
        <v>163333.33333333334</v>
      </c>
      <c r="I11" s="15"/>
      <c r="J11" s="14">
        <v>7000</v>
      </c>
      <c r="K11" s="11">
        <f t="shared" si="2"/>
        <v>0</v>
      </c>
      <c r="L11" s="23"/>
      <c r="M11" s="12">
        <v>5000</v>
      </c>
      <c r="N11" s="11">
        <f t="shared" si="3"/>
        <v>0</v>
      </c>
      <c r="O11" s="10">
        <f t="shared" si="4"/>
        <v>1388333.3333333333</v>
      </c>
    </row>
    <row r="12" spans="1:15" s="21" customFormat="1" x14ac:dyDescent="0.3">
      <c r="A12" s="20">
        <v>8</v>
      </c>
      <c r="B12" s="19">
        <v>46030</v>
      </c>
      <c r="C12" s="18">
        <v>0.5</v>
      </c>
      <c r="D12" s="12">
        <v>2450000</v>
      </c>
      <c r="E12" s="11">
        <f t="shared" si="0"/>
        <v>1225000</v>
      </c>
      <c r="F12" s="17">
        <v>6.6666666666666666E-2</v>
      </c>
      <c r="G12" s="16">
        <v>2450000</v>
      </c>
      <c r="H12" s="11">
        <f t="shared" si="1"/>
        <v>163333.33333333334</v>
      </c>
      <c r="I12" s="15"/>
      <c r="J12" s="14">
        <v>7000</v>
      </c>
      <c r="K12" s="11">
        <f t="shared" si="2"/>
        <v>0</v>
      </c>
      <c r="L12" s="23"/>
      <c r="M12" s="12">
        <v>5000</v>
      </c>
      <c r="N12" s="22">
        <f t="shared" si="3"/>
        <v>0</v>
      </c>
      <c r="O12" s="10">
        <f t="shared" si="4"/>
        <v>1388333.3333333333</v>
      </c>
    </row>
    <row r="13" spans="1:15" s="9" customFormat="1" x14ac:dyDescent="0.3">
      <c r="A13" s="20">
        <v>9</v>
      </c>
      <c r="B13" s="19">
        <v>46031</v>
      </c>
      <c r="C13" s="18">
        <v>0.5</v>
      </c>
      <c r="D13" s="12">
        <v>2450000</v>
      </c>
      <c r="E13" s="11">
        <f t="shared" si="0"/>
        <v>1225000</v>
      </c>
      <c r="F13" s="17"/>
      <c r="G13" s="16">
        <v>2450000</v>
      </c>
      <c r="H13" s="11">
        <f t="shared" si="1"/>
        <v>0</v>
      </c>
      <c r="I13" s="15"/>
      <c r="J13" s="14">
        <v>7000</v>
      </c>
      <c r="K13" s="11">
        <f t="shared" si="2"/>
        <v>0</v>
      </c>
      <c r="L13" s="13"/>
      <c r="M13" s="12">
        <v>5000</v>
      </c>
      <c r="N13" s="11">
        <f t="shared" si="3"/>
        <v>0</v>
      </c>
      <c r="O13" s="10">
        <f t="shared" si="4"/>
        <v>1225000</v>
      </c>
    </row>
    <row r="14" spans="1:15" s="9" customFormat="1" x14ac:dyDescent="0.3">
      <c r="A14" s="20">
        <v>10</v>
      </c>
      <c r="B14" s="19">
        <v>46032</v>
      </c>
      <c r="C14" s="18">
        <v>0.5</v>
      </c>
      <c r="D14" s="12">
        <v>2450000</v>
      </c>
      <c r="E14" s="11">
        <f t="shared" si="0"/>
        <v>1225000</v>
      </c>
      <c r="F14" s="17">
        <v>0.13333333333333333</v>
      </c>
      <c r="G14" s="16">
        <v>2450000</v>
      </c>
      <c r="H14" s="11">
        <f t="shared" si="1"/>
        <v>326666.66666666669</v>
      </c>
      <c r="I14" s="15"/>
      <c r="J14" s="14">
        <v>7000</v>
      </c>
      <c r="K14" s="11">
        <f t="shared" si="2"/>
        <v>0</v>
      </c>
      <c r="L14" s="13">
        <v>1430</v>
      </c>
      <c r="M14" s="12">
        <v>5000</v>
      </c>
      <c r="N14" s="11">
        <f t="shared" si="3"/>
        <v>7150000</v>
      </c>
      <c r="O14" s="10">
        <f t="shared" si="4"/>
        <v>8701666.666666666</v>
      </c>
    </row>
    <row r="15" spans="1:15" s="21" customFormat="1" x14ac:dyDescent="0.3">
      <c r="A15" s="20">
        <v>11</v>
      </c>
      <c r="B15" s="19">
        <v>46033</v>
      </c>
      <c r="C15" s="18"/>
      <c r="D15" s="12">
        <v>2450000</v>
      </c>
      <c r="E15" s="11">
        <f t="shared" si="0"/>
        <v>0</v>
      </c>
      <c r="F15" s="17"/>
      <c r="G15" s="16">
        <v>2450000</v>
      </c>
      <c r="H15" s="11">
        <f t="shared" si="1"/>
        <v>0</v>
      </c>
      <c r="I15" s="15"/>
      <c r="J15" s="14">
        <v>7000</v>
      </c>
      <c r="K15" s="11">
        <f t="shared" si="2"/>
        <v>0</v>
      </c>
      <c r="L15" s="23"/>
      <c r="M15" s="12">
        <v>5000</v>
      </c>
      <c r="N15" s="11">
        <f t="shared" si="3"/>
        <v>0</v>
      </c>
      <c r="O15" s="10">
        <f t="shared" si="4"/>
        <v>0</v>
      </c>
    </row>
    <row r="16" spans="1:15" s="21" customFormat="1" x14ac:dyDescent="0.3">
      <c r="A16" s="20">
        <v>12</v>
      </c>
      <c r="B16" s="19">
        <v>46034</v>
      </c>
      <c r="C16" s="18">
        <v>0.75</v>
      </c>
      <c r="D16" s="12">
        <v>2450000</v>
      </c>
      <c r="E16" s="11">
        <f t="shared" si="0"/>
        <v>1837500</v>
      </c>
      <c r="F16" s="17">
        <v>6.6666666666666666E-2</v>
      </c>
      <c r="G16" s="16">
        <v>2450000</v>
      </c>
      <c r="H16" s="11">
        <f t="shared" si="1"/>
        <v>163333.33333333334</v>
      </c>
      <c r="I16" s="15"/>
      <c r="J16" s="14">
        <v>7000</v>
      </c>
      <c r="K16" s="11">
        <f t="shared" si="2"/>
        <v>0</v>
      </c>
      <c r="L16" s="23"/>
      <c r="M16" s="12">
        <v>5000</v>
      </c>
      <c r="N16" s="22">
        <f t="shared" si="3"/>
        <v>0</v>
      </c>
      <c r="O16" s="10">
        <f t="shared" si="4"/>
        <v>2000833.3333333333</v>
      </c>
    </row>
    <row r="17" spans="1:15" s="9" customFormat="1" x14ac:dyDescent="0.3">
      <c r="A17" s="20">
        <v>13</v>
      </c>
      <c r="B17" s="19">
        <v>46035</v>
      </c>
      <c r="C17" s="18">
        <v>0.75</v>
      </c>
      <c r="D17" s="12">
        <v>2450000</v>
      </c>
      <c r="E17" s="11">
        <f t="shared" si="0"/>
        <v>1837500</v>
      </c>
      <c r="F17" s="17"/>
      <c r="G17" s="16">
        <v>2450000</v>
      </c>
      <c r="H17" s="11">
        <f t="shared" si="1"/>
        <v>0</v>
      </c>
      <c r="I17" s="15"/>
      <c r="J17" s="14">
        <v>7000</v>
      </c>
      <c r="K17" s="11">
        <f t="shared" si="2"/>
        <v>0</v>
      </c>
      <c r="L17" s="13"/>
      <c r="M17" s="12">
        <v>5000</v>
      </c>
      <c r="N17" s="11">
        <f t="shared" si="3"/>
        <v>0</v>
      </c>
      <c r="O17" s="10">
        <f t="shared" si="4"/>
        <v>1837500</v>
      </c>
    </row>
    <row r="18" spans="1:15" s="9" customFormat="1" x14ac:dyDescent="0.3">
      <c r="A18" s="20">
        <v>14</v>
      </c>
      <c r="B18" s="19">
        <v>46036</v>
      </c>
      <c r="C18" s="18">
        <v>0.5</v>
      </c>
      <c r="D18" s="12">
        <v>2450000</v>
      </c>
      <c r="E18" s="11">
        <f t="shared" si="0"/>
        <v>1225000</v>
      </c>
      <c r="F18" s="17">
        <v>6.6666666666666666E-2</v>
      </c>
      <c r="G18" s="16">
        <v>2450000</v>
      </c>
      <c r="H18" s="11">
        <f t="shared" si="1"/>
        <v>163333.33333333334</v>
      </c>
      <c r="I18" s="15"/>
      <c r="J18" s="14">
        <v>7000</v>
      </c>
      <c r="K18" s="11">
        <f t="shared" si="2"/>
        <v>0</v>
      </c>
      <c r="L18" s="13"/>
      <c r="M18" s="12">
        <v>5000</v>
      </c>
      <c r="N18" s="11">
        <f t="shared" si="3"/>
        <v>0</v>
      </c>
      <c r="O18" s="10">
        <f t="shared" si="4"/>
        <v>1388333.3333333333</v>
      </c>
    </row>
    <row r="19" spans="1:15" s="9" customFormat="1" x14ac:dyDescent="0.3">
      <c r="A19" s="20">
        <v>15</v>
      </c>
      <c r="B19" s="19">
        <v>46037</v>
      </c>
      <c r="C19" s="18">
        <v>0.75</v>
      </c>
      <c r="D19" s="12">
        <v>2450000</v>
      </c>
      <c r="E19" s="11">
        <f t="shared" si="0"/>
        <v>1837500</v>
      </c>
      <c r="F19" s="17">
        <v>0.2</v>
      </c>
      <c r="G19" s="16">
        <v>2450000</v>
      </c>
      <c r="H19" s="11">
        <f t="shared" si="1"/>
        <v>490000</v>
      </c>
      <c r="I19" s="15"/>
      <c r="J19" s="14">
        <v>7000</v>
      </c>
      <c r="K19" s="11">
        <f t="shared" si="2"/>
        <v>0</v>
      </c>
      <c r="L19" s="13"/>
      <c r="M19" s="12">
        <v>5000</v>
      </c>
      <c r="N19" s="11">
        <f t="shared" si="3"/>
        <v>0</v>
      </c>
      <c r="O19" s="10">
        <f t="shared" si="4"/>
        <v>2327500</v>
      </c>
    </row>
    <row r="20" spans="1:15" s="9" customFormat="1" x14ac:dyDescent="0.3">
      <c r="A20" s="20">
        <v>16</v>
      </c>
      <c r="B20" s="19">
        <v>46038</v>
      </c>
      <c r="C20" s="18">
        <v>0.5</v>
      </c>
      <c r="D20" s="12">
        <v>2450000</v>
      </c>
      <c r="E20" s="11">
        <f t="shared" si="0"/>
        <v>1225000</v>
      </c>
      <c r="F20" s="17"/>
      <c r="G20" s="16">
        <v>2450000</v>
      </c>
      <c r="H20" s="11">
        <f t="shared" si="1"/>
        <v>0</v>
      </c>
      <c r="I20" s="15"/>
      <c r="J20" s="14">
        <v>7000</v>
      </c>
      <c r="K20" s="11">
        <f t="shared" si="2"/>
        <v>0</v>
      </c>
      <c r="L20" s="13"/>
      <c r="M20" s="12">
        <v>5000</v>
      </c>
      <c r="N20" s="11">
        <f t="shared" si="3"/>
        <v>0</v>
      </c>
      <c r="O20" s="10">
        <f t="shared" si="4"/>
        <v>1225000</v>
      </c>
    </row>
    <row r="21" spans="1:15" s="9" customFormat="1" x14ac:dyDescent="0.3">
      <c r="A21" s="20">
        <v>17</v>
      </c>
      <c r="B21" s="19">
        <v>46039</v>
      </c>
      <c r="C21" s="18">
        <v>0.5</v>
      </c>
      <c r="D21" s="12">
        <v>2450000</v>
      </c>
      <c r="E21" s="11">
        <f t="shared" si="0"/>
        <v>1225000</v>
      </c>
      <c r="F21" s="17"/>
      <c r="G21" s="16">
        <v>2450000</v>
      </c>
      <c r="H21" s="11">
        <f t="shared" si="1"/>
        <v>0</v>
      </c>
      <c r="I21" s="15"/>
      <c r="J21" s="14">
        <v>7000</v>
      </c>
      <c r="K21" s="11">
        <f t="shared" si="2"/>
        <v>0</v>
      </c>
      <c r="L21" s="13"/>
      <c r="M21" s="12">
        <v>5000</v>
      </c>
      <c r="N21" s="11">
        <f t="shared" si="3"/>
        <v>0</v>
      </c>
      <c r="O21" s="10">
        <f t="shared" si="4"/>
        <v>1225000</v>
      </c>
    </row>
    <row r="22" spans="1:15" s="9" customFormat="1" x14ac:dyDescent="0.3">
      <c r="A22" s="20">
        <v>18</v>
      </c>
      <c r="B22" s="19">
        <v>46040</v>
      </c>
      <c r="C22" s="18"/>
      <c r="D22" s="12">
        <v>2450000</v>
      </c>
      <c r="E22" s="11">
        <f t="shared" si="0"/>
        <v>0</v>
      </c>
      <c r="F22" s="17"/>
      <c r="G22" s="16">
        <v>2450000</v>
      </c>
      <c r="H22" s="11">
        <f t="shared" si="1"/>
        <v>0</v>
      </c>
      <c r="I22" s="15"/>
      <c r="J22" s="14">
        <v>7000</v>
      </c>
      <c r="K22" s="11">
        <f t="shared" si="2"/>
        <v>0</v>
      </c>
      <c r="L22" s="13"/>
      <c r="M22" s="12">
        <v>5000</v>
      </c>
      <c r="N22" s="11">
        <f t="shared" si="3"/>
        <v>0</v>
      </c>
      <c r="O22" s="10">
        <f t="shared" si="4"/>
        <v>0</v>
      </c>
    </row>
    <row r="23" spans="1:15" s="9" customFormat="1" x14ac:dyDescent="0.3">
      <c r="A23" s="20">
        <v>19</v>
      </c>
      <c r="B23" s="19">
        <v>46041</v>
      </c>
      <c r="C23" s="18">
        <v>0.75</v>
      </c>
      <c r="D23" s="12">
        <v>2450000</v>
      </c>
      <c r="E23" s="11">
        <f t="shared" si="0"/>
        <v>1837500</v>
      </c>
      <c r="F23" s="17">
        <v>0.13333333333333333</v>
      </c>
      <c r="G23" s="16">
        <v>2450000</v>
      </c>
      <c r="H23" s="11">
        <f t="shared" si="1"/>
        <v>326666.66666666669</v>
      </c>
      <c r="I23" s="15"/>
      <c r="J23" s="14">
        <v>7000</v>
      </c>
      <c r="K23" s="11">
        <f t="shared" si="2"/>
        <v>0</v>
      </c>
      <c r="L23" s="13"/>
      <c r="M23" s="12">
        <v>5000</v>
      </c>
      <c r="N23" s="11">
        <f t="shared" si="3"/>
        <v>0</v>
      </c>
      <c r="O23" s="10">
        <f t="shared" si="4"/>
        <v>2164166.6666666665</v>
      </c>
    </row>
    <row r="24" spans="1:15" s="9" customFormat="1" x14ac:dyDescent="0.3">
      <c r="A24" s="20">
        <v>20</v>
      </c>
      <c r="B24" s="19">
        <v>46042</v>
      </c>
      <c r="C24" s="18">
        <v>1</v>
      </c>
      <c r="D24" s="12">
        <v>2450000</v>
      </c>
      <c r="E24" s="11">
        <f t="shared" si="0"/>
        <v>2450000</v>
      </c>
      <c r="F24" s="17">
        <v>0.13333333333333333</v>
      </c>
      <c r="G24" s="16">
        <v>2450000</v>
      </c>
      <c r="H24" s="11">
        <f t="shared" si="1"/>
        <v>326666.66666666669</v>
      </c>
      <c r="I24" s="15"/>
      <c r="J24" s="14">
        <v>7000</v>
      </c>
      <c r="K24" s="11">
        <f t="shared" si="2"/>
        <v>0</v>
      </c>
      <c r="L24" s="13"/>
      <c r="M24" s="12">
        <v>5000</v>
      </c>
      <c r="N24" s="11">
        <f t="shared" si="3"/>
        <v>0</v>
      </c>
      <c r="O24" s="10">
        <f t="shared" si="4"/>
        <v>2776666.6666666665</v>
      </c>
    </row>
    <row r="25" spans="1:15" s="9" customFormat="1" x14ac:dyDescent="0.3">
      <c r="A25" s="20">
        <v>21</v>
      </c>
      <c r="B25" s="19">
        <v>46043</v>
      </c>
      <c r="C25" s="18">
        <v>0.75</v>
      </c>
      <c r="D25" s="12">
        <v>2450000</v>
      </c>
      <c r="E25" s="11">
        <f t="shared" si="0"/>
        <v>1837500</v>
      </c>
      <c r="F25" s="17">
        <v>6.6666666666666666E-2</v>
      </c>
      <c r="G25" s="16">
        <v>2450000</v>
      </c>
      <c r="H25" s="11">
        <f t="shared" si="1"/>
        <v>163333.33333333334</v>
      </c>
      <c r="I25" s="15"/>
      <c r="J25" s="14">
        <v>7000</v>
      </c>
      <c r="K25" s="11">
        <f t="shared" si="2"/>
        <v>0</v>
      </c>
      <c r="L25" s="13"/>
      <c r="M25" s="12">
        <v>5000</v>
      </c>
      <c r="N25" s="11">
        <f t="shared" si="3"/>
        <v>0</v>
      </c>
      <c r="O25" s="10">
        <f t="shared" si="4"/>
        <v>2000833.3333333333</v>
      </c>
    </row>
    <row r="26" spans="1:15" s="9" customFormat="1" x14ac:dyDescent="0.3">
      <c r="A26" s="20">
        <v>22</v>
      </c>
      <c r="B26" s="19">
        <v>46044</v>
      </c>
      <c r="C26" s="18">
        <v>0.2</v>
      </c>
      <c r="D26" s="12">
        <v>2450000</v>
      </c>
      <c r="E26" s="11">
        <f t="shared" si="0"/>
        <v>490000</v>
      </c>
      <c r="F26" s="17">
        <v>6.6666666666666666E-2</v>
      </c>
      <c r="G26" s="16">
        <v>2450000</v>
      </c>
      <c r="H26" s="11">
        <f t="shared" si="1"/>
        <v>163333.33333333334</v>
      </c>
      <c r="I26" s="15"/>
      <c r="J26" s="14">
        <v>7000</v>
      </c>
      <c r="K26" s="11">
        <f t="shared" si="2"/>
        <v>0</v>
      </c>
      <c r="L26" s="13"/>
      <c r="M26" s="12">
        <v>5000</v>
      </c>
      <c r="N26" s="11">
        <f t="shared" si="3"/>
        <v>0</v>
      </c>
      <c r="O26" s="10">
        <f t="shared" si="4"/>
        <v>653333.33333333337</v>
      </c>
    </row>
    <row r="27" spans="1:15" s="9" customFormat="1" x14ac:dyDescent="0.3">
      <c r="A27" s="20">
        <v>23</v>
      </c>
      <c r="B27" s="19">
        <v>46045</v>
      </c>
      <c r="C27" s="18">
        <v>0.25</v>
      </c>
      <c r="D27" s="12">
        <v>2450000</v>
      </c>
      <c r="E27" s="11">
        <f t="shared" si="0"/>
        <v>612500</v>
      </c>
      <c r="F27" s="17"/>
      <c r="G27" s="16">
        <v>2450000</v>
      </c>
      <c r="H27" s="11">
        <f t="shared" si="1"/>
        <v>0</v>
      </c>
      <c r="I27" s="15"/>
      <c r="J27" s="14">
        <v>7000</v>
      </c>
      <c r="K27" s="11">
        <f t="shared" si="2"/>
        <v>0</v>
      </c>
      <c r="L27" s="13"/>
      <c r="M27" s="12">
        <v>5000</v>
      </c>
      <c r="N27" s="11">
        <f t="shared" si="3"/>
        <v>0</v>
      </c>
      <c r="O27" s="10">
        <f t="shared" si="4"/>
        <v>612500</v>
      </c>
    </row>
    <row r="28" spans="1:15" s="9" customFormat="1" x14ac:dyDescent="0.3">
      <c r="A28" s="20">
        <v>24</v>
      </c>
      <c r="B28" s="19">
        <v>46046</v>
      </c>
      <c r="C28" s="18">
        <v>0.75</v>
      </c>
      <c r="D28" s="12">
        <v>2450000</v>
      </c>
      <c r="E28" s="11">
        <f t="shared" si="0"/>
        <v>1837500</v>
      </c>
      <c r="F28" s="17">
        <v>0.13333333333333333</v>
      </c>
      <c r="G28" s="16">
        <v>2450000</v>
      </c>
      <c r="H28" s="11">
        <f t="shared" si="1"/>
        <v>326666.66666666669</v>
      </c>
      <c r="I28" s="15"/>
      <c r="J28" s="14">
        <v>7000</v>
      </c>
      <c r="K28" s="11">
        <f t="shared" si="2"/>
        <v>0</v>
      </c>
      <c r="L28" s="13"/>
      <c r="M28" s="12">
        <v>5000</v>
      </c>
      <c r="N28" s="11">
        <f t="shared" si="3"/>
        <v>0</v>
      </c>
      <c r="O28" s="10">
        <f t="shared" si="4"/>
        <v>2164166.6666666665</v>
      </c>
    </row>
    <row r="29" spans="1:15" s="9" customFormat="1" x14ac:dyDescent="0.3">
      <c r="A29" s="20">
        <v>25</v>
      </c>
      <c r="B29" s="19">
        <v>46047</v>
      </c>
      <c r="C29" s="18">
        <v>0.2</v>
      </c>
      <c r="D29" s="12">
        <v>2450000</v>
      </c>
      <c r="E29" s="11">
        <f t="shared" si="0"/>
        <v>490000</v>
      </c>
      <c r="F29" s="17">
        <v>6.6666666666666666E-2</v>
      </c>
      <c r="G29" s="16">
        <v>2450000</v>
      </c>
      <c r="H29" s="11">
        <f t="shared" si="1"/>
        <v>163333.33333333334</v>
      </c>
      <c r="I29" s="15"/>
      <c r="J29" s="14">
        <v>7000</v>
      </c>
      <c r="K29" s="11">
        <f t="shared" si="2"/>
        <v>0</v>
      </c>
      <c r="L29" s="13"/>
      <c r="M29" s="12">
        <v>5000</v>
      </c>
      <c r="N29" s="11">
        <f t="shared" si="3"/>
        <v>0</v>
      </c>
      <c r="O29" s="10">
        <f t="shared" si="4"/>
        <v>653333.33333333337</v>
      </c>
    </row>
    <row r="30" spans="1:15" x14ac:dyDescent="0.3">
      <c r="A30" s="65"/>
      <c r="B30" s="66"/>
      <c r="C30" s="8">
        <f>SUM(C5:C29)</f>
        <v>12.149999999999999</v>
      </c>
      <c r="D30" s="7"/>
      <c r="E30" s="7">
        <f>ROUND(SUM(E5:E29),-2)</f>
        <v>29767500</v>
      </c>
      <c r="F30" s="7">
        <f>SUM(F5:F29)</f>
        <v>1.5999999999999999</v>
      </c>
      <c r="G30" s="7"/>
      <c r="H30" s="7">
        <f>ROUND(SUM(H5:H29),-2)</f>
        <v>3920000</v>
      </c>
      <c r="I30" s="7">
        <f>SUM(I5:I28)</f>
        <v>0</v>
      </c>
      <c r="J30" s="7"/>
      <c r="K30" s="7">
        <f>SUM(K5:K28)</f>
        <v>0</v>
      </c>
      <c r="L30" s="7">
        <f>SUM(L5:L29)</f>
        <v>1430</v>
      </c>
      <c r="M30" s="7"/>
      <c r="N30" s="7">
        <f>SUM(N5:N29)</f>
        <v>7150000</v>
      </c>
      <c r="O30" s="7">
        <f>ROUND(SUM(O5:O29),-2)</f>
        <v>40837500</v>
      </c>
    </row>
    <row r="31" spans="1:15" x14ac:dyDescent="0.3">
      <c r="A31" s="3"/>
      <c r="B31" s="67" t="s">
        <v>1</v>
      </c>
      <c r="C31" s="67"/>
      <c r="D31" s="67"/>
      <c r="E31" s="67"/>
      <c r="F31" s="6"/>
      <c r="G31" s="5"/>
      <c r="H31" s="4"/>
      <c r="I31" s="4"/>
      <c r="J31" s="4"/>
      <c r="K31" s="4"/>
      <c r="L31" s="67" t="s">
        <v>1</v>
      </c>
      <c r="M31" s="67"/>
      <c r="N31" s="67"/>
      <c r="O31" s="67"/>
    </row>
    <row r="32" spans="1:15" x14ac:dyDescent="0.3">
      <c r="A32" s="3"/>
      <c r="B32" s="68" t="s">
        <v>0</v>
      </c>
      <c r="C32" s="68"/>
      <c r="D32" s="68"/>
      <c r="E32" s="68"/>
      <c r="F32" s="1"/>
      <c r="G32" s="2"/>
      <c r="H32" s="1"/>
      <c r="I32" s="1"/>
      <c r="J32" s="1"/>
      <c r="K32" s="68" t="s">
        <v>15</v>
      </c>
      <c r="L32" s="68"/>
      <c r="M32" s="68"/>
      <c r="N32" s="68"/>
      <c r="O32" s="68"/>
    </row>
  </sheetData>
  <mergeCells count="12">
    <mergeCell ref="A30:B30"/>
    <mergeCell ref="B31:E31"/>
    <mergeCell ref="L31:O31"/>
    <mergeCell ref="B32:E32"/>
    <mergeCell ref="K32:O32"/>
    <mergeCell ref="A1:O1"/>
    <mergeCell ref="C3:E3"/>
    <mergeCell ref="F3:H3"/>
    <mergeCell ref="I3:K3"/>
    <mergeCell ref="L3:N3"/>
    <mergeCell ref="O3:O4"/>
    <mergeCell ref="A4:B4"/>
  </mergeCells>
  <conditionalFormatting sqref="B5:B29">
    <cfRule type="expression" dxfId="2" priority="1" stopIfTrue="1">
      <formula>WEEKDAY($B5)=1</formula>
    </cfRule>
  </conditionalFormatting>
  <pageMargins left="0.23622047244094491" right="0.19685039370078741" top="0.35433070866141736" bottom="0.74803149606299213" header="0.31496062992125984" footer="0.31496062992125984"/>
  <pageSetup paperSize="9" scale="96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548FC-440E-45A8-BB1C-CB54CD96BBB6}">
  <sheetPr codeName="Sheet8">
    <pageSetUpPr fitToPage="1"/>
  </sheetPr>
  <dimension ref="A1:O19"/>
  <sheetViews>
    <sheetView view="pageBreakPreview" zoomScale="115" zoomScaleNormal="115" zoomScaleSheetLayoutView="115" workbookViewId="0">
      <pane ySplit="4" topLeftCell="A5" activePane="bottomLeft" state="frozen"/>
      <selection pane="bottomLeft" activeCell="F25" sqref="F25"/>
    </sheetView>
  </sheetViews>
  <sheetFormatPr defaultRowHeight="14" x14ac:dyDescent="0.3"/>
  <cols>
    <col min="5" max="5" width="10.1640625" bestFit="1" customWidth="1"/>
    <col min="8" max="8" width="9.9140625" bestFit="1" customWidth="1"/>
    <col min="11" max="11" width="9.9140625" bestFit="1" customWidth="1"/>
    <col min="14" max="14" width="9.9140625" bestFit="1" customWidth="1"/>
    <col min="15" max="15" width="10.6640625" bestFit="1" customWidth="1"/>
  </cols>
  <sheetData>
    <row r="1" spans="1:15" ht="44.25" customHeight="1" x14ac:dyDescent="0.3">
      <c r="A1" s="69" t="s">
        <v>14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</row>
    <row r="2" spans="1:15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7"/>
    </row>
    <row r="3" spans="1:15" ht="26.25" customHeight="1" x14ac:dyDescent="0.3">
      <c r="A3" s="26" t="s">
        <v>13</v>
      </c>
      <c r="B3" s="25" t="s">
        <v>12</v>
      </c>
      <c r="C3" s="73" t="s">
        <v>11</v>
      </c>
      <c r="D3" s="82"/>
      <c r="E3" s="82"/>
      <c r="F3" s="83" t="s">
        <v>10</v>
      </c>
      <c r="G3" s="82"/>
      <c r="H3" s="82"/>
      <c r="I3" s="74" t="s">
        <v>9</v>
      </c>
      <c r="J3" s="84"/>
      <c r="K3" s="85"/>
      <c r="L3" s="83" t="s">
        <v>8</v>
      </c>
      <c r="M3" s="82"/>
      <c r="N3" s="82"/>
      <c r="O3" s="78" t="s">
        <v>7</v>
      </c>
    </row>
    <row r="4" spans="1:15" ht="33" customHeight="1" x14ac:dyDescent="0.3">
      <c r="A4" s="80" t="s">
        <v>6</v>
      </c>
      <c r="B4" s="81"/>
      <c r="C4" s="24" t="s">
        <v>5</v>
      </c>
      <c r="D4" s="24" t="s">
        <v>3</v>
      </c>
      <c r="E4" s="24" t="s">
        <v>2</v>
      </c>
      <c r="F4" s="24" t="s">
        <v>5</v>
      </c>
      <c r="G4" s="24" t="s">
        <v>3</v>
      </c>
      <c r="H4" s="24" t="s">
        <v>2</v>
      </c>
      <c r="I4" s="24" t="s">
        <v>4</v>
      </c>
      <c r="J4" s="24" t="s">
        <v>3</v>
      </c>
      <c r="K4" s="24" t="s">
        <v>2</v>
      </c>
      <c r="L4" s="24" t="s">
        <v>4</v>
      </c>
      <c r="M4" s="24" t="s">
        <v>3</v>
      </c>
      <c r="N4" s="24" t="s">
        <v>2</v>
      </c>
      <c r="O4" s="79"/>
    </row>
    <row r="5" spans="1:15" s="9" customFormat="1" x14ac:dyDescent="0.3">
      <c r="A5" s="20">
        <v>1</v>
      </c>
      <c r="B5" s="19">
        <v>46011</v>
      </c>
      <c r="C5" s="18">
        <v>0.5</v>
      </c>
      <c r="D5" s="12">
        <v>2450000</v>
      </c>
      <c r="E5" s="11">
        <f t="shared" ref="E5:E16" si="0">D5*C5</f>
        <v>1225000</v>
      </c>
      <c r="F5" s="17">
        <v>6.6666666666666666E-2</v>
      </c>
      <c r="G5" s="16">
        <v>2450000</v>
      </c>
      <c r="H5" s="11">
        <f t="shared" ref="H5:H16" si="1">G5*F5</f>
        <v>163333.33333333334</v>
      </c>
      <c r="I5" s="15"/>
      <c r="J5" s="14">
        <v>7000</v>
      </c>
      <c r="K5" s="11">
        <f t="shared" ref="K5:K16" si="2">J5*I5</f>
        <v>0</v>
      </c>
      <c r="L5" s="13"/>
      <c r="M5" s="12">
        <v>5000</v>
      </c>
      <c r="N5" s="11">
        <f t="shared" ref="N5:N16" si="3">L5*M5</f>
        <v>0</v>
      </c>
      <c r="O5" s="10">
        <f t="shared" ref="O5:O16" si="4">E5+H5+N5+K5</f>
        <v>1388333.3333333333</v>
      </c>
    </row>
    <row r="6" spans="1:15" s="9" customFormat="1" x14ac:dyDescent="0.3">
      <c r="A6" s="20">
        <v>2</v>
      </c>
      <c r="B6" s="19">
        <v>46012</v>
      </c>
      <c r="C6" s="18">
        <v>1</v>
      </c>
      <c r="D6" s="12">
        <v>2450000</v>
      </c>
      <c r="E6" s="11">
        <f t="shared" si="0"/>
        <v>2450000</v>
      </c>
      <c r="F6" s="17">
        <v>0.13333333333333333</v>
      </c>
      <c r="G6" s="16">
        <v>2450000</v>
      </c>
      <c r="H6" s="11">
        <f t="shared" si="1"/>
        <v>326666.66666666669</v>
      </c>
      <c r="I6" s="15"/>
      <c r="J6" s="14">
        <v>7000</v>
      </c>
      <c r="K6" s="11">
        <f t="shared" si="2"/>
        <v>0</v>
      </c>
      <c r="L6" s="13"/>
      <c r="M6" s="12">
        <v>5000</v>
      </c>
      <c r="N6" s="11">
        <f t="shared" si="3"/>
        <v>0</v>
      </c>
      <c r="O6" s="10">
        <f t="shared" si="4"/>
        <v>2776666.6666666665</v>
      </c>
    </row>
    <row r="7" spans="1:15" s="9" customFormat="1" x14ac:dyDescent="0.3">
      <c r="A7" s="20">
        <v>3</v>
      </c>
      <c r="B7" s="19">
        <v>46013</v>
      </c>
      <c r="C7" s="18">
        <v>1</v>
      </c>
      <c r="D7" s="12">
        <v>2450000</v>
      </c>
      <c r="E7" s="11">
        <f t="shared" si="0"/>
        <v>2450000</v>
      </c>
      <c r="F7" s="17">
        <v>0.13333333333333333</v>
      </c>
      <c r="G7" s="16">
        <v>2450000</v>
      </c>
      <c r="H7" s="11">
        <f t="shared" si="1"/>
        <v>326666.66666666669</v>
      </c>
      <c r="I7" s="15"/>
      <c r="J7" s="14">
        <v>7000</v>
      </c>
      <c r="K7" s="11">
        <f t="shared" si="2"/>
        <v>0</v>
      </c>
      <c r="L7" s="13"/>
      <c r="M7" s="12">
        <v>5000</v>
      </c>
      <c r="N7" s="11">
        <f t="shared" si="3"/>
        <v>0</v>
      </c>
      <c r="O7" s="10">
        <f t="shared" si="4"/>
        <v>2776666.6666666665</v>
      </c>
    </row>
    <row r="8" spans="1:15" s="9" customFormat="1" x14ac:dyDescent="0.3">
      <c r="A8" s="20">
        <v>4</v>
      </c>
      <c r="B8" s="19">
        <v>46014</v>
      </c>
      <c r="C8" s="18">
        <v>1</v>
      </c>
      <c r="D8" s="12">
        <v>2450000</v>
      </c>
      <c r="E8" s="11">
        <f t="shared" si="0"/>
        <v>2450000</v>
      </c>
      <c r="F8" s="17">
        <v>0.13333333333333333</v>
      </c>
      <c r="G8" s="16">
        <v>2450000</v>
      </c>
      <c r="H8" s="11">
        <f t="shared" si="1"/>
        <v>326666.66666666669</v>
      </c>
      <c r="I8" s="15"/>
      <c r="J8" s="14">
        <v>7000</v>
      </c>
      <c r="K8" s="11">
        <f t="shared" si="2"/>
        <v>0</v>
      </c>
      <c r="L8" s="13"/>
      <c r="M8" s="12">
        <v>5000</v>
      </c>
      <c r="N8" s="11">
        <f t="shared" si="3"/>
        <v>0</v>
      </c>
      <c r="O8" s="10">
        <f t="shared" si="4"/>
        <v>2776666.6666666665</v>
      </c>
    </row>
    <row r="9" spans="1:15" s="9" customFormat="1" x14ac:dyDescent="0.3">
      <c r="A9" s="20">
        <v>5</v>
      </c>
      <c r="B9" s="19">
        <v>46015</v>
      </c>
      <c r="C9" s="18">
        <v>1</v>
      </c>
      <c r="D9" s="12">
        <v>2450000</v>
      </c>
      <c r="E9" s="11">
        <f t="shared" si="0"/>
        <v>2450000</v>
      </c>
      <c r="F9" s="17"/>
      <c r="G9" s="16">
        <v>2450000</v>
      </c>
      <c r="H9" s="11">
        <f t="shared" si="1"/>
        <v>0</v>
      </c>
      <c r="I9" s="15"/>
      <c r="J9" s="14">
        <v>7000</v>
      </c>
      <c r="K9" s="11">
        <f t="shared" si="2"/>
        <v>0</v>
      </c>
      <c r="L9" s="13"/>
      <c r="M9" s="12">
        <v>5000</v>
      </c>
      <c r="N9" s="11">
        <f t="shared" si="3"/>
        <v>0</v>
      </c>
      <c r="O9" s="10">
        <f t="shared" si="4"/>
        <v>2450000</v>
      </c>
    </row>
    <row r="10" spans="1:15" s="9" customFormat="1" x14ac:dyDescent="0.3">
      <c r="A10" s="20">
        <v>6</v>
      </c>
      <c r="B10" s="19">
        <v>46016</v>
      </c>
      <c r="C10" s="18">
        <v>1</v>
      </c>
      <c r="D10" s="12">
        <v>2450000</v>
      </c>
      <c r="E10" s="11">
        <f t="shared" si="0"/>
        <v>2450000</v>
      </c>
      <c r="F10" s="17">
        <v>6.6666666666666666E-2</v>
      </c>
      <c r="G10" s="16">
        <v>2450000</v>
      </c>
      <c r="H10" s="11">
        <f t="shared" si="1"/>
        <v>163333.33333333334</v>
      </c>
      <c r="I10" s="15"/>
      <c r="J10" s="14">
        <v>7000</v>
      </c>
      <c r="K10" s="11">
        <f t="shared" si="2"/>
        <v>0</v>
      </c>
      <c r="L10" s="13"/>
      <c r="M10" s="12">
        <v>5000</v>
      </c>
      <c r="N10" s="11">
        <f t="shared" si="3"/>
        <v>0</v>
      </c>
      <c r="O10" s="10">
        <f t="shared" si="4"/>
        <v>2613333.3333333335</v>
      </c>
    </row>
    <row r="11" spans="1:15" s="9" customFormat="1" x14ac:dyDescent="0.3">
      <c r="A11" s="20">
        <v>7</v>
      </c>
      <c r="B11" s="19">
        <v>46017</v>
      </c>
      <c r="C11" s="18">
        <v>1</v>
      </c>
      <c r="D11" s="12">
        <v>2450000</v>
      </c>
      <c r="E11" s="11">
        <f t="shared" si="0"/>
        <v>2450000</v>
      </c>
      <c r="F11" s="17">
        <v>6.6666666666666666E-2</v>
      </c>
      <c r="G11" s="16">
        <v>2450000</v>
      </c>
      <c r="H11" s="11">
        <f t="shared" si="1"/>
        <v>163333.33333333334</v>
      </c>
      <c r="I11" s="15"/>
      <c r="J11" s="14">
        <v>7000</v>
      </c>
      <c r="K11" s="11">
        <f t="shared" si="2"/>
        <v>0</v>
      </c>
      <c r="L11" s="13"/>
      <c r="M11" s="12">
        <v>5000</v>
      </c>
      <c r="N11" s="11">
        <f t="shared" si="3"/>
        <v>0</v>
      </c>
      <c r="O11" s="10">
        <f t="shared" si="4"/>
        <v>2613333.3333333335</v>
      </c>
    </row>
    <row r="12" spans="1:15" s="9" customFormat="1" x14ac:dyDescent="0.3">
      <c r="A12" s="20">
        <v>8</v>
      </c>
      <c r="B12" s="19">
        <v>46018</v>
      </c>
      <c r="C12" s="18">
        <v>0.75</v>
      </c>
      <c r="D12" s="12">
        <v>2450000</v>
      </c>
      <c r="E12" s="11">
        <f t="shared" si="0"/>
        <v>1837500</v>
      </c>
      <c r="F12" s="17">
        <v>0.13333333333333333</v>
      </c>
      <c r="G12" s="16">
        <v>2450000</v>
      </c>
      <c r="H12" s="11">
        <f t="shared" si="1"/>
        <v>326666.66666666669</v>
      </c>
      <c r="I12" s="15"/>
      <c r="J12" s="14">
        <v>7000</v>
      </c>
      <c r="K12" s="11">
        <f t="shared" si="2"/>
        <v>0</v>
      </c>
      <c r="L12" s="13"/>
      <c r="M12" s="12">
        <v>5000</v>
      </c>
      <c r="N12" s="11">
        <f t="shared" si="3"/>
        <v>0</v>
      </c>
      <c r="O12" s="10">
        <f t="shared" si="4"/>
        <v>2164166.6666666665</v>
      </c>
    </row>
    <row r="13" spans="1:15" s="9" customFormat="1" x14ac:dyDescent="0.3">
      <c r="A13" s="20">
        <v>9</v>
      </c>
      <c r="B13" s="19">
        <v>46019</v>
      </c>
      <c r="C13" s="18">
        <v>0.2</v>
      </c>
      <c r="D13" s="12">
        <v>2450000</v>
      </c>
      <c r="E13" s="11">
        <f t="shared" si="0"/>
        <v>490000</v>
      </c>
      <c r="F13" s="17"/>
      <c r="G13" s="16">
        <v>2450000</v>
      </c>
      <c r="H13" s="11">
        <f t="shared" si="1"/>
        <v>0</v>
      </c>
      <c r="I13" s="15"/>
      <c r="J13" s="14">
        <v>7000</v>
      </c>
      <c r="K13" s="11">
        <f t="shared" si="2"/>
        <v>0</v>
      </c>
      <c r="L13" s="13"/>
      <c r="M13" s="12">
        <v>5000</v>
      </c>
      <c r="N13" s="11">
        <f t="shared" si="3"/>
        <v>0</v>
      </c>
      <c r="O13" s="10">
        <f t="shared" si="4"/>
        <v>490000</v>
      </c>
    </row>
    <row r="14" spans="1:15" s="9" customFormat="1" x14ac:dyDescent="0.3">
      <c r="A14" s="20">
        <v>10</v>
      </c>
      <c r="B14" s="19">
        <v>46020</v>
      </c>
      <c r="C14" s="18">
        <v>0.75</v>
      </c>
      <c r="D14" s="12">
        <v>2450000</v>
      </c>
      <c r="E14" s="11">
        <f t="shared" si="0"/>
        <v>1837500</v>
      </c>
      <c r="F14" s="17">
        <v>0.13333333333333333</v>
      </c>
      <c r="G14" s="16">
        <v>2450000</v>
      </c>
      <c r="H14" s="11">
        <f t="shared" si="1"/>
        <v>326666.66666666669</v>
      </c>
      <c r="I14" s="15"/>
      <c r="J14" s="14">
        <v>7000</v>
      </c>
      <c r="K14" s="11">
        <f t="shared" si="2"/>
        <v>0</v>
      </c>
      <c r="L14" s="13"/>
      <c r="M14" s="12">
        <v>5000</v>
      </c>
      <c r="N14" s="11">
        <f t="shared" si="3"/>
        <v>0</v>
      </c>
      <c r="O14" s="10">
        <f t="shared" si="4"/>
        <v>2164166.6666666665</v>
      </c>
    </row>
    <row r="15" spans="1:15" s="9" customFormat="1" x14ac:dyDescent="0.3">
      <c r="A15" s="20">
        <v>11</v>
      </c>
      <c r="B15" s="19">
        <v>46021</v>
      </c>
      <c r="C15" s="18">
        <v>0.75</v>
      </c>
      <c r="D15" s="12">
        <v>2450000</v>
      </c>
      <c r="E15" s="11">
        <f t="shared" si="0"/>
        <v>1837500</v>
      </c>
      <c r="F15" s="17">
        <v>6.6666666666666666E-2</v>
      </c>
      <c r="G15" s="16">
        <v>2450000</v>
      </c>
      <c r="H15" s="11">
        <f t="shared" si="1"/>
        <v>163333.33333333334</v>
      </c>
      <c r="I15" s="15"/>
      <c r="J15" s="14">
        <v>7000</v>
      </c>
      <c r="K15" s="11">
        <f t="shared" si="2"/>
        <v>0</v>
      </c>
      <c r="L15" s="13"/>
      <c r="M15" s="12">
        <v>5000</v>
      </c>
      <c r="N15" s="11">
        <f t="shared" si="3"/>
        <v>0</v>
      </c>
      <c r="O15" s="10">
        <f t="shared" si="4"/>
        <v>2000833.3333333333</v>
      </c>
    </row>
    <row r="16" spans="1:15" s="9" customFormat="1" x14ac:dyDescent="0.3">
      <c r="A16" s="20">
        <v>12</v>
      </c>
      <c r="B16" s="19">
        <v>46022</v>
      </c>
      <c r="C16" s="18">
        <v>0.75</v>
      </c>
      <c r="D16" s="12">
        <v>2450000</v>
      </c>
      <c r="E16" s="11">
        <f t="shared" si="0"/>
        <v>1837500</v>
      </c>
      <c r="F16" s="17">
        <v>0.13333333333333333</v>
      </c>
      <c r="G16" s="16">
        <v>2450000</v>
      </c>
      <c r="H16" s="11">
        <f t="shared" si="1"/>
        <v>326666.66666666669</v>
      </c>
      <c r="I16" s="15"/>
      <c r="J16" s="14">
        <v>7000</v>
      </c>
      <c r="K16" s="11">
        <f t="shared" si="2"/>
        <v>0</v>
      </c>
      <c r="L16" s="13"/>
      <c r="M16" s="12">
        <v>5000</v>
      </c>
      <c r="N16" s="11">
        <f t="shared" si="3"/>
        <v>0</v>
      </c>
      <c r="O16" s="10">
        <f t="shared" si="4"/>
        <v>2164166.6666666665</v>
      </c>
    </row>
    <row r="17" spans="1:15" x14ac:dyDescent="0.3">
      <c r="A17" s="65"/>
      <c r="B17" s="66"/>
      <c r="C17" s="8">
        <f>SUM(C5:C16)</f>
        <v>9.6999999999999993</v>
      </c>
      <c r="D17" s="7"/>
      <c r="E17" s="7">
        <f>ROUND(SUM(E5:E16),-2)</f>
        <v>23765000</v>
      </c>
      <c r="F17" s="7">
        <f>SUM(F5:F16)</f>
        <v>1.0666666666666667</v>
      </c>
      <c r="G17" s="7"/>
      <c r="H17" s="7">
        <f>ROUND(SUM(H5:H16),-2)</f>
        <v>2613300</v>
      </c>
      <c r="I17" s="7">
        <f>SUM(I5:I16)</f>
        <v>0</v>
      </c>
      <c r="J17" s="7"/>
      <c r="K17" s="7">
        <f>SUM(K5:K16)</f>
        <v>0</v>
      </c>
      <c r="L17" s="7">
        <f>SUM(L5:L16)</f>
        <v>0</v>
      </c>
      <c r="M17" s="7"/>
      <c r="N17" s="7">
        <f>SUM(N5:N16)</f>
        <v>0</v>
      </c>
      <c r="O17" s="7">
        <f>ROUND(SUM(O5:O16),-2)</f>
        <v>26378300</v>
      </c>
    </row>
    <row r="18" spans="1:15" x14ac:dyDescent="0.3">
      <c r="A18" s="3"/>
      <c r="B18" s="67" t="s">
        <v>1</v>
      </c>
      <c r="C18" s="67"/>
      <c r="D18" s="67"/>
      <c r="E18" s="67"/>
      <c r="F18" s="6"/>
      <c r="G18" s="5"/>
      <c r="H18" s="4"/>
      <c r="I18" s="4"/>
      <c r="J18" s="4"/>
      <c r="K18" s="4"/>
      <c r="L18" s="67" t="s">
        <v>1</v>
      </c>
      <c r="M18" s="67"/>
      <c r="N18" s="67"/>
      <c r="O18" s="67"/>
    </row>
    <row r="19" spans="1:15" x14ac:dyDescent="0.3">
      <c r="A19" s="3"/>
      <c r="B19" s="68" t="s">
        <v>0</v>
      </c>
      <c r="C19" s="68"/>
      <c r="D19" s="68"/>
      <c r="E19" s="68"/>
      <c r="F19" s="1"/>
      <c r="G19" s="2"/>
      <c r="H19" s="1"/>
      <c r="I19" s="1"/>
      <c r="J19" s="1"/>
      <c r="K19" s="68" t="s">
        <v>16</v>
      </c>
      <c r="L19" s="68"/>
      <c r="M19" s="68"/>
      <c r="N19" s="68"/>
      <c r="O19" s="68"/>
    </row>
  </sheetData>
  <mergeCells count="12">
    <mergeCell ref="A17:B17"/>
    <mergeCell ref="B18:E18"/>
    <mergeCell ref="L18:O18"/>
    <mergeCell ref="B19:E19"/>
    <mergeCell ref="K19:O19"/>
    <mergeCell ref="A1:O1"/>
    <mergeCell ref="C3:E3"/>
    <mergeCell ref="F3:H3"/>
    <mergeCell ref="I3:K3"/>
    <mergeCell ref="L3:N3"/>
    <mergeCell ref="O3:O4"/>
    <mergeCell ref="A4:B4"/>
  </mergeCells>
  <conditionalFormatting sqref="B5:B16">
    <cfRule type="expression" dxfId="1" priority="1" stopIfTrue="1">
      <formula>WEEKDAY($B5)=1</formula>
    </cfRule>
  </conditionalFormatting>
  <pageMargins left="0.23622047244094491" right="0.19685039370078741" top="0.35433070866141736" bottom="0.74803149606299213" header="0.31496062992125984" footer="0.31496062992125984"/>
  <pageSetup paperSize="9" scale="96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ADC0C-B401-4E98-A2B1-D9B87F47BE10}">
  <sheetPr codeName="Sheet9">
    <pageSetUpPr fitToPage="1"/>
  </sheetPr>
  <dimension ref="A1:O44"/>
  <sheetViews>
    <sheetView view="pageBreakPreview" zoomScale="115" zoomScaleNormal="115" zoomScaleSheetLayoutView="115" workbookViewId="0">
      <pane ySplit="4" topLeftCell="A41" activePane="bottomLeft" state="frozen"/>
      <selection pane="bottomLeft" activeCell="O48" sqref="O48"/>
    </sheetView>
  </sheetViews>
  <sheetFormatPr defaultRowHeight="14" x14ac:dyDescent="0.3"/>
  <cols>
    <col min="5" max="5" width="10.1640625" bestFit="1" customWidth="1"/>
    <col min="8" max="8" width="9.9140625" bestFit="1" customWidth="1"/>
    <col min="11" max="11" width="9.9140625" bestFit="1" customWidth="1"/>
    <col min="14" max="14" width="9.9140625" bestFit="1" customWidth="1"/>
    <col min="15" max="15" width="10.6640625" bestFit="1" customWidth="1"/>
  </cols>
  <sheetData>
    <row r="1" spans="1:15" ht="44.25" customHeight="1" x14ac:dyDescent="0.3">
      <c r="A1" s="69" t="s">
        <v>14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</row>
    <row r="2" spans="1:15" ht="16.5" x14ac:dyDescent="0.3">
      <c r="A2" s="27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7"/>
    </row>
    <row r="3" spans="1:15" ht="26.25" customHeight="1" x14ac:dyDescent="0.3">
      <c r="A3" s="26" t="s">
        <v>13</v>
      </c>
      <c r="B3" s="25" t="s">
        <v>12</v>
      </c>
      <c r="C3" s="73" t="s">
        <v>11</v>
      </c>
      <c r="D3" s="82"/>
      <c r="E3" s="82"/>
      <c r="F3" s="83" t="s">
        <v>10</v>
      </c>
      <c r="G3" s="82"/>
      <c r="H3" s="82"/>
      <c r="I3" s="74" t="s">
        <v>9</v>
      </c>
      <c r="J3" s="84"/>
      <c r="K3" s="85"/>
      <c r="L3" s="83" t="s">
        <v>8</v>
      </c>
      <c r="M3" s="82"/>
      <c r="N3" s="82"/>
      <c r="O3" s="78" t="s">
        <v>7</v>
      </c>
    </row>
    <row r="4" spans="1:15" ht="33" customHeight="1" x14ac:dyDescent="0.3">
      <c r="A4" s="80" t="s">
        <v>6</v>
      </c>
      <c r="B4" s="81"/>
      <c r="C4" s="24" t="s">
        <v>5</v>
      </c>
      <c r="D4" s="24" t="s">
        <v>3</v>
      </c>
      <c r="E4" s="24" t="s">
        <v>2</v>
      </c>
      <c r="F4" s="24" t="s">
        <v>5</v>
      </c>
      <c r="G4" s="24" t="s">
        <v>3</v>
      </c>
      <c r="H4" s="24" t="s">
        <v>2</v>
      </c>
      <c r="I4" s="24" t="s">
        <v>4</v>
      </c>
      <c r="J4" s="24" t="s">
        <v>3</v>
      </c>
      <c r="K4" s="24" t="s">
        <v>2</v>
      </c>
      <c r="L4" s="24" t="s">
        <v>4</v>
      </c>
      <c r="M4" s="24" t="s">
        <v>3</v>
      </c>
      <c r="N4" s="24" t="s">
        <v>2</v>
      </c>
      <c r="O4" s="79"/>
    </row>
    <row r="5" spans="1:15" s="9" customFormat="1" x14ac:dyDescent="0.3">
      <c r="A5" s="20">
        <v>1</v>
      </c>
      <c r="B5" s="19">
        <v>46011</v>
      </c>
      <c r="C5" s="18">
        <v>0.5</v>
      </c>
      <c r="D5" s="12">
        <v>2450000</v>
      </c>
      <c r="E5" s="11">
        <f t="shared" ref="E5:E29" si="0">D5*C5</f>
        <v>1225000</v>
      </c>
      <c r="F5" s="17">
        <v>6.6666666666666666E-2</v>
      </c>
      <c r="G5" s="16">
        <v>2450000</v>
      </c>
      <c r="H5" s="11">
        <f t="shared" ref="H5:H29" si="1">G5*F5</f>
        <v>163333.33333333334</v>
      </c>
      <c r="I5" s="15"/>
      <c r="J5" s="14">
        <v>7000</v>
      </c>
      <c r="K5" s="11">
        <f t="shared" ref="K5:K29" si="2">J5*I5</f>
        <v>0</v>
      </c>
      <c r="L5" s="13"/>
      <c r="M5" s="12">
        <v>5000</v>
      </c>
      <c r="N5" s="11">
        <f t="shared" ref="N5:N29" si="3">L5*M5</f>
        <v>0</v>
      </c>
      <c r="O5" s="10">
        <f t="shared" ref="O5:O29" si="4">E5+H5+N5+K5</f>
        <v>1388333.3333333333</v>
      </c>
    </row>
    <row r="6" spans="1:15" s="9" customFormat="1" x14ac:dyDescent="0.3">
      <c r="A6" s="20">
        <v>2</v>
      </c>
      <c r="B6" s="19">
        <v>46012</v>
      </c>
      <c r="C6" s="18">
        <v>1</v>
      </c>
      <c r="D6" s="12">
        <v>2450000</v>
      </c>
      <c r="E6" s="11">
        <f t="shared" si="0"/>
        <v>2450000</v>
      </c>
      <c r="F6" s="17">
        <v>0.13333333333333333</v>
      </c>
      <c r="G6" s="16">
        <v>2450000</v>
      </c>
      <c r="H6" s="11">
        <f t="shared" si="1"/>
        <v>326666.66666666669</v>
      </c>
      <c r="I6" s="15"/>
      <c r="J6" s="14">
        <v>7000</v>
      </c>
      <c r="K6" s="11">
        <f t="shared" si="2"/>
        <v>0</v>
      </c>
      <c r="L6" s="13"/>
      <c r="M6" s="12">
        <v>5000</v>
      </c>
      <c r="N6" s="11">
        <f t="shared" si="3"/>
        <v>0</v>
      </c>
      <c r="O6" s="10">
        <f t="shared" si="4"/>
        <v>2776666.6666666665</v>
      </c>
    </row>
    <row r="7" spans="1:15" s="9" customFormat="1" x14ac:dyDescent="0.3">
      <c r="A7" s="20">
        <v>3</v>
      </c>
      <c r="B7" s="19">
        <v>46013</v>
      </c>
      <c r="C7" s="18">
        <v>1</v>
      </c>
      <c r="D7" s="12">
        <v>2450000</v>
      </c>
      <c r="E7" s="11">
        <f t="shared" si="0"/>
        <v>2450000</v>
      </c>
      <c r="F7" s="17">
        <v>0.13333333333333333</v>
      </c>
      <c r="G7" s="16">
        <v>2450000</v>
      </c>
      <c r="H7" s="11">
        <f t="shared" si="1"/>
        <v>326666.66666666669</v>
      </c>
      <c r="I7" s="15"/>
      <c r="J7" s="14">
        <v>7000</v>
      </c>
      <c r="K7" s="11">
        <f t="shared" si="2"/>
        <v>0</v>
      </c>
      <c r="L7" s="13"/>
      <c r="M7" s="12">
        <v>5000</v>
      </c>
      <c r="N7" s="11">
        <f t="shared" si="3"/>
        <v>0</v>
      </c>
      <c r="O7" s="10">
        <f t="shared" si="4"/>
        <v>2776666.6666666665</v>
      </c>
    </row>
    <row r="8" spans="1:15" s="9" customFormat="1" x14ac:dyDescent="0.3">
      <c r="A8" s="20">
        <v>4</v>
      </c>
      <c r="B8" s="19">
        <v>46014</v>
      </c>
      <c r="C8" s="18">
        <v>1</v>
      </c>
      <c r="D8" s="12">
        <v>2450000</v>
      </c>
      <c r="E8" s="11">
        <f t="shared" si="0"/>
        <v>2450000</v>
      </c>
      <c r="F8" s="17">
        <v>0.13333333333333333</v>
      </c>
      <c r="G8" s="16">
        <v>2450000</v>
      </c>
      <c r="H8" s="11">
        <f t="shared" si="1"/>
        <v>326666.66666666669</v>
      </c>
      <c r="I8" s="15"/>
      <c r="J8" s="14">
        <v>7000</v>
      </c>
      <c r="K8" s="11">
        <f t="shared" si="2"/>
        <v>0</v>
      </c>
      <c r="L8" s="13"/>
      <c r="M8" s="12">
        <v>5000</v>
      </c>
      <c r="N8" s="11">
        <f t="shared" si="3"/>
        <v>0</v>
      </c>
      <c r="O8" s="10">
        <f t="shared" si="4"/>
        <v>2776666.6666666665</v>
      </c>
    </row>
    <row r="9" spans="1:15" s="9" customFormat="1" x14ac:dyDescent="0.3">
      <c r="A9" s="20">
        <v>5</v>
      </c>
      <c r="B9" s="19">
        <v>46015</v>
      </c>
      <c r="C9" s="18">
        <v>1</v>
      </c>
      <c r="D9" s="12">
        <v>2450000</v>
      </c>
      <c r="E9" s="11">
        <f t="shared" si="0"/>
        <v>2450000</v>
      </c>
      <c r="F9" s="17"/>
      <c r="G9" s="16">
        <v>2450000</v>
      </c>
      <c r="H9" s="11">
        <f t="shared" si="1"/>
        <v>0</v>
      </c>
      <c r="I9" s="15"/>
      <c r="J9" s="14">
        <v>7000</v>
      </c>
      <c r="K9" s="11">
        <f t="shared" si="2"/>
        <v>0</v>
      </c>
      <c r="L9" s="13"/>
      <c r="M9" s="12">
        <v>5000</v>
      </c>
      <c r="N9" s="11">
        <f t="shared" si="3"/>
        <v>0</v>
      </c>
      <c r="O9" s="10">
        <f t="shared" si="4"/>
        <v>2450000</v>
      </c>
    </row>
    <row r="10" spans="1:15" s="9" customFormat="1" x14ac:dyDescent="0.3">
      <c r="A10" s="20">
        <v>6</v>
      </c>
      <c r="B10" s="19">
        <v>46016</v>
      </c>
      <c r="C10" s="18">
        <v>1</v>
      </c>
      <c r="D10" s="12">
        <v>2450000</v>
      </c>
      <c r="E10" s="11">
        <f t="shared" si="0"/>
        <v>2450000</v>
      </c>
      <c r="F10" s="17">
        <v>6.6666666666666666E-2</v>
      </c>
      <c r="G10" s="16">
        <v>2450000</v>
      </c>
      <c r="H10" s="11">
        <f t="shared" si="1"/>
        <v>163333.33333333334</v>
      </c>
      <c r="I10" s="15"/>
      <c r="J10" s="14">
        <v>7000</v>
      </c>
      <c r="K10" s="11">
        <f t="shared" si="2"/>
        <v>0</v>
      </c>
      <c r="L10" s="13"/>
      <c r="M10" s="12">
        <v>5000</v>
      </c>
      <c r="N10" s="11">
        <f t="shared" si="3"/>
        <v>0</v>
      </c>
      <c r="O10" s="10">
        <f t="shared" si="4"/>
        <v>2613333.3333333335</v>
      </c>
    </row>
    <row r="11" spans="1:15" s="9" customFormat="1" x14ac:dyDescent="0.3">
      <c r="A11" s="20">
        <v>7</v>
      </c>
      <c r="B11" s="19">
        <v>46017</v>
      </c>
      <c r="C11" s="18">
        <v>1</v>
      </c>
      <c r="D11" s="12">
        <v>2450000</v>
      </c>
      <c r="E11" s="11">
        <f t="shared" si="0"/>
        <v>2450000</v>
      </c>
      <c r="F11" s="17">
        <v>6.6666666666666666E-2</v>
      </c>
      <c r="G11" s="16">
        <v>2450000</v>
      </c>
      <c r="H11" s="11">
        <f t="shared" si="1"/>
        <v>163333.33333333334</v>
      </c>
      <c r="I11" s="15"/>
      <c r="J11" s="14">
        <v>7000</v>
      </c>
      <c r="K11" s="11">
        <f t="shared" si="2"/>
        <v>0</v>
      </c>
      <c r="L11" s="13"/>
      <c r="M11" s="12">
        <v>5000</v>
      </c>
      <c r="N11" s="11">
        <f t="shared" si="3"/>
        <v>0</v>
      </c>
      <c r="O11" s="10">
        <f t="shared" si="4"/>
        <v>2613333.3333333335</v>
      </c>
    </row>
    <row r="12" spans="1:15" s="9" customFormat="1" x14ac:dyDescent="0.3">
      <c r="A12" s="20">
        <v>8</v>
      </c>
      <c r="B12" s="19">
        <v>46018</v>
      </c>
      <c r="C12" s="18">
        <v>0.75</v>
      </c>
      <c r="D12" s="12">
        <v>2450000</v>
      </c>
      <c r="E12" s="11">
        <f t="shared" si="0"/>
        <v>1837500</v>
      </c>
      <c r="F12" s="17">
        <v>0.13333333333333333</v>
      </c>
      <c r="G12" s="16">
        <v>2450000</v>
      </c>
      <c r="H12" s="11">
        <f t="shared" si="1"/>
        <v>326666.66666666669</v>
      </c>
      <c r="I12" s="15"/>
      <c r="J12" s="14">
        <v>7000</v>
      </c>
      <c r="K12" s="11">
        <f t="shared" si="2"/>
        <v>0</v>
      </c>
      <c r="L12" s="13"/>
      <c r="M12" s="12">
        <v>5000</v>
      </c>
      <c r="N12" s="11">
        <f t="shared" si="3"/>
        <v>0</v>
      </c>
      <c r="O12" s="10">
        <f t="shared" si="4"/>
        <v>2164166.6666666665</v>
      </c>
    </row>
    <row r="13" spans="1:15" s="9" customFormat="1" x14ac:dyDescent="0.3">
      <c r="A13" s="20">
        <v>9</v>
      </c>
      <c r="B13" s="19">
        <v>46019</v>
      </c>
      <c r="C13" s="18">
        <v>0.2</v>
      </c>
      <c r="D13" s="12">
        <v>2450000</v>
      </c>
      <c r="E13" s="11">
        <f t="shared" si="0"/>
        <v>490000</v>
      </c>
      <c r="F13" s="17"/>
      <c r="G13" s="16">
        <v>2450000</v>
      </c>
      <c r="H13" s="11">
        <f t="shared" si="1"/>
        <v>0</v>
      </c>
      <c r="I13" s="15"/>
      <c r="J13" s="14">
        <v>7000</v>
      </c>
      <c r="K13" s="11">
        <f t="shared" si="2"/>
        <v>0</v>
      </c>
      <c r="L13" s="13"/>
      <c r="M13" s="12">
        <v>5000</v>
      </c>
      <c r="N13" s="11">
        <f t="shared" si="3"/>
        <v>0</v>
      </c>
      <c r="O13" s="10">
        <f t="shared" si="4"/>
        <v>490000</v>
      </c>
    </row>
    <row r="14" spans="1:15" s="9" customFormat="1" x14ac:dyDescent="0.3">
      <c r="A14" s="20">
        <v>10</v>
      </c>
      <c r="B14" s="19">
        <v>46020</v>
      </c>
      <c r="C14" s="18">
        <v>0.75</v>
      </c>
      <c r="D14" s="12">
        <v>2450000</v>
      </c>
      <c r="E14" s="11">
        <f t="shared" si="0"/>
        <v>1837500</v>
      </c>
      <c r="F14" s="17">
        <v>0.13333333333333333</v>
      </c>
      <c r="G14" s="16">
        <v>2450000</v>
      </c>
      <c r="H14" s="11">
        <f t="shared" si="1"/>
        <v>326666.66666666669</v>
      </c>
      <c r="I14" s="15"/>
      <c r="J14" s="14">
        <v>7000</v>
      </c>
      <c r="K14" s="11">
        <f t="shared" si="2"/>
        <v>0</v>
      </c>
      <c r="L14" s="13"/>
      <c r="M14" s="12">
        <v>5000</v>
      </c>
      <c r="N14" s="11">
        <f t="shared" si="3"/>
        <v>0</v>
      </c>
      <c r="O14" s="10">
        <f t="shared" si="4"/>
        <v>2164166.6666666665</v>
      </c>
    </row>
    <row r="15" spans="1:15" s="9" customFormat="1" x14ac:dyDescent="0.3">
      <c r="A15" s="20">
        <v>11</v>
      </c>
      <c r="B15" s="19">
        <v>46021</v>
      </c>
      <c r="C15" s="18">
        <v>0.75</v>
      </c>
      <c r="D15" s="12">
        <v>2450000</v>
      </c>
      <c r="E15" s="11">
        <f t="shared" si="0"/>
        <v>1837500</v>
      </c>
      <c r="F15" s="17">
        <v>6.6666666666666666E-2</v>
      </c>
      <c r="G15" s="16">
        <v>2450000</v>
      </c>
      <c r="H15" s="11">
        <f t="shared" si="1"/>
        <v>163333.33333333334</v>
      </c>
      <c r="I15" s="15"/>
      <c r="J15" s="14">
        <v>7000</v>
      </c>
      <c r="K15" s="11">
        <f t="shared" si="2"/>
        <v>0</v>
      </c>
      <c r="L15" s="13"/>
      <c r="M15" s="12">
        <v>5000</v>
      </c>
      <c r="N15" s="11">
        <f t="shared" si="3"/>
        <v>0</v>
      </c>
      <c r="O15" s="10">
        <f t="shared" si="4"/>
        <v>2000833.3333333333</v>
      </c>
    </row>
    <row r="16" spans="1:15" s="9" customFormat="1" x14ac:dyDescent="0.3">
      <c r="A16" s="20">
        <v>12</v>
      </c>
      <c r="B16" s="19">
        <v>46022</v>
      </c>
      <c r="C16" s="18">
        <v>0.75</v>
      </c>
      <c r="D16" s="12">
        <v>2450000</v>
      </c>
      <c r="E16" s="11">
        <f t="shared" si="0"/>
        <v>1837500</v>
      </c>
      <c r="F16" s="17">
        <v>0.13333333333333333</v>
      </c>
      <c r="G16" s="16">
        <v>2450000</v>
      </c>
      <c r="H16" s="11">
        <f t="shared" si="1"/>
        <v>326666.66666666669</v>
      </c>
      <c r="I16" s="15"/>
      <c r="J16" s="14">
        <v>7000</v>
      </c>
      <c r="K16" s="11">
        <f t="shared" si="2"/>
        <v>0</v>
      </c>
      <c r="L16" s="13"/>
      <c r="M16" s="12">
        <v>5000</v>
      </c>
      <c r="N16" s="11">
        <f t="shared" si="3"/>
        <v>0</v>
      </c>
      <c r="O16" s="10">
        <f t="shared" si="4"/>
        <v>2164166.6666666665</v>
      </c>
    </row>
    <row r="17" spans="1:15" s="9" customFormat="1" x14ac:dyDescent="0.3">
      <c r="A17" s="20">
        <v>13</v>
      </c>
      <c r="B17" s="19">
        <v>46023</v>
      </c>
      <c r="C17" s="18"/>
      <c r="D17" s="12">
        <v>2450000</v>
      </c>
      <c r="E17" s="11">
        <f t="shared" si="0"/>
        <v>0</v>
      </c>
      <c r="F17" s="17"/>
      <c r="G17" s="16">
        <v>2450000</v>
      </c>
      <c r="H17" s="11">
        <f t="shared" si="1"/>
        <v>0</v>
      </c>
      <c r="I17" s="15"/>
      <c r="J17" s="14">
        <v>7000</v>
      </c>
      <c r="K17" s="11">
        <f t="shared" si="2"/>
        <v>0</v>
      </c>
      <c r="L17" s="13"/>
      <c r="M17" s="12">
        <v>5000</v>
      </c>
      <c r="N17" s="11">
        <f t="shared" si="3"/>
        <v>0</v>
      </c>
      <c r="O17" s="10">
        <f t="shared" si="4"/>
        <v>0</v>
      </c>
    </row>
    <row r="18" spans="1:15" s="9" customFormat="1" x14ac:dyDescent="0.3">
      <c r="A18" s="20">
        <v>14</v>
      </c>
      <c r="B18" s="19">
        <v>46024</v>
      </c>
      <c r="C18" s="18">
        <v>0.75</v>
      </c>
      <c r="D18" s="12">
        <v>2450000</v>
      </c>
      <c r="E18" s="11">
        <f t="shared" si="0"/>
        <v>1837500</v>
      </c>
      <c r="F18" s="17">
        <v>6.6666666666666666E-2</v>
      </c>
      <c r="G18" s="16">
        <v>2450000</v>
      </c>
      <c r="H18" s="11">
        <f t="shared" si="1"/>
        <v>163333.33333333334</v>
      </c>
      <c r="I18" s="15"/>
      <c r="J18" s="14">
        <v>7000</v>
      </c>
      <c r="K18" s="11">
        <f t="shared" si="2"/>
        <v>0</v>
      </c>
      <c r="L18" s="13"/>
      <c r="M18" s="12">
        <v>5000</v>
      </c>
      <c r="N18" s="11">
        <f t="shared" si="3"/>
        <v>0</v>
      </c>
      <c r="O18" s="10">
        <f t="shared" si="4"/>
        <v>2000833.3333333333</v>
      </c>
    </row>
    <row r="19" spans="1:15" s="9" customFormat="1" x14ac:dyDescent="0.3">
      <c r="A19" s="20">
        <v>15</v>
      </c>
      <c r="B19" s="19">
        <v>46025</v>
      </c>
      <c r="C19" s="18">
        <v>0.5</v>
      </c>
      <c r="D19" s="12">
        <v>2450000</v>
      </c>
      <c r="E19" s="11">
        <f t="shared" si="0"/>
        <v>1225000</v>
      </c>
      <c r="F19" s="17">
        <v>0.2</v>
      </c>
      <c r="G19" s="16">
        <v>2450000</v>
      </c>
      <c r="H19" s="11">
        <f t="shared" si="1"/>
        <v>490000</v>
      </c>
      <c r="I19" s="15"/>
      <c r="J19" s="14">
        <v>7000</v>
      </c>
      <c r="K19" s="11">
        <f t="shared" si="2"/>
        <v>0</v>
      </c>
      <c r="L19" s="13"/>
      <c r="M19" s="12">
        <v>5000</v>
      </c>
      <c r="N19" s="11">
        <f t="shared" si="3"/>
        <v>0</v>
      </c>
      <c r="O19" s="10">
        <f t="shared" si="4"/>
        <v>1715000</v>
      </c>
    </row>
    <row r="20" spans="1:15" s="9" customFormat="1" x14ac:dyDescent="0.3">
      <c r="A20" s="20">
        <v>16</v>
      </c>
      <c r="B20" s="19">
        <v>46026</v>
      </c>
      <c r="C20" s="18"/>
      <c r="D20" s="12">
        <v>2450000</v>
      </c>
      <c r="E20" s="11">
        <f t="shared" si="0"/>
        <v>0</v>
      </c>
      <c r="F20" s="17"/>
      <c r="G20" s="16">
        <v>2450000</v>
      </c>
      <c r="H20" s="11">
        <f t="shared" si="1"/>
        <v>0</v>
      </c>
      <c r="I20" s="15"/>
      <c r="J20" s="14">
        <v>7000</v>
      </c>
      <c r="K20" s="11">
        <f t="shared" si="2"/>
        <v>0</v>
      </c>
      <c r="L20" s="13"/>
      <c r="M20" s="12">
        <v>5000</v>
      </c>
      <c r="N20" s="11">
        <f t="shared" si="3"/>
        <v>0</v>
      </c>
      <c r="O20" s="10">
        <f t="shared" si="4"/>
        <v>0</v>
      </c>
    </row>
    <row r="21" spans="1:15" s="9" customFormat="1" x14ac:dyDescent="0.3">
      <c r="A21" s="20">
        <v>17</v>
      </c>
      <c r="B21" s="19">
        <v>46027</v>
      </c>
      <c r="C21" s="18">
        <v>0.5</v>
      </c>
      <c r="D21" s="12">
        <v>2450000</v>
      </c>
      <c r="E21" s="11">
        <f t="shared" si="0"/>
        <v>1225000</v>
      </c>
      <c r="F21" s="17">
        <v>6.6666666666666666E-2</v>
      </c>
      <c r="G21" s="16">
        <v>2450000</v>
      </c>
      <c r="H21" s="11">
        <f t="shared" si="1"/>
        <v>163333.33333333334</v>
      </c>
      <c r="I21" s="15"/>
      <c r="J21" s="14">
        <v>7000</v>
      </c>
      <c r="K21" s="11">
        <f t="shared" si="2"/>
        <v>0</v>
      </c>
      <c r="L21" s="13"/>
      <c r="M21" s="12">
        <v>5000</v>
      </c>
      <c r="N21" s="11">
        <f t="shared" si="3"/>
        <v>0</v>
      </c>
      <c r="O21" s="10">
        <f t="shared" si="4"/>
        <v>1388333.3333333333</v>
      </c>
    </row>
    <row r="22" spans="1:15" s="9" customFormat="1" x14ac:dyDescent="0.3">
      <c r="A22" s="20">
        <v>18</v>
      </c>
      <c r="B22" s="19">
        <v>46028</v>
      </c>
      <c r="C22" s="18">
        <v>0.75</v>
      </c>
      <c r="D22" s="12">
        <v>2450000</v>
      </c>
      <c r="E22" s="11">
        <f t="shared" si="0"/>
        <v>1837500</v>
      </c>
      <c r="F22" s="17">
        <v>6.6666666666666666E-2</v>
      </c>
      <c r="G22" s="16">
        <v>2450000</v>
      </c>
      <c r="H22" s="11">
        <f t="shared" si="1"/>
        <v>163333.33333333334</v>
      </c>
      <c r="I22" s="15"/>
      <c r="J22" s="14">
        <v>7000</v>
      </c>
      <c r="K22" s="11">
        <f t="shared" si="2"/>
        <v>0</v>
      </c>
      <c r="L22" s="13"/>
      <c r="M22" s="12">
        <v>5000</v>
      </c>
      <c r="N22" s="11">
        <f t="shared" si="3"/>
        <v>0</v>
      </c>
      <c r="O22" s="10">
        <f t="shared" si="4"/>
        <v>2000833.3333333333</v>
      </c>
    </row>
    <row r="23" spans="1:15" s="21" customFormat="1" x14ac:dyDescent="0.3">
      <c r="A23" s="20">
        <v>19</v>
      </c>
      <c r="B23" s="19">
        <v>46029</v>
      </c>
      <c r="C23" s="18">
        <v>0.5</v>
      </c>
      <c r="D23" s="12">
        <v>2450000</v>
      </c>
      <c r="E23" s="11">
        <f t="shared" si="0"/>
        <v>1225000</v>
      </c>
      <c r="F23" s="17">
        <v>6.6666666666666666E-2</v>
      </c>
      <c r="G23" s="16">
        <v>2450000</v>
      </c>
      <c r="H23" s="11">
        <f t="shared" si="1"/>
        <v>163333.33333333334</v>
      </c>
      <c r="I23" s="15"/>
      <c r="J23" s="14">
        <v>7000</v>
      </c>
      <c r="K23" s="11">
        <f t="shared" si="2"/>
        <v>0</v>
      </c>
      <c r="L23" s="23"/>
      <c r="M23" s="12">
        <v>5000</v>
      </c>
      <c r="N23" s="11">
        <f t="shared" si="3"/>
        <v>0</v>
      </c>
      <c r="O23" s="10">
        <f t="shared" si="4"/>
        <v>1388333.3333333333</v>
      </c>
    </row>
    <row r="24" spans="1:15" s="21" customFormat="1" x14ac:dyDescent="0.3">
      <c r="A24" s="20">
        <v>20</v>
      </c>
      <c r="B24" s="19">
        <v>46030</v>
      </c>
      <c r="C24" s="18">
        <v>0.5</v>
      </c>
      <c r="D24" s="12">
        <v>2450000</v>
      </c>
      <c r="E24" s="11">
        <f t="shared" si="0"/>
        <v>1225000</v>
      </c>
      <c r="F24" s="17">
        <v>6.6666666666666666E-2</v>
      </c>
      <c r="G24" s="16">
        <v>2450000</v>
      </c>
      <c r="H24" s="11">
        <f t="shared" si="1"/>
        <v>163333.33333333334</v>
      </c>
      <c r="I24" s="15"/>
      <c r="J24" s="14">
        <v>7000</v>
      </c>
      <c r="K24" s="11">
        <f t="shared" si="2"/>
        <v>0</v>
      </c>
      <c r="L24" s="23"/>
      <c r="M24" s="12">
        <v>5000</v>
      </c>
      <c r="N24" s="22">
        <f t="shared" si="3"/>
        <v>0</v>
      </c>
      <c r="O24" s="10">
        <f t="shared" si="4"/>
        <v>1388333.3333333333</v>
      </c>
    </row>
    <row r="25" spans="1:15" s="9" customFormat="1" x14ac:dyDescent="0.3">
      <c r="A25" s="20">
        <v>21</v>
      </c>
      <c r="B25" s="19">
        <v>46031</v>
      </c>
      <c r="C25" s="18">
        <v>0.5</v>
      </c>
      <c r="D25" s="12">
        <v>2450000</v>
      </c>
      <c r="E25" s="11">
        <f t="shared" si="0"/>
        <v>1225000</v>
      </c>
      <c r="F25" s="17"/>
      <c r="G25" s="16">
        <v>2450000</v>
      </c>
      <c r="H25" s="11">
        <f t="shared" si="1"/>
        <v>0</v>
      </c>
      <c r="I25" s="15"/>
      <c r="J25" s="14">
        <v>7000</v>
      </c>
      <c r="K25" s="11">
        <f t="shared" si="2"/>
        <v>0</v>
      </c>
      <c r="L25" s="13"/>
      <c r="M25" s="12">
        <v>5000</v>
      </c>
      <c r="N25" s="11">
        <f t="shared" si="3"/>
        <v>0</v>
      </c>
      <c r="O25" s="10">
        <f t="shared" si="4"/>
        <v>1225000</v>
      </c>
    </row>
    <row r="26" spans="1:15" s="9" customFormat="1" x14ac:dyDescent="0.3">
      <c r="A26" s="20">
        <v>22</v>
      </c>
      <c r="B26" s="19">
        <v>46032</v>
      </c>
      <c r="C26" s="18">
        <v>0.5</v>
      </c>
      <c r="D26" s="12">
        <v>2450000</v>
      </c>
      <c r="E26" s="11">
        <f t="shared" si="0"/>
        <v>1225000</v>
      </c>
      <c r="F26" s="17">
        <v>0.13333333333333333</v>
      </c>
      <c r="G26" s="16">
        <v>2450000</v>
      </c>
      <c r="H26" s="11">
        <f t="shared" si="1"/>
        <v>326666.66666666669</v>
      </c>
      <c r="I26" s="15"/>
      <c r="J26" s="14">
        <v>7000</v>
      </c>
      <c r="K26" s="11">
        <f t="shared" si="2"/>
        <v>0</v>
      </c>
      <c r="L26" s="13">
        <v>1430</v>
      </c>
      <c r="M26" s="12">
        <v>5000</v>
      </c>
      <c r="N26" s="11">
        <f t="shared" si="3"/>
        <v>7150000</v>
      </c>
      <c r="O26" s="10">
        <f t="shared" si="4"/>
        <v>8701666.666666666</v>
      </c>
    </row>
    <row r="27" spans="1:15" s="21" customFormat="1" x14ac:dyDescent="0.3">
      <c r="A27" s="20">
        <v>23</v>
      </c>
      <c r="B27" s="19">
        <v>46033</v>
      </c>
      <c r="C27" s="18"/>
      <c r="D27" s="12">
        <v>2450000</v>
      </c>
      <c r="E27" s="11">
        <f t="shared" si="0"/>
        <v>0</v>
      </c>
      <c r="F27" s="17"/>
      <c r="G27" s="16">
        <v>2450000</v>
      </c>
      <c r="H27" s="11">
        <f t="shared" si="1"/>
        <v>0</v>
      </c>
      <c r="I27" s="15"/>
      <c r="J27" s="14">
        <v>7000</v>
      </c>
      <c r="K27" s="11">
        <f t="shared" si="2"/>
        <v>0</v>
      </c>
      <c r="L27" s="23"/>
      <c r="M27" s="12">
        <v>5000</v>
      </c>
      <c r="N27" s="11">
        <f t="shared" si="3"/>
        <v>0</v>
      </c>
      <c r="O27" s="10">
        <f t="shared" si="4"/>
        <v>0</v>
      </c>
    </row>
    <row r="28" spans="1:15" s="21" customFormat="1" x14ac:dyDescent="0.3">
      <c r="A28" s="20">
        <v>24</v>
      </c>
      <c r="B28" s="19">
        <v>46034</v>
      </c>
      <c r="C28" s="18">
        <v>0.75</v>
      </c>
      <c r="D28" s="12">
        <v>2450000</v>
      </c>
      <c r="E28" s="11">
        <f t="shared" si="0"/>
        <v>1837500</v>
      </c>
      <c r="F28" s="17">
        <v>6.6666666666666666E-2</v>
      </c>
      <c r="G28" s="16">
        <v>2450000</v>
      </c>
      <c r="H28" s="11">
        <f t="shared" si="1"/>
        <v>163333.33333333334</v>
      </c>
      <c r="I28" s="15"/>
      <c r="J28" s="14">
        <v>7000</v>
      </c>
      <c r="K28" s="11">
        <f t="shared" si="2"/>
        <v>0</v>
      </c>
      <c r="L28" s="23"/>
      <c r="M28" s="12">
        <v>5000</v>
      </c>
      <c r="N28" s="22">
        <f t="shared" si="3"/>
        <v>0</v>
      </c>
      <c r="O28" s="10">
        <f t="shared" si="4"/>
        <v>2000833.3333333333</v>
      </c>
    </row>
    <row r="29" spans="1:15" s="9" customFormat="1" x14ac:dyDescent="0.3">
      <c r="A29" s="20">
        <v>25</v>
      </c>
      <c r="B29" s="19">
        <v>46035</v>
      </c>
      <c r="C29" s="18">
        <v>0.75</v>
      </c>
      <c r="D29" s="12">
        <v>2450000</v>
      </c>
      <c r="E29" s="11">
        <f t="shared" si="0"/>
        <v>1837500</v>
      </c>
      <c r="F29" s="17"/>
      <c r="G29" s="16">
        <v>2450000</v>
      </c>
      <c r="H29" s="11">
        <f t="shared" si="1"/>
        <v>0</v>
      </c>
      <c r="I29" s="15"/>
      <c r="J29" s="14">
        <v>7000</v>
      </c>
      <c r="K29" s="11">
        <f t="shared" si="2"/>
        <v>0</v>
      </c>
      <c r="L29" s="13"/>
      <c r="M29" s="12">
        <v>5000</v>
      </c>
      <c r="N29" s="11">
        <f t="shared" si="3"/>
        <v>0</v>
      </c>
      <c r="O29" s="10">
        <f t="shared" si="4"/>
        <v>1837500</v>
      </c>
    </row>
    <row r="30" spans="1:15" s="9" customFormat="1" x14ac:dyDescent="0.3">
      <c r="A30" s="20">
        <v>26</v>
      </c>
      <c r="B30" s="19">
        <v>46036</v>
      </c>
      <c r="C30" s="18">
        <v>0.5</v>
      </c>
      <c r="D30" s="12">
        <v>2450000</v>
      </c>
      <c r="E30" s="11">
        <f t="shared" ref="E30:E41" si="5">D30*C30</f>
        <v>1225000</v>
      </c>
      <c r="F30" s="17">
        <v>6.6666666666666666E-2</v>
      </c>
      <c r="G30" s="16">
        <v>2450000</v>
      </c>
      <c r="H30" s="11">
        <f t="shared" ref="H30:H41" si="6">G30*F30</f>
        <v>163333.33333333334</v>
      </c>
      <c r="I30" s="15"/>
      <c r="J30" s="14">
        <v>7000</v>
      </c>
      <c r="K30" s="11">
        <f t="shared" ref="K30:K41" si="7">J30*I30</f>
        <v>0</v>
      </c>
      <c r="L30" s="13"/>
      <c r="M30" s="12">
        <v>5000</v>
      </c>
      <c r="N30" s="11">
        <f t="shared" ref="N30:N41" si="8">L30*M30</f>
        <v>0</v>
      </c>
      <c r="O30" s="10">
        <f t="shared" ref="O30:O41" si="9">E30+H30+N30+K30</f>
        <v>1388333.3333333333</v>
      </c>
    </row>
    <row r="31" spans="1:15" s="9" customFormat="1" x14ac:dyDescent="0.3">
      <c r="A31" s="20">
        <v>27</v>
      </c>
      <c r="B31" s="19">
        <v>46037</v>
      </c>
      <c r="C31" s="18">
        <v>0.75</v>
      </c>
      <c r="D31" s="12">
        <v>2450000</v>
      </c>
      <c r="E31" s="11">
        <f t="shared" si="5"/>
        <v>1837500</v>
      </c>
      <c r="F31" s="17">
        <v>0.2</v>
      </c>
      <c r="G31" s="16">
        <v>2450000</v>
      </c>
      <c r="H31" s="11">
        <f t="shared" si="6"/>
        <v>490000</v>
      </c>
      <c r="I31" s="15"/>
      <c r="J31" s="14">
        <v>7000</v>
      </c>
      <c r="K31" s="11">
        <f t="shared" si="7"/>
        <v>0</v>
      </c>
      <c r="L31" s="13"/>
      <c r="M31" s="12">
        <v>5000</v>
      </c>
      <c r="N31" s="11">
        <f t="shared" si="8"/>
        <v>0</v>
      </c>
      <c r="O31" s="10">
        <f t="shared" si="9"/>
        <v>2327500</v>
      </c>
    </row>
    <row r="32" spans="1:15" s="9" customFormat="1" x14ac:dyDescent="0.3">
      <c r="A32" s="20">
        <v>28</v>
      </c>
      <c r="B32" s="19">
        <v>46038</v>
      </c>
      <c r="C32" s="18">
        <v>0.5</v>
      </c>
      <c r="D32" s="12">
        <v>2450000</v>
      </c>
      <c r="E32" s="11">
        <f t="shared" si="5"/>
        <v>1225000</v>
      </c>
      <c r="F32" s="17"/>
      <c r="G32" s="16">
        <v>2450000</v>
      </c>
      <c r="H32" s="11">
        <f t="shared" si="6"/>
        <v>0</v>
      </c>
      <c r="I32" s="15"/>
      <c r="J32" s="14">
        <v>7000</v>
      </c>
      <c r="K32" s="11">
        <f t="shared" si="7"/>
        <v>0</v>
      </c>
      <c r="L32" s="13"/>
      <c r="M32" s="12">
        <v>5000</v>
      </c>
      <c r="N32" s="11">
        <f t="shared" si="8"/>
        <v>0</v>
      </c>
      <c r="O32" s="10">
        <f t="shared" si="9"/>
        <v>1225000</v>
      </c>
    </row>
    <row r="33" spans="1:15" s="9" customFormat="1" x14ac:dyDescent="0.3">
      <c r="A33" s="20">
        <v>29</v>
      </c>
      <c r="B33" s="19">
        <v>46039</v>
      </c>
      <c r="C33" s="18">
        <v>0.5</v>
      </c>
      <c r="D33" s="12">
        <v>2450000</v>
      </c>
      <c r="E33" s="11">
        <f t="shared" si="5"/>
        <v>1225000</v>
      </c>
      <c r="F33" s="17"/>
      <c r="G33" s="16">
        <v>2450000</v>
      </c>
      <c r="H33" s="11">
        <f t="shared" si="6"/>
        <v>0</v>
      </c>
      <c r="I33" s="15"/>
      <c r="J33" s="14">
        <v>7000</v>
      </c>
      <c r="K33" s="11">
        <f t="shared" si="7"/>
        <v>0</v>
      </c>
      <c r="L33" s="13"/>
      <c r="M33" s="12">
        <v>5000</v>
      </c>
      <c r="N33" s="11">
        <f t="shared" si="8"/>
        <v>0</v>
      </c>
      <c r="O33" s="10">
        <f t="shared" si="9"/>
        <v>1225000</v>
      </c>
    </row>
    <row r="34" spans="1:15" s="9" customFormat="1" x14ac:dyDescent="0.3">
      <c r="A34" s="20">
        <v>30</v>
      </c>
      <c r="B34" s="19">
        <v>46040</v>
      </c>
      <c r="C34" s="18"/>
      <c r="D34" s="12">
        <v>2450000</v>
      </c>
      <c r="E34" s="11">
        <f t="shared" si="5"/>
        <v>0</v>
      </c>
      <c r="F34" s="17"/>
      <c r="G34" s="16">
        <v>2450000</v>
      </c>
      <c r="H34" s="11">
        <f t="shared" si="6"/>
        <v>0</v>
      </c>
      <c r="I34" s="15"/>
      <c r="J34" s="14">
        <v>7000</v>
      </c>
      <c r="K34" s="11">
        <f t="shared" si="7"/>
        <v>0</v>
      </c>
      <c r="L34" s="13"/>
      <c r="M34" s="12">
        <v>5000</v>
      </c>
      <c r="N34" s="11">
        <f t="shared" si="8"/>
        <v>0</v>
      </c>
      <c r="O34" s="10">
        <f t="shared" si="9"/>
        <v>0</v>
      </c>
    </row>
    <row r="35" spans="1:15" s="9" customFormat="1" x14ac:dyDescent="0.3">
      <c r="A35" s="20">
        <v>31</v>
      </c>
      <c r="B35" s="19">
        <v>46041</v>
      </c>
      <c r="C35" s="18">
        <v>0.75</v>
      </c>
      <c r="D35" s="12">
        <v>2450000</v>
      </c>
      <c r="E35" s="11">
        <f t="shared" si="5"/>
        <v>1837500</v>
      </c>
      <c r="F35" s="17">
        <v>0.13333333333333333</v>
      </c>
      <c r="G35" s="16">
        <v>2450000</v>
      </c>
      <c r="H35" s="11">
        <f t="shared" si="6"/>
        <v>326666.66666666669</v>
      </c>
      <c r="I35" s="15"/>
      <c r="J35" s="14">
        <v>7000</v>
      </c>
      <c r="K35" s="11">
        <f t="shared" si="7"/>
        <v>0</v>
      </c>
      <c r="L35" s="13"/>
      <c r="M35" s="12">
        <v>5000</v>
      </c>
      <c r="N35" s="11">
        <f t="shared" si="8"/>
        <v>0</v>
      </c>
      <c r="O35" s="10">
        <f t="shared" si="9"/>
        <v>2164166.6666666665</v>
      </c>
    </row>
    <row r="36" spans="1:15" s="9" customFormat="1" x14ac:dyDescent="0.3">
      <c r="A36" s="20">
        <v>32</v>
      </c>
      <c r="B36" s="19">
        <v>46042</v>
      </c>
      <c r="C36" s="18">
        <v>1</v>
      </c>
      <c r="D36" s="12">
        <v>2450000</v>
      </c>
      <c r="E36" s="11">
        <f t="shared" si="5"/>
        <v>2450000</v>
      </c>
      <c r="F36" s="17">
        <v>0.13333333333333333</v>
      </c>
      <c r="G36" s="16">
        <v>2450000</v>
      </c>
      <c r="H36" s="11">
        <f t="shared" si="6"/>
        <v>326666.66666666669</v>
      </c>
      <c r="I36" s="15"/>
      <c r="J36" s="14">
        <v>7000</v>
      </c>
      <c r="K36" s="11">
        <f t="shared" si="7"/>
        <v>0</v>
      </c>
      <c r="L36" s="13"/>
      <c r="M36" s="12">
        <v>5000</v>
      </c>
      <c r="N36" s="11">
        <f t="shared" si="8"/>
        <v>0</v>
      </c>
      <c r="O36" s="10">
        <f t="shared" si="9"/>
        <v>2776666.6666666665</v>
      </c>
    </row>
    <row r="37" spans="1:15" s="9" customFormat="1" x14ac:dyDescent="0.3">
      <c r="A37" s="20">
        <v>33</v>
      </c>
      <c r="B37" s="19">
        <v>46043</v>
      </c>
      <c r="C37" s="18">
        <v>0.75</v>
      </c>
      <c r="D37" s="12">
        <v>2450000</v>
      </c>
      <c r="E37" s="11">
        <f t="shared" si="5"/>
        <v>1837500</v>
      </c>
      <c r="F37" s="17">
        <v>6.6666666666666666E-2</v>
      </c>
      <c r="G37" s="16">
        <v>2450000</v>
      </c>
      <c r="H37" s="11">
        <f t="shared" si="6"/>
        <v>163333.33333333334</v>
      </c>
      <c r="I37" s="15"/>
      <c r="J37" s="14">
        <v>7000</v>
      </c>
      <c r="K37" s="11">
        <f t="shared" si="7"/>
        <v>0</v>
      </c>
      <c r="L37" s="13"/>
      <c r="M37" s="12">
        <v>5000</v>
      </c>
      <c r="N37" s="11">
        <f t="shared" si="8"/>
        <v>0</v>
      </c>
      <c r="O37" s="10">
        <f t="shared" si="9"/>
        <v>2000833.3333333333</v>
      </c>
    </row>
    <row r="38" spans="1:15" s="9" customFormat="1" x14ac:dyDescent="0.3">
      <c r="A38" s="20">
        <v>34</v>
      </c>
      <c r="B38" s="19">
        <v>46044</v>
      </c>
      <c r="C38" s="18">
        <v>0.2</v>
      </c>
      <c r="D38" s="12">
        <v>2450000</v>
      </c>
      <c r="E38" s="11">
        <f t="shared" si="5"/>
        <v>490000</v>
      </c>
      <c r="F38" s="17">
        <v>6.6666666666666666E-2</v>
      </c>
      <c r="G38" s="16">
        <v>2450000</v>
      </c>
      <c r="H38" s="11">
        <f t="shared" si="6"/>
        <v>163333.33333333334</v>
      </c>
      <c r="I38" s="15"/>
      <c r="J38" s="14">
        <v>7000</v>
      </c>
      <c r="K38" s="11">
        <f t="shared" si="7"/>
        <v>0</v>
      </c>
      <c r="L38" s="13"/>
      <c r="M38" s="12">
        <v>5000</v>
      </c>
      <c r="N38" s="11">
        <f t="shared" si="8"/>
        <v>0</v>
      </c>
      <c r="O38" s="10">
        <f t="shared" si="9"/>
        <v>653333.33333333337</v>
      </c>
    </row>
    <row r="39" spans="1:15" s="9" customFormat="1" x14ac:dyDescent="0.3">
      <c r="A39" s="20">
        <v>35</v>
      </c>
      <c r="B39" s="19">
        <v>46045</v>
      </c>
      <c r="C39" s="18">
        <v>0.25</v>
      </c>
      <c r="D39" s="12">
        <v>2450000</v>
      </c>
      <c r="E39" s="11">
        <f t="shared" si="5"/>
        <v>612500</v>
      </c>
      <c r="F39" s="17"/>
      <c r="G39" s="16">
        <v>2450000</v>
      </c>
      <c r="H39" s="11">
        <f t="shared" si="6"/>
        <v>0</v>
      </c>
      <c r="I39" s="15"/>
      <c r="J39" s="14">
        <v>7000</v>
      </c>
      <c r="K39" s="11">
        <f t="shared" si="7"/>
        <v>0</v>
      </c>
      <c r="L39" s="13"/>
      <c r="M39" s="12">
        <v>5000</v>
      </c>
      <c r="N39" s="11">
        <f t="shared" si="8"/>
        <v>0</v>
      </c>
      <c r="O39" s="10">
        <f t="shared" si="9"/>
        <v>612500</v>
      </c>
    </row>
    <row r="40" spans="1:15" s="9" customFormat="1" x14ac:dyDescent="0.3">
      <c r="A40" s="20">
        <v>36</v>
      </c>
      <c r="B40" s="19">
        <v>46046</v>
      </c>
      <c r="C40" s="18">
        <v>0.75</v>
      </c>
      <c r="D40" s="12">
        <v>2450000</v>
      </c>
      <c r="E40" s="11">
        <f t="shared" si="5"/>
        <v>1837500</v>
      </c>
      <c r="F40" s="17">
        <v>0.13333333333333333</v>
      </c>
      <c r="G40" s="16">
        <v>2450000</v>
      </c>
      <c r="H40" s="11">
        <f t="shared" si="6"/>
        <v>326666.66666666669</v>
      </c>
      <c r="I40" s="15"/>
      <c r="J40" s="14">
        <v>7000</v>
      </c>
      <c r="K40" s="11">
        <f t="shared" si="7"/>
        <v>0</v>
      </c>
      <c r="L40" s="13"/>
      <c r="M40" s="12">
        <v>5000</v>
      </c>
      <c r="N40" s="11">
        <f t="shared" si="8"/>
        <v>0</v>
      </c>
      <c r="O40" s="10">
        <f t="shared" si="9"/>
        <v>2164166.6666666665</v>
      </c>
    </row>
    <row r="41" spans="1:15" s="9" customFormat="1" x14ac:dyDescent="0.3">
      <c r="A41" s="20">
        <v>37</v>
      </c>
      <c r="B41" s="19">
        <v>46047</v>
      </c>
      <c r="C41" s="18">
        <v>0.2</v>
      </c>
      <c r="D41" s="12">
        <v>2450000</v>
      </c>
      <c r="E41" s="11">
        <f t="shared" si="5"/>
        <v>490000</v>
      </c>
      <c r="F41" s="17">
        <v>6.6666666666666666E-2</v>
      </c>
      <c r="G41" s="16">
        <v>2450000</v>
      </c>
      <c r="H41" s="11">
        <f t="shared" si="6"/>
        <v>163333.33333333334</v>
      </c>
      <c r="I41" s="15"/>
      <c r="J41" s="14">
        <v>7000</v>
      </c>
      <c r="K41" s="11">
        <f t="shared" si="7"/>
        <v>0</v>
      </c>
      <c r="L41" s="13"/>
      <c r="M41" s="12">
        <v>5000</v>
      </c>
      <c r="N41" s="11">
        <f t="shared" si="8"/>
        <v>0</v>
      </c>
      <c r="O41" s="10">
        <f t="shared" si="9"/>
        <v>653333.33333333337</v>
      </c>
    </row>
    <row r="42" spans="1:15" x14ac:dyDescent="0.3">
      <c r="A42" s="65"/>
      <c r="B42" s="66"/>
      <c r="C42" s="8">
        <f>SUM(C5:C41)</f>
        <v>21.849999999999998</v>
      </c>
      <c r="D42" s="7"/>
      <c r="E42" s="7">
        <f>ROUND(SUM(E5:E41),-2)</f>
        <v>53532500</v>
      </c>
      <c r="F42" s="7">
        <f>SUM(F5:F41)</f>
        <v>2.666666666666667</v>
      </c>
      <c r="G42" s="7"/>
      <c r="H42" s="7">
        <f>ROUND(SUM(H5:H41),-2)</f>
        <v>6533300</v>
      </c>
      <c r="I42" s="7">
        <f>SUM(I5:I40)</f>
        <v>0</v>
      </c>
      <c r="J42" s="7"/>
      <c r="K42" s="7">
        <f>SUM(K5:K40)</f>
        <v>0</v>
      </c>
      <c r="L42" s="7">
        <f>SUM(L5:L41)</f>
        <v>1430</v>
      </c>
      <c r="M42" s="7"/>
      <c r="N42" s="7">
        <f>SUM(N5:N41)</f>
        <v>7150000</v>
      </c>
      <c r="O42" s="7">
        <f>ROUND(SUM(O5:O41),-2)</f>
        <v>67215800</v>
      </c>
    </row>
    <row r="43" spans="1:15" x14ac:dyDescent="0.3">
      <c r="A43" s="3"/>
      <c r="B43" s="67" t="s">
        <v>1</v>
      </c>
      <c r="C43" s="67"/>
      <c r="D43" s="67"/>
      <c r="E43" s="67"/>
      <c r="F43" s="6"/>
      <c r="G43" s="5"/>
      <c r="H43" s="4"/>
      <c r="I43" s="4"/>
      <c r="J43" s="4"/>
      <c r="K43" s="4"/>
      <c r="L43" s="67" t="s">
        <v>1</v>
      </c>
      <c r="M43" s="67"/>
      <c r="N43" s="67"/>
      <c r="O43" s="67"/>
    </row>
    <row r="44" spans="1:15" x14ac:dyDescent="0.3">
      <c r="A44" s="3"/>
      <c r="B44" s="68" t="s">
        <v>0</v>
      </c>
      <c r="C44" s="68"/>
      <c r="D44" s="68"/>
      <c r="E44" s="68"/>
      <c r="F44" s="1"/>
      <c r="G44" s="2"/>
      <c r="H44" s="1"/>
      <c r="I44" s="1"/>
      <c r="J44" s="1"/>
      <c r="K44" s="68" t="s">
        <v>15</v>
      </c>
      <c r="L44" s="68"/>
      <c r="M44" s="68"/>
      <c r="N44" s="68"/>
      <c r="O44" s="68"/>
    </row>
  </sheetData>
  <mergeCells count="12">
    <mergeCell ref="A1:O1"/>
    <mergeCell ref="C3:E3"/>
    <mergeCell ref="F3:H3"/>
    <mergeCell ref="I3:K3"/>
    <mergeCell ref="L3:N3"/>
    <mergeCell ref="O3:O4"/>
    <mergeCell ref="A4:B4"/>
    <mergeCell ref="A42:B42"/>
    <mergeCell ref="B43:E43"/>
    <mergeCell ref="L43:O43"/>
    <mergeCell ref="B44:E44"/>
    <mergeCell ref="K44:O44"/>
  </mergeCells>
  <conditionalFormatting sqref="B5:B41">
    <cfRule type="expression" dxfId="0" priority="1" stopIfTrue="1">
      <formula>WEEKDAY($B5)=1</formula>
    </cfRule>
  </conditionalFormatting>
  <pageMargins left="0.23622047244094491" right="0.19685039370078741" top="0.35433070866141736" bottom="0.74803149606299213" header="0.31496062992125984" footer="0.31496062992125984"/>
  <pageSetup paperSize="9" scale="96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D08AF1EC57F441B26AA9445629A4E4" ma:contentTypeVersion="26" ma:contentTypeDescription="Create a new document." ma:contentTypeScope="" ma:versionID="d3efab3c2aa873f61b0d81e58ce1dc6d">
  <xsd:schema xmlns:xsd="http://www.w3.org/2001/XMLSchema" xmlns:xs="http://www.w3.org/2001/XMLSchema" xmlns:p="http://schemas.microsoft.com/office/2006/metadata/properties" xmlns:ns2="329a25e9-1705-4637-a518-f1249ed4c130" xmlns:ns3="8e6f99d7-7587-4b8f-b7d1-74511520459b" targetNamespace="http://schemas.microsoft.com/office/2006/metadata/properties" ma:root="true" ma:fieldsID="0f8b0c115d683f65396cb327cf995129" ns2:_="" ns3:_="">
    <xsd:import namespace="329a25e9-1705-4637-a518-f1249ed4c130"/>
    <xsd:import namespace="8e6f99d7-7587-4b8f-b7d1-74511520459b"/>
    <xsd:element name="properties">
      <xsd:complexType>
        <xsd:sequence>
          <xsd:element name="documentManagement">
            <xsd:complexType>
              <xsd:all>
                <xsd:element ref="ns2:Doc_x002e_Type" minOccurs="0"/>
                <xsd:element ref="ns2:Doc_x002e_Status" minOccurs="0"/>
                <xsd:element ref="ns2:Category" minOccurs="0"/>
                <xsd:element ref="ns2:Year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anguag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Descrip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2:MediaServiceBillingMetadata" minOccurs="0"/>
                <xsd:element ref="ns2:Reten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9a25e9-1705-4637-a518-f1249ed4c130" elementFormDefault="qualified">
    <xsd:import namespace="http://schemas.microsoft.com/office/2006/documentManagement/types"/>
    <xsd:import namespace="http://schemas.microsoft.com/office/infopath/2007/PartnerControls"/>
    <xsd:element name="Doc_x002e_Type" ma:index="8" nillable="true" ma:displayName="Doc. Type" ma:format="Dropdown" ma:internalName="Doc_x002e_Type">
      <xsd:simpleType>
        <xsd:restriction base="dms:Choice">
          <xsd:enumeration value="Official Letter"/>
          <xsd:enumeration value="Policy, procedure"/>
          <xsd:enumeration value="HSE Manual"/>
          <xsd:enumeration value="HSE Event Photos"/>
          <xsd:enumeration value="Factory layout"/>
          <xsd:enumeration value="Internal Report"/>
          <xsd:enumeration value="External Report"/>
          <xsd:enumeration value="Incident Report"/>
          <xsd:enumeration value="Accident Report"/>
          <xsd:enumeration value="Contract"/>
        </xsd:restriction>
      </xsd:simpleType>
    </xsd:element>
    <xsd:element name="Doc_x002e_Status" ma:index="9" nillable="true" ma:displayName="Doc. Status" ma:format="Dropdown" ma:internalName="Doc_x002e_Status">
      <xsd:simpleType>
        <xsd:restriction base="dms:Choice">
          <xsd:enumeration value="Approved"/>
          <xsd:enumeration value="For Reference Only"/>
        </xsd:restriction>
      </xsd:simpleType>
    </xsd:element>
    <xsd:element name="Category" ma:index="10" nillable="true" ma:displayName="Category" ma:format="Dropdown" ma:internalName="Category">
      <xsd:simpleType>
        <xsd:restriction base="dms:Choice">
          <xsd:enumeration value="Customer Audit"/>
          <xsd:enumeration value="Government Audit"/>
          <xsd:enumeration value="Internal Audit"/>
          <xsd:enumeration value="Internal Training"/>
          <xsd:enumeration value="External Training"/>
        </xsd:restriction>
      </xsd:simpleType>
    </xsd:element>
    <xsd:element name="Year" ma:index="11" nillable="true" ma:displayName="Year" ma:format="Dropdown" ma:internalName="Year">
      <xsd:simpleType>
        <xsd:union memberTypes="dms:Text">
          <xsd:simpleType>
            <xsd:restriction base="dms:Choice">
              <xsd:enumeration value="2023"/>
              <xsd:enumeration value="2022"/>
              <xsd:enumeration value="2024"/>
            </xsd:restriction>
          </xsd:simpleType>
        </xsd:union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anguage" ma:index="15" nillable="true" ma:displayName="Language" ma:format="Dropdown" ma:internalName="Language">
      <xsd:simpleType>
        <xsd:restriction base="dms:Choice">
          <xsd:enumeration value="Vietnamese"/>
          <xsd:enumeration value="English"/>
          <xsd:enumeration value="Lựa chọn 3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5942997-4aa2-4ea7-9542-edab702aa6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Description" ma:index="22" nillable="true" ma:displayName="Description" ma:format="Dropdown" ma:internalName="Description">
      <xsd:simpleType>
        <xsd:restriction base="dms:Text">
          <xsd:maxLength value="255"/>
        </xsd:restriction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6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9" nillable="true" ma:displayName="MediaServiceBillingMetadata" ma:hidden="true" ma:internalName="MediaServiceBillingMetadata" ma:readOnly="true">
      <xsd:simpleType>
        <xsd:restriction base="dms:Note"/>
      </xsd:simpleType>
    </xsd:element>
    <xsd:element name="Retention" ma:index="30" nillable="true" ma:displayName="Retention" ma:default="0" ma:format="Dropdown" ma:internalName="Retention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6f99d7-7587-4b8f-b7d1-74511520459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c2be5ab-ec5f-4815-bdd7-22f825ba5ef0}" ma:internalName="TaxCatchAll" ma:showField="CatchAllData" ma:web="8e6f99d7-7587-4b8f-b7d1-7451152045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tention xmlns="329a25e9-1705-4637-a518-f1249ed4c130">false</Retention>
    <Description xmlns="329a25e9-1705-4637-a518-f1249ed4c130" xsi:nil="true"/>
    <Doc_x002e_Status xmlns="329a25e9-1705-4637-a518-f1249ed4c130" xsi:nil="true"/>
    <lcf76f155ced4ddcb4097134ff3c332f xmlns="329a25e9-1705-4637-a518-f1249ed4c130">
      <Terms xmlns="http://schemas.microsoft.com/office/infopath/2007/PartnerControls"/>
    </lcf76f155ced4ddcb4097134ff3c332f>
    <Year xmlns="329a25e9-1705-4637-a518-f1249ed4c130" xsi:nil="true"/>
    <Doc_x002e_Type xmlns="329a25e9-1705-4637-a518-f1249ed4c130" xsi:nil="true"/>
    <TaxCatchAll xmlns="8e6f99d7-7587-4b8f-b7d1-74511520459b" xsi:nil="true"/>
    <Category xmlns="329a25e9-1705-4637-a518-f1249ed4c130" xsi:nil="true"/>
    <Language xmlns="329a25e9-1705-4637-a518-f1249ed4c130" xsi:nil="true"/>
  </documentManagement>
</p:properties>
</file>

<file path=customXml/itemProps1.xml><?xml version="1.0" encoding="utf-8"?>
<ds:datastoreItem xmlns:ds="http://schemas.openxmlformats.org/officeDocument/2006/customXml" ds:itemID="{0731DC4C-A88B-483C-954C-6721E29800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87463E7-CB98-4FC2-B26B-4B3BDF84D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9a25e9-1705-4637-a518-f1249ed4c130"/>
    <ds:schemaRef ds:uri="8e6f99d7-7587-4b8f-b7d1-7451152045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0F6F81E-5EFF-4F2C-AB06-E90C77C69D61}">
  <ds:schemaRefs>
    <ds:schemaRef ds:uri="http://purl.org/dc/terms/"/>
    <ds:schemaRef ds:uri="8e6f99d7-7587-4b8f-b7d1-74511520459b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329a25e9-1705-4637-a518-f1249ed4c130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May</vt:lpstr>
      <vt:lpstr>Sep</vt:lpstr>
      <vt:lpstr>Aug</vt:lpstr>
      <vt:lpstr>Jul</vt:lpstr>
      <vt:lpstr>Jun</vt:lpstr>
      <vt:lpstr>May.</vt:lpstr>
      <vt:lpstr>Apr</vt:lpstr>
      <vt:lpstr>Mar</vt:lpstr>
      <vt:lpstr>Feb</vt:lpstr>
      <vt:lpstr>Feb (update)</vt:lpstr>
      <vt:lpstr>Sheet2</vt:lpstr>
      <vt:lpstr>Sheet1</vt:lpstr>
      <vt:lpstr>Jan-TT</vt:lpstr>
      <vt:lpstr>Jan-TL</vt:lpstr>
      <vt:lpstr>Jan</vt:lpstr>
      <vt:lpstr>Apr!Print_Titles</vt:lpstr>
      <vt:lpstr>Aug!Print_Titles</vt:lpstr>
      <vt:lpstr>Feb!Print_Titles</vt:lpstr>
      <vt:lpstr>'Feb (update)'!Print_Titles</vt:lpstr>
      <vt:lpstr>Jan!Print_Titles</vt:lpstr>
      <vt:lpstr>'Jan-TL'!Print_Titles</vt:lpstr>
      <vt:lpstr>'Jan-TT'!Print_Titles</vt:lpstr>
      <vt:lpstr>Jul!Print_Titles</vt:lpstr>
      <vt:lpstr>Jun!Print_Titles</vt:lpstr>
      <vt:lpstr>Mar!Print_Titles</vt:lpstr>
      <vt:lpstr>May!Print_Titles</vt:lpstr>
      <vt:lpstr>May.!Print_Titles</vt:lpstr>
      <vt:lpstr>Sep!Print_Titles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Cong, Tran Van / HSE Officer</dc:creator>
  <cp:lastModifiedBy>Cong, Tran Van / HSE Officer</cp:lastModifiedBy>
  <cp:lastPrinted>2026-08-24T06:12:29Z</cp:lastPrinted>
  <dcterms:created xsi:type="dcterms:W3CDTF">2026-01-05T01:03:11Z</dcterms:created>
  <dcterms:modified xsi:type="dcterms:W3CDTF">2026-09-07T04:14:33Z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0x010100B1D08AF1EC57F441B26AA9445629A4E4</vt:lpwstr>
  </property>
  <property fmtid="{D5CDD505-2E9C-101B-9397-08002B2CF9AE}" pid="3" name="MediaServiceImageTags">
    <vt:lpwstr/>
  </property>
</Properties>
</file>